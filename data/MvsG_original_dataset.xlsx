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ass\Desktop\Work\PAPERS\_Cauchy paper\"/>
    </mc:Choice>
  </mc:AlternateContent>
  <xr:revisionPtr revIDLastSave="0" documentId="13_ncr:1_{A7FAE883-64E8-48A1-88D0-14BA5C6505B3}" xr6:coauthVersionLast="47" xr6:coauthVersionMax="47" xr10:uidLastSave="{00000000-0000-0000-0000-000000000000}"/>
  <bookViews>
    <workbookView xWindow="-26370" yWindow="930" windowWidth="24975" windowHeight="13530" tabRatio="638" activeTab="2" xr2:uid="{DA5B3AD2-116C-4B4A-95AC-416089AD53FA}"/>
  </bookViews>
  <sheets>
    <sheet name="wt% input" sheetId="2" r:id="rId1"/>
    <sheet name="mol% input " sheetId="3" r:id="rId2"/>
    <sheet name="chem" sheetId="16" r:id="rId3"/>
    <sheet name="M vs G" sheetId="15" r:id="rId4"/>
    <sheet name="chem. da organizzare" sheetId="17" r:id="rId5"/>
  </sheets>
  <definedNames>
    <definedName name="_xlnm.Print_Area" localSheetId="0">'wt% input'!$A$1:$J$30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16" l="1"/>
  <c r="K5" i="16"/>
  <c r="J5" i="16"/>
  <c r="CP127" i="16"/>
  <c r="CQ127" i="16"/>
  <c r="DM127" i="16" s="1"/>
  <c r="CR127" i="16"/>
  <c r="CS127" i="16"/>
  <c r="CT127" i="16"/>
  <c r="CU127" i="16"/>
  <c r="CV127" i="16"/>
  <c r="CW127" i="16"/>
  <c r="CX127" i="16"/>
  <c r="CY127" i="16"/>
  <c r="CZ127" i="16"/>
  <c r="DA127" i="16"/>
  <c r="DB127" i="16"/>
  <c r="DC127" i="16"/>
  <c r="DD127" i="16"/>
  <c r="DE127" i="16"/>
  <c r="DF127" i="16"/>
  <c r="DG127" i="16"/>
  <c r="DH127" i="16"/>
  <c r="DI127" i="16"/>
  <c r="DJ127" i="16"/>
  <c r="DK127" i="16"/>
  <c r="CP128" i="16"/>
  <c r="DM128" i="16" s="1"/>
  <c r="CQ128" i="16"/>
  <c r="CR128" i="16"/>
  <c r="CS128" i="16"/>
  <c r="CT128" i="16"/>
  <c r="CU128" i="16"/>
  <c r="CV128" i="16"/>
  <c r="CW128" i="16"/>
  <c r="CX128" i="16"/>
  <c r="CY128" i="16"/>
  <c r="CZ128" i="16"/>
  <c r="DA128" i="16"/>
  <c r="DB128" i="16"/>
  <c r="DC128" i="16"/>
  <c r="DD128" i="16"/>
  <c r="DE128" i="16"/>
  <c r="DF128" i="16"/>
  <c r="DG128" i="16"/>
  <c r="DH128" i="16"/>
  <c r="DI128" i="16"/>
  <c r="DJ128" i="16"/>
  <c r="DK128" i="16"/>
  <c r="CP129" i="16"/>
  <c r="CQ129" i="16"/>
  <c r="CR129" i="16"/>
  <c r="CS129" i="16"/>
  <c r="CT129" i="16"/>
  <c r="CU129" i="16"/>
  <c r="CV129" i="16"/>
  <c r="CW129" i="16"/>
  <c r="CX129" i="16"/>
  <c r="CY129" i="16"/>
  <c r="DM129" i="16" s="1"/>
  <c r="CZ129" i="16"/>
  <c r="DA129" i="16"/>
  <c r="DB129" i="16"/>
  <c r="DC129" i="16"/>
  <c r="DD129" i="16"/>
  <c r="DE129" i="16"/>
  <c r="DF129" i="16"/>
  <c r="DG129" i="16"/>
  <c r="DH129" i="16"/>
  <c r="DI129" i="16"/>
  <c r="DJ129" i="16"/>
  <c r="DK129" i="16"/>
  <c r="CP130" i="16"/>
  <c r="DM130" i="16" s="1"/>
  <c r="CQ130" i="16"/>
  <c r="CR130" i="16"/>
  <c r="CS130" i="16"/>
  <c r="CT130" i="16"/>
  <c r="CU130" i="16"/>
  <c r="CV130" i="16"/>
  <c r="CW130" i="16"/>
  <c r="CX130" i="16"/>
  <c r="CY130" i="16"/>
  <c r="CZ130" i="16"/>
  <c r="DA130" i="16"/>
  <c r="DB130" i="16"/>
  <c r="DC130" i="16"/>
  <c r="DD130" i="16"/>
  <c r="DE130" i="16"/>
  <c r="DF130" i="16"/>
  <c r="DG130" i="16"/>
  <c r="DH130" i="16"/>
  <c r="DI130" i="16"/>
  <c r="DJ130" i="16"/>
  <c r="DK130" i="16"/>
  <c r="CP131" i="16"/>
  <c r="DM131" i="16" s="1"/>
  <c r="CQ131" i="16"/>
  <c r="CR131" i="16"/>
  <c r="CS131" i="16"/>
  <c r="CT131" i="16"/>
  <c r="CU131" i="16"/>
  <c r="CV131" i="16"/>
  <c r="CW131" i="16"/>
  <c r="CX131" i="16"/>
  <c r="CY131" i="16"/>
  <c r="CZ131" i="16"/>
  <c r="DA131" i="16"/>
  <c r="DB131" i="16"/>
  <c r="DC131" i="16"/>
  <c r="DD131" i="16"/>
  <c r="DE131" i="16"/>
  <c r="DF131" i="16"/>
  <c r="DG131" i="16"/>
  <c r="DH131" i="16"/>
  <c r="DI131" i="16"/>
  <c r="DJ131" i="16"/>
  <c r="DK131" i="16"/>
  <c r="CP132" i="16"/>
  <c r="CQ132" i="16"/>
  <c r="CR132" i="16"/>
  <c r="CS132" i="16"/>
  <c r="CT132" i="16"/>
  <c r="CU132" i="16"/>
  <c r="CV132" i="16"/>
  <c r="CW132" i="16"/>
  <c r="CX132" i="16"/>
  <c r="CY132" i="16"/>
  <c r="DM132" i="16" s="1"/>
  <c r="CZ132" i="16"/>
  <c r="DA132" i="16"/>
  <c r="DB132" i="16"/>
  <c r="DC132" i="16"/>
  <c r="DD132" i="16"/>
  <c r="DE132" i="16"/>
  <c r="DF132" i="16"/>
  <c r="DG132" i="16"/>
  <c r="DH132" i="16"/>
  <c r="DI132" i="16"/>
  <c r="DJ132" i="16"/>
  <c r="DK132" i="16"/>
  <c r="CP133" i="16"/>
  <c r="DM133" i="16" s="1"/>
  <c r="CQ133" i="16"/>
  <c r="CR133" i="16"/>
  <c r="CS133" i="16"/>
  <c r="CT133" i="16"/>
  <c r="CU133" i="16"/>
  <c r="CV133" i="16"/>
  <c r="CW133" i="16"/>
  <c r="CX133" i="16"/>
  <c r="CY133" i="16"/>
  <c r="CZ133" i="16"/>
  <c r="DA133" i="16"/>
  <c r="DB133" i="16"/>
  <c r="DC133" i="16"/>
  <c r="DD133" i="16"/>
  <c r="DE133" i="16"/>
  <c r="DF133" i="16"/>
  <c r="DG133" i="16"/>
  <c r="DH133" i="16"/>
  <c r="DI133" i="16"/>
  <c r="DJ133" i="16"/>
  <c r="DK133" i="16"/>
  <c r="CP134" i="16"/>
  <c r="DM134" i="16" s="1"/>
  <c r="CQ134" i="16"/>
  <c r="CR134" i="16"/>
  <c r="CS134" i="16"/>
  <c r="CT134" i="16"/>
  <c r="CU134" i="16"/>
  <c r="CV134" i="16"/>
  <c r="CW134" i="16"/>
  <c r="CX134" i="16"/>
  <c r="CY134" i="16"/>
  <c r="CZ134" i="16"/>
  <c r="DA134" i="16"/>
  <c r="DB134" i="16"/>
  <c r="DC134" i="16"/>
  <c r="DD134" i="16"/>
  <c r="DE134" i="16"/>
  <c r="DF134" i="16"/>
  <c r="DG134" i="16"/>
  <c r="DH134" i="16"/>
  <c r="DI134" i="16"/>
  <c r="DJ134" i="16"/>
  <c r="DK134" i="16"/>
  <c r="CP135" i="16"/>
  <c r="CQ135" i="16"/>
  <c r="CR135" i="16"/>
  <c r="CS135" i="16"/>
  <c r="CT135" i="16"/>
  <c r="CU135" i="16"/>
  <c r="DM135" i="16" s="1"/>
  <c r="CV135" i="16"/>
  <c r="CW135" i="16"/>
  <c r="CX135" i="16"/>
  <c r="CY135" i="16"/>
  <c r="CZ135" i="16"/>
  <c r="DA135" i="16"/>
  <c r="DB135" i="16"/>
  <c r="DC135" i="16"/>
  <c r="DD135" i="16"/>
  <c r="DE135" i="16"/>
  <c r="DF135" i="16"/>
  <c r="DG135" i="16"/>
  <c r="DH135" i="16"/>
  <c r="DI135" i="16"/>
  <c r="DJ135" i="16"/>
  <c r="DK135" i="16"/>
  <c r="CP136" i="16"/>
  <c r="DM136" i="16" s="1"/>
  <c r="CQ136" i="16"/>
  <c r="CR136" i="16"/>
  <c r="CS136" i="16"/>
  <c r="CT136" i="16"/>
  <c r="CU136" i="16"/>
  <c r="CV136" i="16"/>
  <c r="CW136" i="16"/>
  <c r="CX136" i="16"/>
  <c r="CY136" i="16"/>
  <c r="CZ136" i="16"/>
  <c r="DA136" i="16"/>
  <c r="DB136" i="16"/>
  <c r="DC136" i="16"/>
  <c r="DD136" i="16"/>
  <c r="DE136" i="16"/>
  <c r="DF136" i="16"/>
  <c r="DG136" i="16"/>
  <c r="DH136" i="16"/>
  <c r="DI136" i="16"/>
  <c r="DJ136" i="16"/>
  <c r="DK136" i="16"/>
  <c r="CP137" i="16"/>
  <c r="DM137" i="16" s="1"/>
  <c r="CQ137" i="16"/>
  <c r="CR137" i="16"/>
  <c r="CS137" i="16"/>
  <c r="CT137" i="16"/>
  <c r="CU137" i="16"/>
  <c r="CV137" i="16"/>
  <c r="CW137" i="16"/>
  <c r="CX137" i="16"/>
  <c r="CY137" i="16"/>
  <c r="CZ137" i="16"/>
  <c r="DA137" i="16"/>
  <c r="DB137" i="16"/>
  <c r="DC137" i="16"/>
  <c r="DD137" i="16"/>
  <c r="DE137" i="16"/>
  <c r="DF137" i="16"/>
  <c r="DG137" i="16"/>
  <c r="DH137" i="16"/>
  <c r="DI137" i="16"/>
  <c r="DJ137" i="16"/>
  <c r="DK137" i="16"/>
  <c r="CP138" i="16"/>
  <c r="CQ138" i="16"/>
  <c r="CR138" i="16"/>
  <c r="CS138" i="16"/>
  <c r="CT138" i="16"/>
  <c r="CU138" i="16"/>
  <c r="DM138" i="16" s="1"/>
  <c r="CV138" i="16"/>
  <c r="CW138" i="16"/>
  <c r="CX138" i="16"/>
  <c r="CY138" i="16"/>
  <c r="CZ138" i="16"/>
  <c r="DA138" i="16"/>
  <c r="DB138" i="16"/>
  <c r="DC138" i="16"/>
  <c r="DD138" i="16"/>
  <c r="DE138" i="16"/>
  <c r="DF138" i="16"/>
  <c r="DG138" i="16"/>
  <c r="DH138" i="16"/>
  <c r="DI138" i="16"/>
  <c r="DJ138" i="16"/>
  <c r="DK138" i="16"/>
  <c r="CP139" i="16"/>
  <c r="DM139" i="16" s="1"/>
  <c r="CQ139" i="16"/>
  <c r="CR139" i="16"/>
  <c r="CS139" i="16"/>
  <c r="CT139" i="16"/>
  <c r="CU139" i="16"/>
  <c r="CV139" i="16"/>
  <c r="CW139" i="16"/>
  <c r="CX139" i="16"/>
  <c r="CY139" i="16"/>
  <c r="CZ139" i="16"/>
  <c r="DA139" i="16"/>
  <c r="DB139" i="16"/>
  <c r="DC139" i="16"/>
  <c r="DD139" i="16"/>
  <c r="DE139" i="16"/>
  <c r="DF139" i="16"/>
  <c r="DG139" i="16"/>
  <c r="DH139" i="16"/>
  <c r="DI139" i="16"/>
  <c r="DJ139" i="16"/>
  <c r="DK139" i="16"/>
  <c r="CP140" i="16"/>
  <c r="CQ140" i="16"/>
  <c r="CR140" i="16"/>
  <c r="CS140" i="16"/>
  <c r="CT140" i="16"/>
  <c r="CU140" i="16"/>
  <c r="CV140" i="16"/>
  <c r="CW140" i="16"/>
  <c r="CX140" i="16"/>
  <c r="CY140" i="16"/>
  <c r="CZ140" i="16"/>
  <c r="DA140" i="16"/>
  <c r="DB140" i="16"/>
  <c r="DC140" i="16"/>
  <c r="DD140" i="16"/>
  <c r="DE140" i="16"/>
  <c r="DF140" i="16"/>
  <c r="DG140" i="16"/>
  <c r="DH140" i="16"/>
  <c r="DI140" i="16"/>
  <c r="DJ140" i="16"/>
  <c r="DK140" i="16"/>
  <c r="DM140" i="16"/>
  <c r="CP141" i="16"/>
  <c r="CQ141" i="16"/>
  <c r="DM141" i="16" s="1"/>
  <c r="CR141" i="16"/>
  <c r="CS141" i="16"/>
  <c r="CT141" i="16"/>
  <c r="CU141" i="16"/>
  <c r="CV141" i="16"/>
  <c r="CW141" i="16"/>
  <c r="CX141" i="16"/>
  <c r="CY141" i="16"/>
  <c r="CZ141" i="16"/>
  <c r="DA141" i="16"/>
  <c r="DB141" i="16"/>
  <c r="DC141" i="16"/>
  <c r="DD141" i="16"/>
  <c r="DE141" i="16"/>
  <c r="DF141" i="16"/>
  <c r="DG141" i="16"/>
  <c r="DH141" i="16"/>
  <c r="DI141" i="16"/>
  <c r="DJ141" i="16"/>
  <c r="DK141" i="16"/>
  <c r="CP142" i="16"/>
  <c r="DM142" i="16" s="1"/>
  <c r="CQ142" i="16"/>
  <c r="CR142" i="16"/>
  <c r="CS142" i="16"/>
  <c r="CT142" i="16"/>
  <c r="CU142" i="16"/>
  <c r="CV142" i="16"/>
  <c r="CW142" i="16"/>
  <c r="CX142" i="16"/>
  <c r="CY142" i="16"/>
  <c r="CZ142" i="16"/>
  <c r="DA142" i="16"/>
  <c r="DB142" i="16"/>
  <c r="DC142" i="16"/>
  <c r="DD142" i="16"/>
  <c r="DE142" i="16"/>
  <c r="DF142" i="16"/>
  <c r="DG142" i="16"/>
  <c r="DH142" i="16"/>
  <c r="DI142" i="16"/>
  <c r="DJ142" i="16"/>
  <c r="DK142" i="16"/>
  <c r="CP143" i="16"/>
  <c r="CQ143" i="16"/>
  <c r="CR143" i="16"/>
  <c r="CS143" i="16"/>
  <c r="CT143" i="16"/>
  <c r="CU143" i="16"/>
  <c r="CV143" i="16"/>
  <c r="CW143" i="16"/>
  <c r="CX143" i="16"/>
  <c r="CY143" i="16"/>
  <c r="DM143" i="16" s="1"/>
  <c r="CZ143" i="16"/>
  <c r="DA143" i="16"/>
  <c r="DB143" i="16"/>
  <c r="DC143" i="16"/>
  <c r="DD143" i="16"/>
  <c r="DE143" i="16"/>
  <c r="DF143" i="16"/>
  <c r="DG143" i="16"/>
  <c r="DH143" i="16"/>
  <c r="DI143" i="16"/>
  <c r="DJ143" i="16"/>
  <c r="DK143" i="16"/>
  <c r="CP144" i="16"/>
  <c r="DM144" i="16" s="1"/>
  <c r="CQ144" i="16"/>
  <c r="CR144" i="16"/>
  <c r="CS144" i="16"/>
  <c r="CT144" i="16"/>
  <c r="CU144" i="16"/>
  <c r="CV144" i="16"/>
  <c r="CW144" i="16"/>
  <c r="CX144" i="16"/>
  <c r="CY144" i="16"/>
  <c r="CZ144" i="16"/>
  <c r="DA144" i="16"/>
  <c r="DB144" i="16"/>
  <c r="DC144" i="16"/>
  <c r="DD144" i="16"/>
  <c r="DE144" i="16"/>
  <c r="DF144" i="16"/>
  <c r="DG144" i="16"/>
  <c r="DH144" i="16"/>
  <c r="DI144" i="16"/>
  <c r="DJ144" i="16"/>
  <c r="DK144" i="16"/>
  <c r="CP145" i="16"/>
  <c r="DM145" i="16" s="1"/>
  <c r="CQ145" i="16"/>
  <c r="CR145" i="16"/>
  <c r="CS145" i="16"/>
  <c r="CT145" i="16"/>
  <c r="CU145" i="16"/>
  <c r="CV145" i="16"/>
  <c r="CW145" i="16"/>
  <c r="CX145" i="16"/>
  <c r="CY145" i="16"/>
  <c r="CZ145" i="16"/>
  <c r="DA145" i="16"/>
  <c r="DB145" i="16"/>
  <c r="DC145" i="16"/>
  <c r="DD145" i="16"/>
  <c r="DE145" i="16"/>
  <c r="DF145" i="16"/>
  <c r="DG145" i="16"/>
  <c r="DH145" i="16"/>
  <c r="DI145" i="16"/>
  <c r="DJ145" i="16"/>
  <c r="DK145" i="16"/>
  <c r="CP146" i="16"/>
  <c r="CQ146" i="16"/>
  <c r="CR146" i="16"/>
  <c r="CS146" i="16"/>
  <c r="CT146" i="16"/>
  <c r="CU146" i="16"/>
  <c r="CV146" i="16"/>
  <c r="CW146" i="16"/>
  <c r="CX146" i="16"/>
  <c r="CY146" i="16"/>
  <c r="DM146" i="16" s="1"/>
  <c r="CZ146" i="16"/>
  <c r="DA146" i="16"/>
  <c r="DB146" i="16"/>
  <c r="DC146" i="16"/>
  <c r="DD146" i="16"/>
  <c r="DE146" i="16"/>
  <c r="DF146" i="16"/>
  <c r="DG146" i="16"/>
  <c r="DH146" i="16"/>
  <c r="DI146" i="16"/>
  <c r="DJ146" i="16"/>
  <c r="DK146" i="16"/>
  <c r="CP147" i="16"/>
  <c r="DM147" i="16" s="1"/>
  <c r="CQ147" i="16"/>
  <c r="CR147" i="16"/>
  <c r="CS147" i="16"/>
  <c r="CT147" i="16"/>
  <c r="CU147" i="16"/>
  <c r="CV147" i="16"/>
  <c r="CW147" i="16"/>
  <c r="CX147" i="16"/>
  <c r="CY147" i="16"/>
  <c r="CZ147" i="16"/>
  <c r="DA147" i="16"/>
  <c r="DB147" i="16"/>
  <c r="DC147" i="16"/>
  <c r="DD147" i="16"/>
  <c r="DE147" i="16"/>
  <c r="DF147" i="16"/>
  <c r="DG147" i="16"/>
  <c r="DH147" i="16"/>
  <c r="DI147" i="16"/>
  <c r="DJ147" i="16"/>
  <c r="DK147" i="16"/>
  <c r="CP148" i="16"/>
  <c r="DM148" i="16" s="1"/>
  <c r="CQ148" i="16"/>
  <c r="CR148" i="16"/>
  <c r="CS148" i="16"/>
  <c r="CT148" i="16"/>
  <c r="CU148" i="16"/>
  <c r="CV148" i="16"/>
  <c r="CW148" i="16"/>
  <c r="CX148" i="16"/>
  <c r="CY148" i="16"/>
  <c r="CZ148" i="16"/>
  <c r="DA148" i="16"/>
  <c r="DB148" i="16"/>
  <c r="DC148" i="16"/>
  <c r="DD148" i="16"/>
  <c r="DE148" i="16"/>
  <c r="DF148" i="16"/>
  <c r="DG148" i="16"/>
  <c r="DH148" i="16"/>
  <c r="DI148" i="16"/>
  <c r="DJ148" i="16"/>
  <c r="DK148" i="16"/>
  <c r="CP149" i="16"/>
  <c r="CQ149" i="16"/>
  <c r="CR149" i="16"/>
  <c r="CS149" i="16"/>
  <c r="CT149" i="16"/>
  <c r="CU149" i="16"/>
  <c r="DM149" i="16" s="1"/>
  <c r="CV149" i="16"/>
  <c r="CW149" i="16"/>
  <c r="CX149" i="16"/>
  <c r="CY149" i="16"/>
  <c r="CZ149" i="16"/>
  <c r="DA149" i="16"/>
  <c r="DB149" i="16"/>
  <c r="DC149" i="16"/>
  <c r="DD149" i="16"/>
  <c r="DE149" i="16"/>
  <c r="DF149" i="16"/>
  <c r="DG149" i="16"/>
  <c r="DH149" i="16"/>
  <c r="DI149" i="16"/>
  <c r="DJ149" i="16"/>
  <c r="DK149" i="16"/>
  <c r="CP150" i="16"/>
  <c r="DM150" i="16" s="1"/>
  <c r="CQ150" i="16"/>
  <c r="CR150" i="16"/>
  <c r="CS150" i="16"/>
  <c r="CT150" i="16"/>
  <c r="CU150" i="16"/>
  <c r="CV150" i="16"/>
  <c r="CW150" i="16"/>
  <c r="CX150" i="16"/>
  <c r="CY150" i="16"/>
  <c r="CZ150" i="16"/>
  <c r="DA150" i="16"/>
  <c r="DB150" i="16"/>
  <c r="DC150" i="16"/>
  <c r="DD150" i="16"/>
  <c r="DE150" i="16"/>
  <c r="DF150" i="16"/>
  <c r="DG150" i="16"/>
  <c r="DH150" i="16"/>
  <c r="DI150" i="16"/>
  <c r="DJ150" i="16"/>
  <c r="DK150" i="16"/>
  <c r="CP151" i="16"/>
  <c r="DM151" i="16" s="1"/>
  <c r="CQ151" i="16"/>
  <c r="CR151" i="16"/>
  <c r="CS151" i="16"/>
  <c r="CT151" i="16"/>
  <c r="CU151" i="16"/>
  <c r="CV151" i="16"/>
  <c r="CW151" i="16"/>
  <c r="CX151" i="16"/>
  <c r="CY151" i="16"/>
  <c r="CZ151" i="16"/>
  <c r="DA151" i="16"/>
  <c r="DB151" i="16"/>
  <c r="DC151" i="16"/>
  <c r="DD151" i="16"/>
  <c r="DE151" i="16"/>
  <c r="DF151" i="16"/>
  <c r="DG151" i="16"/>
  <c r="DH151" i="16"/>
  <c r="DI151" i="16"/>
  <c r="DJ151" i="16"/>
  <c r="DK151" i="16"/>
  <c r="CP152" i="16"/>
  <c r="CQ152" i="16"/>
  <c r="CR152" i="16"/>
  <c r="CS152" i="16"/>
  <c r="CT152" i="16"/>
  <c r="CU152" i="16"/>
  <c r="CV152" i="16"/>
  <c r="DM152" i="16" s="1"/>
  <c r="CW152" i="16"/>
  <c r="CX152" i="16"/>
  <c r="CY152" i="16"/>
  <c r="CZ152" i="16"/>
  <c r="DA152" i="16"/>
  <c r="DB152" i="16"/>
  <c r="DC152" i="16"/>
  <c r="DD152" i="16"/>
  <c r="DE152" i="16"/>
  <c r="DF152" i="16"/>
  <c r="DG152" i="16"/>
  <c r="DH152" i="16"/>
  <c r="DI152" i="16"/>
  <c r="DJ152" i="16"/>
  <c r="DK152" i="16"/>
  <c r="CP153" i="16"/>
  <c r="DM153" i="16" s="1"/>
  <c r="CQ153" i="16"/>
  <c r="CR153" i="16"/>
  <c r="CS153" i="16"/>
  <c r="CT153" i="16"/>
  <c r="CU153" i="16"/>
  <c r="CV153" i="16"/>
  <c r="CW153" i="16"/>
  <c r="CX153" i="16"/>
  <c r="CY153" i="16"/>
  <c r="CZ153" i="16"/>
  <c r="DA153" i="16"/>
  <c r="DB153" i="16"/>
  <c r="DC153" i="16"/>
  <c r="DD153" i="16"/>
  <c r="DE153" i="16"/>
  <c r="DF153" i="16"/>
  <c r="DG153" i="16"/>
  <c r="DH153" i="16"/>
  <c r="DI153" i="16"/>
  <c r="DJ153" i="16"/>
  <c r="DK153" i="16"/>
  <c r="CP154" i="16"/>
  <c r="CQ154" i="16"/>
  <c r="CR154" i="16"/>
  <c r="CS154" i="16"/>
  <c r="CT154" i="16"/>
  <c r="CU154" i="16"/>
  <c r="CV154" i="16"/>
  <c r="CW154" i="16"/>
  <c r="CX154" i="16"/>
  <c r="CY154" i="16"/>
  <c r="CZ154" i="16"/>
  <c r="DA154" i="16"/>
  <c r="DB154" i="16"/>
  <c r="DC154" i="16"/>
  <c r="DD154" i="16"/>
  <c r="DE154" i="16"/>
  <c r="DF154" i="16"/>
  <c r="DG154" i="16"/>
  <c r="DH154" i="16"/>
  <c r="DI154" i="16"/>
  <c r="DJ154" i="16"/>
  <c r="DK154" i="16"/>
  <c r="DM154" i="16"/>
  <c r="CP155" i="16"/>
  <c r="CQ155" i="16"/>
  <c r="DM155" i="16" s="1"/>
  <c r="CR155" i="16"/>
  <c r="CS155" i="16"/>
  <c r="CT155" i="16"/>
  <c r="CU155" i="16"/>
  <c r="CV155" i="16"/>
  <c r="CW155" i="16"/>
  <c r="CX155" i="16"/>
  <c r="CY155" i="16"/>
  <c r="CZ155" i="16"/>
  <c r="DA155" i="16"/>
  <c r="DB155" i="16"/>
  <c r="DC155" i="16"/>
  <c r="DD155" i="16"/>
  <c r="DE155" i="16"/>
  <c r="DF155" i="16"/>
  <c r="DG155" i="16"/>
  <c r="DH155" i="16"/>
  <c r="DI155" i="16"/>
  <c r="DJ155" i="16"/>
  <c r="DK155" i="16"/>
  <c r="CP156" i="16"/>
  <c r="DM156" i="16" s="1"/>
  <c r="CQ156" i="16"/>
  <c r="CR156" i="16"/>
  <c r="CS156" i="16"/>
  <c r="CT156" i="16"/>
  <c r="CU156" i="16"/>
  <c r="CV156" i="16"/>
  <c r="CW156" i="16"/>
  <c r="CX156" i="16"/>
  <c r="CY156" i="16"/>
  <c r="CZ156" i="16"/>
  <c r="DA156" i="16"/>
  <c r="DB156" i="16"/>
  <c r="DC156" i="16"/>
  <c r="DD156" i="16"/>
  <c r="DE156" i="16"/>
  <c r="DF156" i="16"/>
  <c r="DG156" i="16"/>
  <c r="DH156" i="16"/>
  <c r="DI156" i="16"/>
  <c r="DJ156" i="16"/>
  <c r="DK156" i="16"/>
  <c r="CP157" i="16"/>
  <c r="CQ157" i="16"/>
  <c r="CR157" i="16"/>
  <c r="CS157" i="16"/>
  <c r="CT157" i="16"/>
  <c r="CU157" i="16"/>
  <c r="CV157" i="16"/>
  <c r="CW157" i="16"/>
  <c r="CX157" i="16"/>
  <c r="CY157" i="16"/>
  <c r="DM157" i="16" s="1"/>
  <c r="CZ157" i="16"/>
  <c r="DA157" i="16"/>
  <c r="DB157" i="16"/>
  <c r="DC157" i="16"/>
  <c r="DD157" i="16"/>
  <c r="DE157" i="16"/>
  <c r="DF157" i="16"/>
  <c r="DG157" i="16"/>
  <c r="DH157" i="16"/>
  <c r="DI157" i="16"/>
  <c r="DJ157" i="16"/>
  <c r="DK157" i="16"/>
  <c r="CP158" i="16"/>
  <c r="DM158" i="16" s="1"/>
  <c r="CQ158" i="16"/>
  <c r="CR158" i="16"/>
  <c r="CS158" i="16"/>
  <c r="CT158" i="16"/>
  <c r="CU158" i="16"/>
  <c r="CV158" i="16"/>
  <c r="CW158" i="16"/>
  <c r="CX158" i="16"/>
  <c r="CY158" i="16"/>
  <c r="CZ158" i="16"/>
  <c r="DA158" i="16"/>
  <c r="DB158" i="16"/>
  <c r="DC158" i="16"/>
  <c r="DD158" i="16"/>
  <c r="DE158" i="16"/>
  <c r="DF158" i="16"/>
  <c r="DG158" i="16"/>
  <c r="DH158" i="16"/>
  <c r="DI158" i="16"/>
  <c r="DJ158" i="16"/>
  <c r="DK158" i="16"/>
  <c r="CP159" i="16"/>
  <c r="DM159" i="16" s="1"/>
  <c r="CQ159" i="16"/>
  <c r="CR159" i="16"/>
  <c r="CS159" i="16"/>
  <c r="CT159" i="16"/>
  <c r="CU159" i="16"/>
  <c r="CV159" i="16"/>
  <c r="CW159" i="16"/>
  <c r="CX159" i="16"/>
  <c r="CY159" i="16"/>
  <c r="CZ159" i="16"/>
  <c r="DA159" i="16"/>
  <c r="DB159" i="16"/>
  <c r="DC159" i="16"/>
  <c r="DD159" i="16"/>
  <c r="DE159" i="16"/>
  <c r="DF159" i="16"/>
  <c r="DG159" i="16"/>
  <c r="DH159" i="16"/>
  <c r="DI159" i="16"/>
  <c r="DJ159" i="16"/>
  <c r="DK159" i="16"/>
  <c r="CP160" i="16"/>
  <c r="CQ160" i="16"/>
  <c r="CR160" i="16"/>
  <c r="CS160" i="16"/>
  <c r="CT160" i="16"/>
  <c r="CU160" i="16"/>
  <c r="CV160" i="16"/>
  <c r="CW160" i="16"/>
  <c r="CX160" i="16"/>
  <c r="CY160" i="16"/>
  <c r="DM160" i="16" s="1"/>
  <c r="CZ160" i="16"/>
  <c r="DA160" i="16"/>
  <c r="DB160" i="16"/>
  <c r="DC160" i="16"/>
  <c r="DD160" i="16"/>
  <c r="DE160" i="16"/>
  <c r="DF160" i="16"/>
  <c r="DG160" i="16"/>
  <c r="DH160" i="16"/>
  <c r="DI160" i="16"/>
  <c r="DJ160" i="16"/>
  <c r="DK160" i="16"/>
  <c r="CP161" i="16"/>
  <c r="DM161" i="16" s="1"/>
  <c r="CQ161" i="16"/>
  <c r="CR161" i="16"/>
  <c r="CS161" i="16"/>
  <c r="CT161" i="16"/>
  <c r="CU161" i="16"/>
  <c r="CV161" i="16"/>
  <c r="CW161" i="16"/>
  <c r="CX161" i="16"/>
  <c r="CY161" i="16"/>
  <c r="CZ161" i="16"/>
  <c r="DA161" i="16"/>
  <c r="DB161" i="16"/>
  <c r="DC161" i="16"/>
  <c r="DD161" i="16"/>
  <c r="DE161" i="16"/>
  <c r="DF161" i="16"/>
  <c r="DG161" i="16"/>
  <c r="DH161" i="16"/>
  <c r="DI161" i="16"/>
  <c r="DJ161" i="16"/>
  <c r="DK161" i="16"/>
  <c r="CP162" i="16"/>
  <c r="DM162" i="16" s="1"/>
  <c r="CQ162" i="16"/>
  <c r="CR162" i="16"/>
  <c r="CS162" i="16"/>
  <c r="CT162" i="16"/>
  <c r="CU162" i="16"/>
  <c r="CV162" i="16"/>
  <c r="CW162" i="16"/>
  <c r="CX162" i="16"/>
  <c r="CY162" i="16"/>
  <c r="CZ162" i="16"/>
  <c r="DA162" i="16"/>
  <c r="DB162" i="16"/>
  <c r="DC162" i="16"/>
  <c r="DD162" i="16"/>
  <c r="DE162" i="16"/>
  <c r="DF162" i="16"/>
  <c r="DG162" i="16"/>
  <c r="DH162" i="16"/>
  <c r="DI162" i="16"/>
  <c r="DJ162" i="16"/>
  <c r="DK162" i="16"/>
  <c r="CP163" i="16"/>
  <c r="CQ163" i="16"/>
  <c r="CR163" i="16"/>
  <c r="CS163" i="16"/>
  <c r="CT163" i="16"/>
  <c r="CU163" i="16"/>
  <c r="DM163" i="16" s="1"/>
  <c r="CV163" i="16"/>
  <c r="CW163" i="16"/>
  <c r="CX163" i="16"/>
  <c r="CY163" i="16"/>
  <c r="CZ163" i="16"/>
  <c r="DA163" i="16"/>
  <c r="DB163" i="16"/>
  <c r="DC163" i="16"/>
  <c r="DD163" i="16"/>
  <c r="DE163" i="16"/>
  <c r="DF163" i="16"/>
  <c r="DG163" i="16"/>
  <c r="DH163" i="16"/>
  <c r="DI163" i="16"/>
  <c r="DJ163" i="16"/>
  <c r="DK163" i="16"/>
  <c r="CP164" i="16"/>
  <c r="DM164" i="16" s="1"/>
  <c r="CQ164" i="16"/>
  <c r="CR164" i="16"/>
  <c r="CS164" i="16"/>
  <c r="CT164" i="16"/>
  <c r="CU164" i="16"/>
  <c r="CV164" i="16"/>
  <c r="CW164" i="16"/>
  <c r="CX164" i="16"/>
  <c r="CY164" i="16"/>
  <c r="CZ164" i="16"/>
  <c r="DA164" i="16"/>
  <c r="DB164" i="16"/>
  <c r="DC164" i="16"/>
  <c r="DD164" i="16"/>
  <c r="DE164" i="16"/>
  <c r="DF164" i="16"/>
  <c r="DG164" i="16"/>
  <c r="DH164" i="16"/>
  <c r="DI164" i="16"/>
  <c r="DJ164" i="16"/>
  <c r="DK164" i="16"/>
  <c r="CP165" i="16"/>
  <c r="DM165" i="16" s="1"/>
  <c r="CQ165" i="16"/>
  <c r="CR165" i="16"/>
  <c r="CS165" i="16"/>
  <c r="CT165" i="16"/>
  <c r="CU165" i="16"/>
  <c r="CV165" i="16"/>
  <c r="CW165" i="16"/>
  <c r="CX165" i="16"/>
  <c r="CY165" i="16"/>
  <c r="CZ165" i="16"/>
  <c r="DA165" i="16"/>
  <c r="DB165" i="16"/>
  <c r="DC165" i="16"/>
  <c r="DD165" i="16"/>
  <c r="DE165" i="16"/>
  <c r="DF165" i="16"/>
  <c r="DG165" i="16"/>
  <c r="DH165" i="16"/>
  <c r="DI165" i="16"/>
  <c r="DJ165" i="16"/>
  <c r="DK165" i="16"/>
  <c r="CP166" i="16"/>
  <c r="CQ166" i="16"/>
  <c r="CR166" i="16"/>
  <c r="CS166" i="16"/>
  <c r="CT166" i="16"/>
  <c r="CU166" i="16"/>
  <c r="CV166" i="16"/>
  <c r="DM166" i="16" s="1"/>
  <c r="CW166" i="16"/>
  <c r="CX166" i="16"/>
  <c r="CY166" i="16"/>
  <c r="CZ166" i="16"/>
  <c r="DA166" i="16"/>
  <c r="DB166" i="16"/>
  <c r="DC166" i="16"/>
  <c r="DD166" i="16"/>
  <c r="DE166" i="16"/>
  <c r="DF166" i="16"/>
  <c r="DG166" i="16"/>
  <c r="DH166" i="16"/>
  <c r="DI166" i="16"/>
  <c r="DJ166" i="16"/>
  <c r="DK166" i="16"/>
  <c r="CP167" i="16"/>
  <c r="DM167" i="16" s="1"/>
  <c r="CQ167" i="16"/>
  <c r="CR167" i="16"/>
  <c r="CS167" i="16"/>
  <c r="CT167" i="16"/>
  <c r="CU167" i="16"/>
  <c r="CV167" i="16"/>
  <c r="CW167" i="16"/>
  <c r="CX167" i="16"/>
  <c r="CY167" i="16"/>
  <c r="CZ167" i="16"/>
  <c r="DA167" i="16"/>
  <c r="DB167" i="16"/>
  <c r="DC167" i="16"/>
  <c r="DD167" i="16"/>
  <c r="DE167" i="16"/>
  <c r="DF167" i="16"/>
  <c r="DG167" i="16"/>
  <c r="DH167" i="16"/>
  <c r="DI167" i="16"/>
  <c r="DJ167" i="16"/>
  <c r="DK167" i="16"/>
  <c r="CP168" i="16"/>
  <c r="CQ168" i="16"/>
  <c r="CR168" i="16"/>
  <c r="CS168" i="16"/>
  <c r="CT168" i="16"/>
  <c r="CU168" i="16"/>
  <c r="CV168" i="16"/>
  <c r="CW168" i="16"/>
  <c r="CX168" i="16"/>
  <c r="CY168" i="16"/>
  <c r="CZ168" i="16"/>
  <c r="DA168" i="16"/>
  <c r="DB168" i="16"/>
  <c r="DC168" i="16"/>
  <c r="DD168" i="16"/>
  <c r="DE168" i="16"/>
  <c r="DF168" i="16"/>
  <c r="DG168" i="16"/>
  <c r="DH168" i="16"/>
  <c r="DI168" i="16"/>
  <c r="DJ168" i="16"/>
  <c r="DK168" i="16"/>
  <c r="DM168" i="16"/>
  <c r="CP169" i="16"/>
  <c r="CQ169" i="16"/>
  <c r="DM169" i="16" s="1"/>
  <c r="CR169" i="16"/>
  <c r="CS169" i="16"/>
  <c r="CT169" i="16"/>
  <c r="CU169" i="16"/>
  <c r="CV169" i="16"/>
  <c r="CW169" i="16"/>
  <c r="CX169" i="16"/>
  <c r="CY169" i="16"/>
  <c r="CZ169" i="16"/>
  <c r="DA169" i="16"/>
  <c r="DB169" i="16"/>
  <c r="DC169" i="16"/>
  <c r="DD169" i="16"/>
  <c r="DE169" i="16"/>
  <c r="DF169" i="16"/>
  <c r="DG169" i="16"/>
  <c r="DH169" i="16"/>
  <c r="DI169" i="16"/>
  <c r="DJ169" i="16"/>
  <c r="DK169" i="16"/>
  <c r="CP170" i="16"/>
  <c r="DM170" i="16" s="1"/>
  <c r="CQ170" i="16"/>
  <c r="CR170" i="16"/>
  <c r="CS170" i="16"/>
  <c r="CT170" i="16"/>
  <c r="CU170" i="16"/>
  <c r="CV170" i="16"/>
  <c r="CW170" i="16"/>
  <c r="CX170" i="16"/>
  <c r="CY170" i="16"/>
  <c r="CZ170" i="16"/>
  <c r="DA170" i="16"/>
  <c r="DB170" i="16"/>
  <c r="DC170" i="16"/>
  <c r="DD170" i="16"/>
  <c r="DE170" i="16"/>
  <c r="DF170" i="16"/>
  <c r="DG170" i="16"/>
  <c r="DH170" i="16"/>
  <c r="DI170" i="16"/>
  <c r="DJ170" i="16"/>
  <c r="DK170" i="16"/>
  <c r="CP171" i="16"/>
  <c r="CQ171" i="16"/>
  <c r="CR171" i="16"/>
  <c r="CS171" i="16"/>
  <c r="CT171" i="16"/>
  <c r="CU171" i="16"/>
  <c r="CV171" i="16"/>
  <c r="CW171" i="16"/>
  <c r="CX171" i="16"/>
  <c r="CY171" i="16"/>
  <c r="DM171" i="16" s="1"/>
  <c r="CZ171" i="16"/>
  <c r="DA171" i="16"/>
  <c r="DB171" i="16"/>
  <c r="DC171" i="16"/>
  <c r="DD171" i="16"/>
  <c r="DE171" i="16"/>
  <c r="DF171" i="16"/>
  <c r="DG171" i="16"/>
  <c r="DH171" i="16"/>
  <c r="DI171" i="16"/>
  <c r="DJ171" i="16"/>
  <c r="DK171" i="16"/>
  <c r="CP172" i="16"/>
  <c r="DM172" i="16" s="1"/>
  <c r="CQ172" i="16"/>
  <c r="CR172" i="16"/>
  <c r="CS172" i="16"/>
  <c r="CT172" i="16"/>
  <c r="CU172" i="16"/>
  <c r="CV172" i="16"/>
  <c r="CW172" i="16"/>
  <c r="CX172" i="16"/>
  <c r="CY172" i="16"/>
  <c r="CZ172" i="16"/>
  <c r="DA172" i="16"/>
  <c r="DB172" i="16"/>
  <c r="DC172" i="16"/>
  <c r="DD172" i="16"/>
  <c r="DE172" i="16"/>
  <c r="DF172" i="16"/>
  <c r="DG172" i="16"/>
  <c r="DH172" i="16"/>
  <c r="DI172" i="16"/>
  <c r="DJ172" i="16"/>
  <c r="DK172" i="16"/>
  <c r="CP173" i="16"/>
  <c r="DM173" i="16" s="1"/>
  <c r="CQ173" i="16"/>
  <c r="CR173" i="16"/>
  <c r="CS173" i="16"/>
  <c r="CT173" i="16"/>
  <c r="CU173" i="16"/>
  <c r="CV173" i="16"/>
  <c r="CW173" i="16"/>
  <c r="CX173" i="16"/>
  <c r="CY173" i="16"/>
  <c r="CZ173" i="16"/>
  <c r="DA173" i="16"/>
  <c r="DB173" i="16"/>
  <c r="DC173" i="16"/>
  <c r="DD173" i="16"/>
  <c r="DE173" i="16"/>
  <c r="DF173" i="16"/>
  <c r="DG173" i="16"/>
  <c r="DH173" i="16"/>
  <c r="DI173" i="16"/>
  <c r="DJ173" i="16"/>
  <c r="DK173" i="16"/>
  <c r="CP174" i="16"/>
  <c r="CQ174" i="16"/>
  <c r="CR174" i="16"/>
  <c r="CS174" i="16"/>
  <c r="CT174" i="16"/>
  <c r="CU174" i="16"/>
  <c r="CV174" i="16"/>
  <c r="CW174" i="16"/>
  <c r="CX174" i="16"/>
  <c r="CY174" i="16"/>
  <c r="DM174" i="16" s="1"/>
  <c r="CZ174" i="16"/>
  <c r="DA174" i="16"/>
  <c r="DB174" i="16"/>
  <c r="DC174" i="16"/>
  <c r="DD174" i="16"/>
  <c r="DE174" i="16"/>
  <c r="DF174" i="16"/>
  <c r="DG174" i="16"/>
  <c r="DH174" i="16"/>
  <c r="DI174" i="16"/>
  <c r="DJ174" i="16"/>
  <c r="DK174" i="16"/>
  <c r="CP175" i="16"/>
  <c r="DM175" i="16" s="1"/>
  <c r="CQ175" i="16"/>
  <c r="CR175" i="16"/>
  <c r="CS175" i="16"/>
  <c r="CT175" i="16"/>
  <c r="CU175" i="16"/>
  <c r="CV175" i="16"/>
  <c r="CW175" i="16"/>
  <c r="CX175" i="16"/>
  <c r="CY175" i="16"/>
  <c r="CZ175" i="16"/>
  <c r="DA175" i="16"/>
  <c r="DB175" i="16"/>
  <c r="DC175" i="16"/>
  <c r="DD175" i="16"/>
  <c r="DE175" i="16"/>
  <c r="DF175" i="16"/>
  <c r="DG175" i="16"/>
  <c r="DH175" i="16"/>
  <c r="DI175" i="16"/>
  <c r="DJ175" i="16"/>
  <c r="DK175" i="16"/>
  <c r="CP176" i="16"/>
  <c r="DM176" i="16" s="1"/>
  <c r="CQ176" i="16"/>
  <c r="CR176" i="16"/>
  <c r="CS176" i="16"/>
  <c r="CT176" i="16"/>
  <c r="CU176" i="16"/>
  <c r="CV176" i="16"/>
  <c r="CW176" i="16"/>
  <c r="CX176" i="16"/>
  <c r="CY176" i="16"/>
  <c r="CZ176" i="16"/>
  <c r="DA176" i="16"/>
  <c r="DB176" i="16"/>
  <c r="DC176" i="16"/>
  <c r="DD176" i="16"/>
  <c r="DE176" i="16"/>
  <c r="DF176" i="16"/>
  <c r="DG176" i="16"/>
  <c r="DH176" i="16"/>
  <c r="DI176" i="16"/>
  <c r="DJ176" i="16"/>
  <c r="DK176" i="16"/>
  <c r="CP177" i="16"/>
  <c r="CQ177" i="16"/>
  <c r="CR177" i="16"/>
  <c r="CS177" i="16"/>
  <c r="CT177" i="16"/>
  <c r="CU177" i="16"/>
  <c r="DM177" i="16" s="1"/>
  <c r="CV177" i="16"/>
  <c r="CW177" i="16"/>
  <c r="CX177" i="16"/>
  <c r="CY177" i="16"/>
  <c r="CZ177" i="16"/>
  <c r="DA177" i="16"/>
  <c r="DB177" i="16"/>
  <c r="DC177" i="16"/>
  <c r="DD177" i="16"/>
  <c r="DE177" i="16"/>
  <c r="DF177" i="16"/>
  <c r="DG177" i="16"/>
  <c r="DH177" i="16"/>
  <c r="DI177" i="16"/>
  <c r="DJ177" i="16"/>
  <c r="DK177" i="16"/>
  <c r="CP178" i="16"/>
  <c r="DM178" i="16" s="1"/>
  <c r="CQ178" i="16"/>
  <c r="CR178" i="16"/>
  <c r="CS178" i="16"/>
  <c r="CT178" i="16"/>
  <c r="CU178" i="16"/>
  <c r="CV178" i="16"/>
  <c r="CW178" i="16"/>
  <c r="CX178" i="16"/>
  <c r="CY178" i="16"/>
  <c r="CZ178" i="16"/>
  <c r="DA178" i="16"/>
  <c r="DB178" i="16"/>
  <c r="DC178" i="16"/>
  <c r="DD178" i="16"/>
  <c r="DE178" i="16"/>
  <c r="DF178" i="16"/>
  <c r="DG178" i="16"/>
  <c r="DH178" i="16"/>
  <c r="DI178" i="16"/>
  <c r="DJ178" i="16"/>
  <c r="DK178" i="16"/>
  <c r="CP179" i="16"/>
  <c r="DM179" i="16" s="1"/>
  <c r="CQ179" i="16"/>
  <c r="CR179" i="16"/>
  <c r="CS179" i="16"/>
  <c r="CT179" i="16"/>
  <c r="CU179" i="16"/>
  <c r="CV179" i="16"/>
  <c r="CW179" i="16"/>
  <c r="CX179" i="16"/>
  <c r="CY179" i="16"/>
  <c r="CZ179" i="16"/>
  <c r="DA179" i="16"/>
  <c r="DB179" i="16"/>
  <c r="DC179" i="16"/>
  <c r="DD179" i="16"/>
  <c r="DE179" i="16"/>
  <c r="DF179" i="16"/>
  <c r="DG179" i="16"/>
  <c r="DH179" i="16"/>
  <c r="DI179" i="16"/>
  <c r="DJ179" i="16"/>
  <c r="DK179" i="16"/>
  <c r="CP180" i="16"/>
  <c r="CQ180" i="16"/>
  <c r="CR180" i="16"/>
  <c r="CS180" i="16"/>
  <c r="CT180" i="16"/>
  <c r="CU180" i="16"/>
  <c r="CV180" i="16"/>
  <c r="DM180" i="16" s="1"/>
  <c r="CW180" i="16"/>
  <c r="CX180" i="16"/>
  <c r="CY180" i="16"/>
  <c r="CZ180" i="16"/>
  <c r="DA180" i="16"/>
  <c r="DB180" i="16"/>
  <c r="DC180" i="16"/>
  <c r="DD180" i="16"/>
  <c r="DE180" i="16"/>
  <c r="DF180" i="16"/>
  <c r="DG180" i="16"/>
  <c r="DH180" i="16"/>
  <c r="DI180" i="16"/>
  <c r="DJ180" i="16"/>
  <c r="DK180" i="16"/>
  <c r="CP181" i="16"/>
  <c r="DM181" i="16" s="1"/>
  <c r="CQ181" i="16"/>
  <c r="CR181" i="16"/>
  <c r="CS181" i="16"/>
  <c r="CT181" i="16"/>
  <c r="CU181" i="16"/>
  <c r="CV181" i="16"/>
  <c r="CW181" i="16"/>
  <c r="CX181" i="16"/>
  <c r="CY181" i="16"/>
  <c r="CZ181" i="16"/>
  <c r="DA181" i="16"/>
  <c r="DB181" i="16"/>
  <c r="DC181" i="16"/>
  <c r="DD181" i="16"/>
  <c r="DE181" i="16"/>
  <c r="DF181" i="16"/>
  <c r="DG181" i="16"/>
  <c r="DH181" i="16"/>
  <c r="DI181" i="16"/>
  <c r="DJ181" i="16"/>
  <c r="DK181" i="16"/>
  <c r="CP182" i="16"/>
  <c r="CQ182" i="16"/>
  <c r="CR182" i="16"/>
  <c r="CS182" i="16"/>
  <c r="CT182" i="16"/>
  <c r="CU182" i="16"/>
  <c r="CV182" i="16"/>
  <c r="CW182" i="16"/>
  <c r="CX182" i="16"/>
  <c r="CY182" i="16"/>
  <c r="CZ182" i="16"/>
  <c r="DA182" i="16"/>
  <c r="DB182" i="16"/>
  <c r="DC182" i="16"/>
  <c r="DD182" i="16"/>
  <c r="DE182" i="16"/>
  <c r="DF182" i="16"/>
  <c r="DG182" i="16"/>
  <c r="DH182" i="16"/>
  <c r="DI182" i="16"/>
  <c r="DJ182" i="16"/>
  <c r="DK182" i="16"/>
  <c r="DM182" i="16"/>
  <c r="CP183" i="16"/>
  <c r="CQ183" i="16"/>
  <c r="DM183" i="16" s="1"/>
  <c r="CR183" i="16"/>
  <c r="CS183" i="16"/>
  <c r="CT183" i="16"/>
  <c r="CU183" i="16"/>
  <c r="CV183" i="16"/>
  <c r="CW183" i="16"/>
  <c r="CX183" i="16"/>
  <c r="CY183" i="16"/>
  <c r="CZ183" i="16"/>
  <c r="DA183" i="16"/>
  <c r="DB183" i="16"/>
  <c r="DC183" i="16"/>
  <c r="DD183" i="16"/>
  <c r="DE183" i="16"/>
  <c r="DF183" i="16"/>
  <c r="DG183" i="16"/>
  <c r="DH183" i="16"/>
  <c r="DI183" i="16"/>
  <c r="DJ183" i="16"/>
  <c r="DK183" i="16"/>
  <c r="CP184" i="16"/>
  <c r="DM184" i="16" s="1"/>
  <c r="CQ184" i="16"/>
  <c r="CR184" i="16"/>
  <c r="CS184" i="16"/>
  <c r="CT184" i="16"/>
  <c r="CU184" i="16"/>
  <c r="CV184" i="16"/>
  <c r="CW184" i="16"/>
  <c r="CX184" i="16"/>
  <c r="CY184" i="16"/>
  <c r="CZ184" i="16"/>
  <c r="DA184" i="16"/>
  <c r="DB184" i="16"/>
  <c r="DC184" i="16"/>
  <c r="DD184" i="16"/>
  <c r="DE184" i="16"/>
  <c r="DF184" i="16"/>
  <c r="DG184" i="16"/>
  <c r="DH184" i="16"/>
  <c r="DI184" i="16"/>
  <c r="DJ184" i="16"/>
  <c r="DK184" i="16"/>
  <c r="CP185" i="16"/>
  <c r="CQ185" i="16"/>
  <c r="CR185" i="16"/>
  <c r="CS185" i="16"/>
  <c r="CT185" i="16"/>
  <c r="CU185" i="16"/>
  <c r="CV185" i="16"/>
  <c r="CW185" i="16"/>
  <c r="CX185" i="16"/>
  <c r="CY185" i="16"/>
  <c r="DM185" i="16" s="1"/>
  <c r="CZ185" i="16"/>
  <c r="DA185" i="16"/>
  <c r="DB185" i="16"/>
  <c r="DC185" i="16"/>
  <c r="DD185" i="16"/>
  <c r="DE185" i="16"/>
  <c r="DF185" i="16"/>
  <c r="DG185" i="16"/>
  <c r="DH185" i="16"/>
  <c r="DI185" i="16"/>
  <c r="DJ185" i="16"/>
  <c r="DK185" i="16"/>
  <c r="CP186" i="16"/>
  <c r="DM186" i="16" s="1"/>
  <c r="CQ186" i="16"/>
  <c r="CR186" i="16"/>
  <c r="CS186" i="16"/>
  <c r="CT186" i="16"/>
  <c r="CU186" i="16"/>
  <c r="CV186" i="16"/>
  <c r="CW186" i="16"/>
  <c r="CX186" i="16"/>
  <c r="CY186" i="16"/>
  <c r="CZ186" i="16"/>
  <c r="DA186" i="16"/>
  <c r="DB186" i="16"/>
  <c r="DC186" i="16"/>
  <c r="DD186" i="16"/>
  <c r="DE186" i="16"/>
  <c r="DF186" i="16"/>
  <c r="DG186" i="16"/>
  <c r="DH186" i="16"/>
  <c r="DI186" i="16"/>
  <c r="DJ186" i="16"/>
  <c r="DK186" i="16"/>
  <c r="CP187" i="16"/>
  <c r="DM187" i="16" s="1"/>
  <c r="CQ187" i="16"/>
  <c r="CR187" i="16"/>
  <c r="CS187" i="16"/>
  <c r="CT187" i="16"/>
  <c r="CU187" i="16"/>
  <c r="CV187" i="16"/>
  <c r="CW187" i="16"/>
  <c r="CX187" i="16"/>
  <c r="CY187" i="16"/>
  <c r="CZ187" i="16"/>
  <c r="DA187" i="16"/>
  <c r="DB187" i="16"/>
  <c r="DC187" i="16"/>
  <c r="DD187" i="16"/>
  <c r="DE187" i="16"/>
  <c r="DF187" i="16"/>
  <c r="DG187" i="16"/>
  <c r="DH187" i="16"/>
  <c r="DI187" i="16"/>
  <c r="DJ187" i="16"/>
  <c r="DK187" i="16"/>
  <c r="CP188" i="16"/>
  <c r="CQ188" i="16"/>
  <c r="CR188" i="16"/>
  <c r="CS188" i="16"/>
  <c r="CT188" i="16"/>
  <c r="CU188" i="16"/>
  <c r="CV188" i="16"/>
  <c r="CW188" i="16"/>
  <c r="CX188" i="16"/>
  <c r="CY188" i="16"/>
  <c r="DM188" i="16" s="1"/>
  <c r="CZ188" i="16"/>
  <c r="DA188" i="16"/>
  <c r="DB188" i="16"/>
  <c r="DC188" i="16"/>
  <c r="DD188" i="16"/>
  <c r="DE188" i="16"/>
  <c r="DF188" i="16"/>
  <c r="DG188" i="16"/>
  <c r="DH188" i="16"/>
  <c r="DI188" i="16"/>
  <c r="DJ188" i="16"/>
  <c r="DK188" i="16"/>
  <c r="CP189" i="16"/>
  <c r="DM189" i="16" s="1"/>
  <c r="CQ189" i="16"/>
  <c r="CR189" i="16"/>
  <c r="CS189" i="16"/>
  <c r="CT189" i="16"/>
  <c r="CU189" i="16"/>
  <c r="CV189" i="16"/>
  <c r="CW189" i="16"/>
  <c r="CX189" i="16"/>
  <c r="CY189" i="16"/>
  <c r="CZ189" i="16"/>
  <c r="DA189" i="16"/>
  <c r="DB189" i="16"/>
  <c r="DC189" i="16"/>
  <c r="DD189" i="16"/>
  <c r="DE189" i="16"/>
  <c r="DF189" i="16"/>
  <c r="DG189" i="16"/>
  <c r="DH189" i="16"/>
  <c r="DI189" i="16"/>
  <c r="DJ189" i="16"/>
  <c r="DK189" i="16"/>
  <c r="CP190" i="16"/>
  <c r="DM190" i="16" s="1"/>
  <c r="CQ190" i="16"/>
  <c r="CR190" i="16"/>
  <c r="CS190" i="16"/>
  <c r="CT190" i="16"/>
  <c r="CU190" i="16"/>
  <c r="CV190" i="16"/>
  <c r="CW190" i="16"/>
  <c r="CX190" i="16"/>
  <c r="CY190" i="16"/>
  <c r="CZ190" i="16"/>
  <c r="DA190" i="16"/>
  <c r="DB190" i="16"/>
  <c r="DC190" i="16"/>
  <c r="DD190" i="16"/>
  <c r="DE190" i="16"/>
  <c r="DF190" i="16"/>
  <c r="DG190" i="16"/>
  <c r="DH190" i="16"/>
  <c r="DI190" i="16"/>
  <c r="DJ190" i="16"/>
  <c r="DK190" i="16"/>
  <c r="CP191" i="16"/>
  <c r="CQ191" i="16"/>
  <c r="CR191" i="16"/>
  <c r="CS191" i="16"/>
  <c r="CT191" i="16"/>
  <c r="CU191" i="16"/>
  <c r="DM191" i="16" s="1"/>
  <c r="CV191" i="16"/>
  <c r="CW191" i="16"/>
  <c r="CX191" i="16"/>
  <c r="CY191" i="16"/>
  <c r="CZ191" i="16"/>
  <c r="DA191" i="16"/>
  <c r="DB191" i="16"/>
  <c r="DC191" i="16"/>
  <c r="DD191" i="16"/>
  <c r="DE191" i="16"/>
  <c r="DF191" i="16"/>
  <c r="DG191" i="16"/>
  <c r="DH191" i="16"/>
  <c r="DI191" i="16"/>
  <c r="DJ191" i="16"/>
  <c r="DK191" i="16"/>
  <c r="CP192" i="16"/>
  <c r="DM192" i="16" s="1"/>
  <c r="CQ192" i="16"/>
  <c r="CR192" i="16"/>
  <c r="CS192" i="16"/>
  <c r="CT192" i="16"/>
  <c r="CU192" i="16"/>
  <c r="CV192" i="16"/>
  <c r="CW192" i="16"/>
  <c r="CX192" i="16"/>
  <c r="CY192" i="16"/>
  <c r="CZ192" i="16"/>
  <c r="DA192" i="16"/>
  <c r="DB192" i="16"/>
  <c r="DC192" i="16"/>
  <c r="DD192" i="16"/>
  <c r="DE192" i="16"/>
  <c r="DF192" i="16"/>
  <c r="DG192" i="16"/>
  <c r="DH192" i="16"/>
  <c r="DI192" i="16"/>
  <c r="DJ192" i="16"/>
  <c r="DK192" i="16"/>
  <c r="CP193" i="16"/>
  <c r="DM193" i="16" s="1"/>
  <c r="CQ193" i="16"/>
  <c r="CR193" i="16"/>
  <c r="CS193" i="16"/>
  <c r="CT193" i="16"/>
  <c r="CU193" i="16"/>
  <c r="CV193" i="16"/>
  <c r="CW193" i="16"/>
  <c r="CX193" i="16"/>
  <c r="CY193" i="16"/>
  <c r="CZ193" i="16"/>
  <c r="DA193" i="16"/>
  <c r="DB193" i="16"/>
  <c r="DC193" i="16"/>
  <c r="DD193" i="16"/>
  <c r="DE193" i="16"/>
  <c r="DF193" i="16"/>
  <c r="DG193" i="16"/>
  <c r="DH193" i="16"/>
  <c r="DI193" i="16"/>
  <c r="DJ193" i="16"/>
  <c r="DK193" i="16"/>
  <c r="CP194" i="16"/>
  <c r="CQ194" i="16"/>
  <c r="CR194" i="16"/>
  <c r="CS194" i="16"/>
  <c r="CT194" i="16"/>
  <c r="CU194" i="16"/>
  <c r="CV194" i="16"/>
  <c r="DM194" i="16" s="1"/>
  <c r="CW194" i="16"/>
  <c r="CX194" i="16"/>
  <c r="CY194" i="16"/>
  <c r="CZ194" i="16"/>
  <c r="DA194" i="16"/>
  <c r="DB194" i="16"/>
  <c r="DC194" i="16"/>
  <c r="DD194" i="16"/>
  <c r="DE194" i="16"/>
  <c r="DF194" i="16"/>
  <c r="DG194" i="16"/>
  <c r="DH194" i="16"/>
  <c r="DI194" i="16"/>
  <c r="DJ194" i="16"/>
  <c r="DK194" i="16"/>
  <c r="CP195" i="16"/>
  <c r="DM195" i="16" s="1"/>
  <c r="CQ195" i="16"/>
  <c r="CR195" i="16"/>
  <c r="CS195" i="16"/>
  <c r="CT195" i="16"/>
  <c r="CU195" i="16"/>
  <c r="CV195" i="16"/>
  <c r="CW195" i="16"/>
  <c r="CX195" i="16"/>
  <c r="CY195" i="16"/>
  <c r="CZ195" i="16"/>
  <c r="DA195" i="16"/>
  <c r="DB195" i="16"/>
  <c r="DC195" i="16"/>
  <c r="DD195" i="16"/>
  <c r="DE195" i="16"/>
  <c r="DF195" i="16"/>
  <c r="DG195" i="16"/>
  <c r="DH195" i="16"/>
  <c r="DI195" i="16"/>
  <c r="DJ195" i="16"/>
  <c r="DK195" i="16"/>
  <c r="CP196" i="16"/>
  <c r="CQ196" i="16"/>
  <c r="CR196" i="16"/>
  <c r="CS196" i="16"/>
  <c r="CT196" i="16"/>
  <c r="CU196" i="16"/>
  <c r="CV196" i="16"/>
  <c r="CW196" i="16"/>
  <c r="CX196" i="16"/>
  <c r="CY196" i="16"/>
  <c r="CZ196" i="16"/>
  <c r="DA196" i="16"/>
  <c r="DB196" i="16"/>
  <c r="DC196" i="16"/>
  <c r="DD196" i="16"/>
  <c r="DE196" i="16"/>
  <c r="DF196" i="16"/>
  <c r="DG196" i="16"/>
  <c r="DH196" i="16"/>
  <c r="DI196" i="16"/>
  <c r="DJ196" i="16"/>
  <c r="DK196" i="16"/>
  <c r="DM196" i="16"/>
  <c r="CP197" i="16"/>
  <c r="CQ197" i="16"/>
  <c r="DM197" i="16" s="1"/>
  <c r="CR197" i="16"/>
  <c r="CS197" i="16"/>
  <c r="CT197" i="16"/>
  <c r="CU197" i="16"/>
  <c r="CV197" i="16"/>
  <c r="CW197" i="16"/>
  <c r="CX197" i="16"/>
  <c r="CY197" i="16"/>
  <c r="CZ197" i="16"/>
  <c r="DA197" i="16"/>
  <c r="DB197" i="16"/>
  <c r="DC197" i="16"/>
  <c r="DD197" i="16"/>
  <c r="DE197" i="16"/>
  <c r="DF197" i="16"/>
  <c r="DG197" i="16"/>
  <c r="DH197" i="16"/>
  <c r="DI197" i="16"/>
  <c r="DJ197" i="16"/>
  <c r="DK197" i="16"/>
  <c r="CP198" i="16"/>
  <c r="DM198" i="16" s="1"/>
  <c r="CQ198" i="16"/>
  <c r="CR198" i="16"/>
  <c r="CS198" i="16"/>
  <c r="CT198" i="16"/>
  <c r="CU198" i="16"/>
  <c r="CV198" i="16"/>
  <c r="CW198" i="16"/>
  <c r="CX198" i="16"/>
  <c r="CY198" i="16"/>
  <c r="CZ198" i="16"/>
  <c r="DA198" i="16"/>
  <c r="DB198" i="16"/>
  <c r="DC198" i="16"/>
  <c r="DD198" i="16"/>
  <c r="DE198" i="16"/>
  <c r="DF198" i="16"/>
  <c r="DG198" i="16"/>
  <c r="DH198" i="16"/>
  <c r="DI198" i="16"/>
  <c r="DJ198" i="16"/>
  <c r="DK198" i="16"/>
  <c r="CP199" i="16"/>
  <c r="CQ199" i="16"/>
  <c r="CR199" i="16"/>
  <c r="CS199" i="16"/>
  <c r="CT199" i="16"/>
  <c r="CU199" i="16"/>
  <c r="CV199" i="16"/>
  <c r="CW199" i="16"/>
  <c r="CX199" i="16"/>
  <c r="CY199" i="16"/>
  <c r="DM199" i="16" s="1"/>
  <c r="CZ199" i="16"/>
  <c r="DA199" i="16"/>
  <c r="DB199" i="16"/>
  <c r="DC199" i="16"/>
  <c r="DD199" i="16"/>
  <c r="DE199" i="16"/>
  <c r="DF199" i="16"/>
  <c r="DG199" i="16"/>
  <c r="DH199" i="16"/>
  <c r="DI199" i="16"/>
  <c r="DJ199" i="16"/>
  <c r="DK199" i="16"/>
  <c r="CP200" i="16"/>
  <c r="DM200" i="16" s="1"/>
  <c r="CQ200" i="16"/>
  <c r="CR200" i="16"/>
  <c r="CS200" i="16"/>
  <c r="CT200" i="16"/>
  <c r="CU200" i="16"/>
  <c r="CV200" i="16"/>
  <c r="CW200" i="16"/>
  <c r="CX200" i="16"/>
  <c r="CY200" i="16"/>
  <c r="CZ200" i="16"/>
  <c r="DA200" i="16"/>
  <c r="DB200" i="16"/>
  <c r="DC200" i="16"/>
  <c r="DD200" i="16"/>
  <c r="DE200" i="16"/>
  <c r="DF200" i="16"/>
  <c r="DG200" i="16"/>
  <c r="DH200" i="16"/>
  <c r="DI200" i="16"/>
  <c r="DJ200" i="16"/>
  <c r="DK200" i="16"/>
  <c r="CP201" i="16"/>
  <c r="CQ201" i="16"/>
  <c r="DM201" i="16" s="1"/>
  <c r="CR201" i="16"/>
  <c r="CS201" i="16"/>
  <c r="CT201" i="16"/>
  <c r="CU201" i="16"/>
  <c r="CV201" i="16"/>
  <c r="CW201" i="16"/>
  <c r="CX201" i="16"/>
  <c r="CY201" i="16"/>
  <c r="CZ201" i="16"/>
  <c r="DA201" i="16"/>
  <c r="DB201" i="16"/>
  <c r="DC201" i="16"/>
  <c r="DD201" i="16"/>
  <c r="DE201" i="16"/>
  <c r="DF201" i="16"/>
  <c r="DG201" i="16"/>
  <c r="DH201" i="16"/>
  <c r="DI201" i="16"/>
  <c r="DJ201" i="16"/>
  <c r="DK201" i="16"/>
  <c r="CP202" i="16"/>
  <c r="CQ202" i="16"/>
  <c r="CR202" i="16"/>
  <c r="CS202" i="16"/>
  <c r="CT202" i="16"/>
  <c r="CU202" i="16"/>
  <c r="CV202" i="16"/>
  <c r="CW202" i="16"/>
  <c r="CX202" i="16"/>
  <c r="CY202" i="16"/>
  <c r="DM202" i="16" s="1"/>
  <c r="CZ202" i="16"/>
  <c r="DA202" i="16"/>
  <c r="DB202" i="16"/>
  <c r="DC202" i="16"/>
  <c r="DD202" i="16"/>
  <c r="DE202" i="16"/>
  <c r="DF202" i="16"/>
  <c r="DG202" i="16"/>
  <c r="DH202" i="16"/>
  <c r="DI202" i="16"/>
  <c r="DJ202" i="16"/>
  <c r="DK202" i="16"/>
  <c r="CP114" i="16"/>
  <c r="DM114" i="16" s="1"/>
  <c r="CQ114" i="16"/>
  <c r="CR114" i="16"/>
  <c r="CS114" i="16"/>
  <c r="CT114" i="16"/>
  <c r="CU114" i="16"/>
  <c r="CV114" i="16"/>
  <c r="CW114" i="16"/>
  <c r="CX114" i="16"/>
  <c r="CY114" i="16"/>
  <c r="CZ114" i="16"/>
  <c r="DA114" i="16"/>
  <c r="DB114" i="16"/>
  <c r="DC114" i="16"/>
  <c r="DD114" i="16"/>
  <c r="DE114" i="16"/>
  <c r="DF114" i="16"/>
  <c r="DG114" i="16"/>
  <c r="DH114" i="16"/>
  <c r="DI114" i="16"/>
  <c r="DJ114" i="16"/>
  <c r="DK114" i="16"/>
  <c r="CP115" i="16"/>
  <c r="CQ115" i="16"/>
  <c r="CR115" i="16"/>
  <c r="CS115" i="16"/>
  <c r="CT115" i="16"/>
  <c r="CU115" i="16"/>
  <c r="CV115" i="16"/>
  <c r="CW115" i="16"/>
  <c r="CX115" i="16"/>
  <c r="DM115" i="16" s="1"/>
  <c r="CY115" i="16"/>
  <c r="CZ115" i="16"/>
  <c r="DA115" i="16"/>
  <c r="DB115" i="16"/>
  <c r="DC115" i="16"/>
  <c r="DD115" i="16"/>
  <c r="DE115" i="16"/>
  <c r="DF115" i="16"/>
  <c r="DG115" i="16"/>
  <c r="DH115" i="16"/>
  <c r="DI115" i="16"/>
  <c r="DJ115" i="16"/>
  <c r="DK115" i="16"/>
  <c r="CP116" i="16"/>
  <c r="DM116" i="16" s="1"/>
  <c r="CQ116" i="16"/>
  <c r="CR116" i="16"/>
  <c r="CS116" i="16"/>
  <c r="CT116" i="16"/>
  <c r="CU116" i="16"/>
  <c r="CV116" i="16"/>
  <c r="CW116" i="16"/>
  <c r="CX116" i="16"/>
  <c r="CY116" i="16"/>
  <c r="CZ116" i="16"/>
  <c r="DA116" i="16"/>
  <c r="DB116" i="16"/>
  <c r="DC116" i="16"/>
  <c r="DD116" i="16"/>
  <c r="DE116" i="16"/>
  <c r="DF116" i="16"/>
  <c r="DG116" i="16"/>
  <c r="DH116" i="16"/>
  <c r="DI116" i="16"/>
  <c r="DJ116" i="16"/>
  <c r="DK116" i="16"/>
  <c r="CP117" i="16"/>
  <c r="DM117" i="16" s="1"/>
  <c r="CQ117" i="16"/>
  <c r="CR117" i="16"/>
  <c r="CS117" i="16"/>
  <c r="CT117" i="16"/>
  <c r="CU117" i="16"/>
  <c r="CV117" i="16"/>
  <c r="CW117" i="16"/>
  <c r="CX117" i="16"/>
  <c r="CY117" i="16"/>
  <c r="CZ117" i="16"/>
  <c r="DA117" i="16"/>
  <c r="DB117" i="16"/>
  <c r="DC117" i="16"/>
  <c r="DD117" i="16"/>
  <c r="DE117" i="16"/>
  <c r="DF117" i="16"/>
  <c r="DG117" i="16"/>
  <c r="DH117" i="16"/>
  <c r="DI117" i="16"/>
  <c r="DJ117" i="16"/>
  <c r="DK117" i="16"/>
  <c r="CP118" i="16"/>
  <c r="CQ118" i="16"/>
  <c r="CR118" i="16"/>
  <c r="CS118" i="16"/>
  <c r="CT118" i="16"/>
  <c r="CU118" i="16"/>
  <c r="CV118" i="16"/>
  <c r="CW118" i="16"/>
  <c r="CX118" i="16"/>
  <c r="CY118" i="16"/>
  <c r="DM118" i="16" s="1"/>
  <c r="CZ118" i="16"/>
  <c r="DA118" i="16"/>
  <c r="DB118" i="16"/>
  <c r="DC118" i="16"/>
  <c r="DD118" i="16"/>
  <c r="DE118" i="16"/>
  <c r="DF118" i="16"/>
  <c r="DG118" i="16"/>
  <c r="DH118" i="16"/>
  <c r="DI118" i="16"/>
  <c r="DJ118" i="16"/>
  <c r="DK118" i="16"/>
  <c r="CP119" i="16"/>
  <c r="DM119" i="16" s="1"/>
  <c r="CQ119" i="16"/>
  <c r="CR119" i="16"/>
  <c r="CS119" i="16"/>
  <c r="CT119" i="16"/>
  <c r="CU119" i="16"/>
  <c r="CV119" i="16"/>
  <c r="CW119" i="16"/>
  <c r="CX119" i="16"/>
  <c r="CY119" i="16"/>
  <c r="CZ119" i="16"/>
  <c r="DA119" i="16"/>
  <c r="DB119" i="16"/>
  <c r="DC119" i="16"/>
  <c r="DD119" i="16"/>
  <c r="DE119" i="16"/>
  <c r="DF119" i="16"/>
  <c r="DG119" i="16"/>
  <c r="DH119" i="16"/>
  <c r="DI119" i="16"/>
  <c r="DJ119" i="16"/>
  <c r="DK119" i="16"/>
  <c r="CP120" i="16"/>
  <c r="DM120" i="16" s="1"/>
  <c r="CQ120" i="16"/>
  <c r="CR120" i="16"/>
  <c r="CS120" i="16"/>
  <c r="CT120" i="16"/>
  <c r="CU120" i="16"/>
  <c r="CV120" i="16"/>
  <c r="CW120" i="16"/>
  <c r="CX120" i="16"/>
  <c r="CY120" i="16"/>
  <c r="CZ120" i="16"/>
  <c r="DA120" i="16"/>
  <c r="DB120" i="16"/>
  <c r="DC120" i="16"/>
  <c r="DD120" i="16"/>
  <c r="DE120" i="16"/>
  <c r="DF120" i="16"/>
  <c r="DG120" i="16"/>
  <c r="DH120" i="16"/>
  <c r="DI120" i="16"/>
  <c r="DJ120" i="16"/>
  <c r="DK120" i="16"/>
  <c r="CP121" i="16"/>
  <c r="CQ121" i="16"/>
  <c r="CR121" i="16"/>
  <c r="CS121" i="16"/>
  <c r="CT121" i="16"/>
  <c r="CU121" i="16"/>
  <c r="CV121" i="16"/>
  <c r="DM121" i="16" s="1"/>
  <c r="CW121" i="16"/>
  <c r="CX121" i="16"/>
  <c r="CY121" i="16"/>
  <c r="CZ121" i="16"/>
  <c r="DA121" i="16"/>
  <c r="DB121" i="16"/>
  <c r="DC121" i="16"/>
  <c r="DD121" i="16"/>
  <c r="DE121" i="16"/>
  <c r="DF121" i="16"/>
  <c r="DG121" i="16"/>
  <c r="DH121" i="16"/>
  <c r="DI121" i="16"/>
  <c r="DJ121" i="16"/>
  <c r="DK121" i="16"/>
  <c r="CP122" i="16"/>
  <c r="DM122" i="16" s="1"/>
  <c r="CQ122" i="16"/>
  <c r="CR122" i="16"/>
  <c r="CS122" i="16"/>
  <c r="CT122" i="16"/>
  <c r="CU122" i="16"/>
  <c r="CV122" i="16"/>
  <c r="CW122" i="16"/>
  <c r="CX122" i="16"/>
  <c r="CY122" i="16"/>
  <c r="CZ122" i="16"/>
  <c r="DA122" i="16"/>
  <c r="DB122" i="16"/>
  <c r="DC122" i="16"/>
  <c r="DD122" i="16"/>
  <c r="DE122" i="16"/>
  <c r="DF122" i="16"/>
  <c r="DG122" i="16"/>
  <c r="DH122" i="16"/>
  <c r="DI122" i="16"/>
  <c r="DJ122" i="16"/>
  <c r="DK122" i="16"/>
  <c r="CP123" i="16"/>
  <c r="DM123" i="16" s="1"/>
  <c r="CQ123" i="16"/>
  <c r="CR123" i="16"/>
  <c r="CS123" i="16"/>
  <c r="CT123" i="16"/>
  <c r="CU123" i="16"/>
  <c r="CV123" i="16"/>
  <c r="CW123" i="16"/>
  <c r="CX123" i="16"/>
  <c r="CY123" i="16"/>
  <c r="CZ123" i="16"/>
  <c r="DA123" i="16"/>
  <c r="DB123" i="16"/>
  <c r="DC123" i="16"/>
  <c r="DD123" i="16"/>
  <c r="DE123" i="16"/>
  <c r="DF123" i="16"/>
  <c r="DG123" i="16"/>
  <c r="DH123" i="16"/>
  <c r="DI123" i="16"/>
  <c r="DJ123" i="16"/>
  <c r="DK123" i="16"/>
  <c r="CP124" i="16"/>
  <c r="CQ124" i="16"/>
  <c r="CR124" i="16"/>
  <c r="CS124" i="16"/>
  <c r="CT124" i="16"/>
  <c r="CU124" i="16"/>
  <c r="CV124" i="16"/>
  <c r="CW124" i="16"/>
  <c r="DM124" i="16" s="1"/>
  <c r="CX124" i="16"/>
  <c r="CY124" i="16"/>
  <c r="CZ124" i="16"/>
  <c r="DA124" i="16"/>
  <c r="DB124" i="16"/>
  <c r="DC124" i="16"/>
  <c r="DD124" i="16"/>
  <c r="DE124" i="16"/>
  <c r="DF124" i="16"/>
  <c r="DG124" i="16"/>
  <c r="DH124" i="16"/>
  <c r="DI124" i="16"/>
  <c r="DJ124" i="16"/>
  <c r="DK124" i="16"/>
  <c r="CP125" i="16"/>
  <c r="DM125" i="16" s="1"/>
  <c r="CQ125" i="16"/>
  <c r="CR125" i="16"/>
  <c r="CS125" i="16"/>
  <c r="CT125" i="16"/>
  <c r="CU125" i="16"/>
  <c r="CV125" i="16"/>
  <c r="CW125" i="16"/>
  <c r="CX125" i="16"/>
  <c r="CY125" i="16"/>
  <c r="CZ125" i="16"/>
  <c r="DA125" i="16"/>
  <c r="DB125" i="16"/>
  <c r="DC125" i="16"/>
  <c r="DD125" i="16"/>
  <c r="DE125" i="16"/>
  <c r="DF125" i="16"/>
  <c r="DG125" i="16"/>
  <c r="DH125" i="16"/>
  <c r="DI125" i="16"/>
  <c r="DJ125" i="16"/>
  <c r="DK125" i="16"/>
  <c r="CP126" i="16"/>
  <c r="CQ126" i="16"/>
  <c r="CR126" i="16"/>
  <c r="CS126" i="16"/>
  <c r="CT126" i="16"/>
  <c r="CU126" i="16"/>
  <c r="CV126" i="16"/>
  <c r="CW126" i="16"/>
  <c r="CX126" i="16"/>
  <c r="CY126" i="16"/>
  <c r="CZ126" i="16"/>
  <c r="DA126" i="16"/>
  <c r="DB126" i="16"/>
  <c r="DC126" i="16"/>
  <c r="DD126" i="16"/>
  <c r="DE126" i="16"/>
  <c r="DF126" i="16"/>
  <c r="DG126" i="16"/>
  <c r="DH126" i="16"/>
  <c r="DI126" i="16"/>
  <c r="DJ126" i="16"/>
  <c r="DK126" i="16"/>
  <c r="DM126" i="16"/>
  <c r="CP113" i="16"/>
  <c r="DM113" i="16"/>
  <c r="BQ202" i="16"/>
  <c r="CN202" i="16" s="1"/>
  <c r="BR202" i="16"/>
  <c r="BS202" i="16"/>
  <c r="BT202" i="16"/>
  <c r="BU202" i="16"/>
  <c r="BV202" i="16"/>
  <c r="BW202" i="16"/>
  <c r="BX202" i="16"/>
  <c r="BY202" i="16"/>
  <c r="BZ202" i="16"/>
  <c r="CA202" i="16"/>
  <c r="CB202" i="16"/>
  <c r="CC202" i="16"/>
  <c r="CD202" i="16"/>
  <c r="CE202" i="16"/>
  <c r="CF202" i="16"/>
  <c r="CG202" i="16"/>
  <c r="CH202" i="16"/>
  <c r="CI202" i="16"/>
  <c r="CJ202" i="16"/>
  <c r="CK202" i="16"/>
  <c r="CL202" i="16"/>
  <c r="BQ189" i="16"/>
  <c r="CN189" i="16" s="1"/>
  <c r="BR189" i="16"/>
  <c r="BS189" i="16"/>
  <c r="BT189" i="16"/>
  <c r="BU189" i="16"/>
  <c r="BV189" i="16"/>
  <c r="BW189" i="16"/>
  <c r="BX189" i="16"/>
  <c r="BY189" i="16"/>
  <c r="BZ189" i="16"/>
  <c r="CA189" i="16"/>
  <c r="CB189" i="16"/>
  <c r="CC189" i="16"/>
  <c r="CD189" i="16"/>
  <c r="CE189" i="16"/>
  <c r="CF189" i="16"/>
  <c r="CG189" i="16"/>
  <c r="CH189" i="16"/>
  <c r="CI189" i="16"/>
  <c r="CJ189" i="16"/>
  <c r="CK189" i="16"/>
  <c r="CL189" i="16"/>
  <c r="BQ190" i="16"/>
  <c r="CN190" i="16" s="1"/>
  <c r="BR190" i="16"/>
  <c r="BS190" i="16"/>
  <c r="BT190" i="16"/>
  <c r="BU190" i="16"/>
  <c r="BV190" i="16"/>
  <c r="BW190" i="16"/>
  <c r="BX190" i="16"/>
  <c r="BY190" i="16"/>
  <c r="BZ190" i="16"/>
  <c r="CA190" i="16"/>
  <c r="CB190" i="16"/>
  <c r="CC190" i="16"/>
  <c r="CD190" i="16"/>
  <c r="CE190" i="16"/>
  <c r="CF190" i="16"/>
  <c r="CG190" i="16"/>
  <c r="CH190" i="16"/>
  <c r="CI190" i="16"/>
  <c r="CJ190" i="16"/>
  <c r="CK190" i="16"/>
  <c r="CL190" i="16"/>
  <c r="BQ191" i="16"/>
  <c r="BR191" i="16"/>
  <c r="BS191" i="16"/>
  <c r="BT191" i="16"/>
  <c r="BU191" i="16"/>
  <c r="BV191" i="16"/>
  <c r="BW191" i="16"/>
  <c r="BX191" i="16"/>
  <c r="BY191" i="16"/>
  <c r="BZ191" i="16"/>
  <c r="CN191" i="16" s="1"/>
  <c r="CA191" i="16"/>
  <c r="CB191" i="16"/>
  <c r="CC191" i="16"/>
  <c r="CD191" i="16"/>
  <c r="CE191" i="16"/>
  <c r="CF191" i="16"/>
  <c r="CG191" i="16"/>
  <c r="CH191" i="16"/>
  <c r="CI191" i="16"/>
  <c r="CJ191" i="16"/>
  <c r="CK191" i="16"/>
  <c r="CL191" i="16"/>
  <c r="BQ192" i="16"/>
  <c r="CN192" i="16" s="1"/>
  <c r="BR192" i="16"/>
  <c r="BS192" i="16"/>
  <c r="BT192" i="16"/>
  <c r="BU192" i="16"/>
  <c r="BV192" i="16"/>
  <c r="BW192" i="16"/>
  <c r="BX192" i="16"/>
  <c r="BY192" i="16"/>
  <c r="BZ192" i="16"/>
  <c r="CA192" i="16"/>
  <c r="CB192" i="16"/>
  <c r="CC192" i="16"/>
  <c r="CD192" i="16"/>
  <c r="CE192" i="16"/>
  <c r="CF192" i="16"/>
  <c r="CG192" i="16"/>
  <c r="CH192" i="16"/>
  <c r="CI192" i="16"/>
  <c r="CJ192" i="16"/>
  <c r="CK192" i="16"/>
  <c r="CL192" i="16"/>
  <c r="BQ193" i="16"/>
  <c r="BR193" i="16"/>
  <c r="BS193" i="16"/>
  <c r="BT193" i="16"/>
  <c r="BU193" i="16"/>
  <c r="BV193" i="16"/>
  <c r="BW193" i="16"/>
  <c r="BX193" i="16"/>
  <c r="BY193" i="16"/>
  <c r="BZ193" i="16"/>
  <c r="CN193" i="16" s="1"/>
  <c r="CA193" i="16"/>
  <c r="CB193" i="16"/>
  <c r="CC193" i="16"/>
  <c r="CD193" i="16"/>
  <c r="CE193" i="16"/>
  <c r="CF193" i="16"/>
  <c r="CG193" i="16"/>
  <c r="CH193" i="16"/>
  <c r="CI193" i="16"/>
  <c r="CJ193" i="16"/>
  <c r="CK193" i="16"/>
  <c r="CL193" i="16"/>
  <c r="BQ194" i="16"/>
  <c r="BR194" i="16"/>
  <c r="BS194" i="16"/>
  <c r="BT194" i="16"/>
  <c r="BU194" i="16"/>
  <c r="BV194" i="16"/>
  <c r="BW194" i="16"/>
  <c r="BX194" i="16"/>
  <c r="BY194" i="16"/>
  <c r="BZ194" i="16"/>
  <c r="CA194" i="16"/>
  <c r="CB194" i="16"/>
  <c r="CC194" i="16"/>
  <c r="CD194" i="16"/>
  <c r="CE194" i="16"/>
  <c r="CF194" i="16"/>
  <c r="CG194" i="16"/>
  <c r="CH194" i="16"/>
  <c r="CI194" i="16"/>
  <c r="CJ194" i="16"/>
  <c r="CK194" i="16"/>
  <c r="CL194" i="16"/>
  <c r="CN194" i="16"/>
  <c r="BQ195" i="16"/>
  <c r="CN195" i="16" s="1"/>
  <c r="BR195" i="16"/>
  <c r="BS195" i="16"/>
  <c r="BT195" i="16"/>
  <c r="BU195" i="16"/>
  <c r="BV195" i="16"/>
  <c r="BW195" i="16"/>
  <c r="BX195" i="16"/>
  <c r="BY195" i="16"/>
  <c r="BZ195" i="16"/>
  <c r="CA195" i="16"/>
  <c r="CB195" i="16"/>
  <c r="CC195" i="16"/>
  <c r="CD195" i="16"/>
  <c r="CE195" i="16"/>
  <c r="CF195" i="16"/>
  <c r="CG195" i="16"/>
  <c r="CH195" i="16"/>
  <c r="CI195" i="16"/>
  <c r="CJ195" i="16"/>
  <c r="CK195" i="16"/>
  <c r="CL195" i="16"/>
  <c r="BQ196" i="16"/>
  <c r="BR196" i="16"/>
  <c r="BS196" i="16"/>
  <c r="BT196" i="16"/>
  <c r="BU196" i="16"/>
  <c r="BV196" i="16"/>
  <c r="BW196" i="16"/>
  <c r="BX196" i="16"/>
  <c r="BY196" i="16"/>
  <c r="BZ196" i="16"/>
  <c r="CA196" i="16"/>
  <c r="CB196" i="16"/>
  <c r="CC196" i="16"/>
  <c r="CN196" i="16" s="1"/>
  <c r="CD196" i="16"/>
  <c r="CE196" i="16"/>
  <c r="CF196" i="16"/>
  <c r="CG196" i="16"/>
  <c r="CH196" i="16"/>
  <c r="CI196" i="16"/>
  <c r="CJ196" i="16"/>
  <c r="CK196" i="16"/>
  <c r="CL196" i="16"/>
  <c r="BQ197" i="16"/>
  <c r="CN197" i="16" s="1"/>
  <c r="BR197" i="16"/>
  <c r="BS197" i="16"/>
  <c r="BT197" i="16"/>
  <c r="BU197" i="16"/>
  <c r="BV197" i="16"/>
  <c r="BW197" i="16"/>
  <c r="BX197" i="16"/>
  <c r="BY197" i="16"/>
  <c r="BZ197" i="16"/>
  <c r="CA197" i="16"/>
  <c r="CB197" i="16"/>
  <c r="CC197" i="16"/>
  <c r="CD197" i="16"/>
  <c r="CE197" i="16"/>
  <c r="CF197" i="16"/>
  <c r="CG197" i="16"/>
  <c r="CH197" i="16"/>
  <c r="CI197" i="16"/>
  <c r="CJ197" i="16"/>
  <c r="CK197" i="16"/>
  <c r="CL197" i="16"/>
  <c r="BQ198" i="16"/>
  <c r="CN198" i="16" s="1"/>
  <c r="BR198" i="16"/>
  <c r="BS198" i="16"/>
  <c r="BT198" i="16"/>
  <c r="BU198" i="16"/>
  <c r="BV198" i="16"/>
  <c r="BW198" i="16"/>
  <c r="BX198" i="16"/>
  <c r="BY198" i="16"/>
  <c r="BZ198" i="16"/>
  <c r="CA198" i="16"/>
  <c r="CB198" i="16"/>
  <c r="CC198" i="16"/>
  <c r="CD198" i="16"/>
  <c r="CE198" i="16"/>
  <c r="CF198" i="16"/>
  <c r="CG198" i="16"/>
  <c r="CH198" i="16"/>
  <c r="CI198" i="16"/>
  <c r="CJ198" i="16"/>
  <c r="CK198" i="16"/>
  <c r="CL198" i="16"/>
  <c r="BQ199" i="16"/>
  <c r="BR199" i="16"/>
  <c r="BS199" i="16"/>
  <c r="BT199" i="16"/>
  <c r="BU199" i="16"/>
  <c r="BV199" i="16"/>
  <c r="BW199" i="16"/>
  <c r="BX199" i="16"/>
  <c r="BY199" i="16"/>
  <c r="BZ199" i="16"/>
  <c r="CA199" i="16"/>
  <c r="CB199" i="16"/>
  <c r="CN199" i="16" s="1"/>
  <c r="CC199" i="16"/>
  <c r="CD199" i="16"/>
  <c r="CE199" i="16"/>
  <c r="CF199" i="16"/>
  <c r="CG199" i="16"/>
  <c r="CH199" i="16"/>
  <c r="CI199" i="16"/>
  <c r="CJ199" i="16"/>
  <c r="CK199" i="16"/>
  <c r="CL199" i="16"/>
  <c r="BQ200" i="16"/>
  <c r="CN200" i="16" s="1"/>
  <c r="BR200" i="16"/>
  <c r="BS200" i="16"/>
  <c r="BT200" i="16"/>
  <c r="BU200" i="16"/>
  <c r="BV200" i="16"/>
  <c r="BW200" i="16"/>
  <c r="BX200" i="16"/>
  <c r="BY200" i="16"/>
  <c r="BZ200" i="16"/>
  <c r="CA200" i="16"/>
  <c r="CB200" i="16"/>
  <c r="CC200" i="16"/>
  <c r="CD200" i="16"/>
  <c r="CE200" i="16"/>
  <c r="CF200" i="16"/>
  <c r="CG200" i="16"/>
  <c r="CH200" i="16"/>
  <c r="CI200" i="16"/>
  <c r="CJ200" i="16"/>
  <c r="CK200" i="16"/>
  <c r="CL200" i="16"/>
  <c r="BQ201" i="16"/>
  <c r="CN201" i="16" s="1"/>
  <c r="BR201" i="16"/>
  <c r="BS201" i="16"/>
  <c r="BT201" i="16"/>
  <c r="BU201" i="16"/>
  <c r="BV201" i="16"/>
  <c r="BW201" i="16"/>
  <c r="BX201" i="16"/>
  <c r="BY201" i="16"/>
  <c r="BZ201" i="16"/>
  <c r="CA201" i="16"/>
  <c r="CB201" i="16"/>
  <c r="CC201" i="16"/>
  <c r="CD201" i="16"/>
  <c r="CE201" i="16"/>
  <c r="CF201" i="16"/>
  <c r="CG201" i="16"/>
  <c r="CH201" i="16"/>
  <c r="CI201" i="16"/>
  <c r="CJ201" i="16"/>
  <c r="CK201" i="16"/>
  <c r="CL201" i="16"/>
  <c r="AQ189" i="16"/>
  <c r="AQ190" i="16"/>
  <c r="AQ191" i="16"/>
  <c r="AQ192" i="16"/>
  <c r="AQ193" i="16"/>
  <c r="AQ194" i="16"/>
  <c r="AQ195" i="16"/>
  <c r="AQ196" i="16"/>
  <c r="AQ197" i="16"/>
  <c r="AQ198" i="16"/>
  <c r="AQ199" i="16"/>
  <c r="AQ200" i="16"/>
  <c r="AQ201" i="16"/>
  <c r="AQ202" i="16"/>
  <c r="AR189" i="16"/>
  <c r="AS189" i="16"/>
  <c r="AT189" i="16"/>
  <c r="AU189" i="16"/>
  <c r="AV189" i="16"/>
  <c r="AW189" i="16"/>
  <c r="AX189" i="16"/>
  <c r="AY189" i="16"/>
  <c r="AZ189" i="16"/>
  <c r="BA189" i="16"/>
  <c r="BB189" i="16"/>
  <c r="BC189" i="16"/>
  <c r="BD189" i="16"/>
  <c r="BE189" i="16"/>
  <c r="BF189" i="16"/>
  <c r="BG189" i="16"/>
  <c r="BH189" i="16"/>
  <c r="BI189" i="16"/>
  <c r="BJ189" i="16"/>
  <c r="BK189" i="16"/>
  <c r="BL189" i="16"/>
  <c r="BM189" i="16"/>
  <c r="BN189" i="16"/>
  <c r="AR190" i="16"/>
  <c r="AS190" i="16"/>
  <c r="AT190" i="16"/>
  <c r="AU190" i="16"/>
  <c r="AV190" i="16"/>
  <c r="AW190" i="16"/>
  <c r="AX190" i="16"/>
  <c r="AY190" i="16"/>
  <c r="AZ190" i="16"/>
  <c r="BA190" i="16"/>
  <c r="BB190" i="16"/>
  <c r="BC190" i="16"/>
  <c r="BD190" i="16"/>
  <c r="BE190" i="16"/>
  <c r="BF190" i="16"/>
  <c r="BG190" i="16"/>
  <c r="BH190" i="16"/>
  <c r="BI190" i="16"/>
  <c r="BJ190" i="16"/>
  <c r="BK190" i="16"/>
  <c r="BL190" i="16"/>
  <c r="BM190" i="16"/>
  <c r="BN190" i="16"/>
  <c r="AR191" i="16"/>
  <c r="AS191" i="16"/>
  <c r="AT191" i="16"/>
  <c r="AU191" i="16"/>
  <c r="AV191" i="16"/>
  <c r="AW191" i="16"/>
  <c r="AX191" i="16"/>
  <c r="AY191" i="16"/>
  <c r="AZ191" i="16"/>
  <c r="BA191" i="16"/>
  <c r="BB191" i="16"/>
  <c r="BC191" i="16"/>
  <c r="BD191" i="16"/>
  <c r="BE191" i="16"/>
  <c r="BF191" i="16"/>
  <c r="BG191" i="16"/>
  <c r="BH191" i="16"/>
  <c r="BI191" i="16"/>
  <c r="BJ191" i="16"/>
  <c r="BK191" i="16"/>
  <c r="BL191" i="16"/>
  <c r="BM191" i="16"/>
  <c r="BN191" i="16"/>
  <c r="AR192" i="16"/>
  <c r="AS192" i="16"/>
  <c r="AT192" i="16"/>
  <c r="AU192" i="16"/>
  <c r="AV192" i="16"/>
  <c r="AW192" i="16"/>
  <c r="AX192" i="16"/>
  <c r="AY192" i="16"/>
  <c r="AZ192" i="16"/>
  <c r="BA192" i="16"/>
  <c r="BB192" i="16"/>
  <c r="BC192" i="16"/>
  <c r="BD192" i="16"/>
  <c r="BE192" i="16"/>
  <c r="BF192" i="16"/>
  <c r="BG192" i="16"/>
  <c r="BH192" i="16"/>
  <c r="BI192" i="16"/>
  <c r="BJ192" i="16"/>
  <c r="BK192" i="16"/>
  <c r="BL192" i="16"/>
  <c r="BM192" i="16"/>
  <c r="BN192" i="16"/>
  <c r="AR193" i="16"/>
  <c r="AS193" i="16"/>
  <c r="AT193" i="16"/>
  <c r="AU193" i="16"/>
  <c r="AV193" i="16"/>
  <c r="AW193" i="16"/>
  <c r="AX193" i="16"/>
  <c r="AY193" i="16"/>
  <c r="AZ193" i="16"/>
  <c r="BA193" i="16"/>
  <c r="BB193" i="16"/>
  <c r="BC193" i="16"/>
  <c r="BD193" i="16"/>
  <c r="BE193" i="16"/>
  <c r="BF193" i="16"/>
  <c r="BG193" i="16"/>
  <c r="BH193" i="16"/>
  <c r="BI193" i="16"/>
  <c r="BJ193" i="16"/>
  <c r="BK193" i="16"/>
  <c r="BL193" i="16"/>
  <c r="BM193" i="16"/>
  <c r="BN193" i="16"/>
  <c r="AR194" i="16"/>
  <c r="AS194" i="16"/>
  <c r="AT194" i="16"/>
  <c r="AU194" i="16"/>
  <c r="AV194" i="16"/>
  <c r="AW194" i="16"/>
  <c r="AX194" i="16"/>
  <c r="AY194" i="16"/>
  <c r="AZ194" i="16"/>
  <c r="BA194" i="16"/>
  <c r="BB194" i="16"/>
  <c r="BC194" i="16"/>
  <c r="BD194" i="16"/>
  <c r="BE194" i="16"/>
  <c r="BF194" i="16"/>
  <c r="BG194" i="16"/>
  <c r="BH194" i="16"/>
  <c r="BI194" i="16"/>
  <c r="BJ194" i="16"/>
  <c r="BK194" i="16"/>
  <c r="BL194" i="16"/>
  <c r="BM194" i="16"/>
  <c r="BN194" i="16"/>
  <c r="AR195" i="16"/>
  <c r="AS195" i="16"/>
  <c r="AT195" i="16"/>
  <c r="AU195" i="16"/>
  <c r="AV195" i="16"/>
  <c r="AW195" i="16"/>
  <c r="AX195" i="16"/>
  <c r="AY195" i="16"/>
  <c r="AZ195" i="16"/>
  <c r="BA195" i="16"/>
  <c r="BB195" i="16"/>
  <c r="BC195" i="16"/>
  <c r="BD195" i="16"/>
  <c r="BE195" i="16"/>
  <c r="BF195" i="16"/>
  <c r="BG195" i="16"/>
  <c r="BH195" i="16"/>
  <c r="BI195" i="16"/>
  <c r="BJ195" i="16"/>
  <c r="BK195" i="16"/>
  <c r="BL195" i="16"/>
  <c r="BM195" i="16"/>
  <c r="BN195" i="16"/>
  <c r="AR196" i="16"/>
  <c r="AS196" i="16"/>
  <c r="AT196" i="16"/>
  <c r="AU196" i="16"/>
  <c r="AV196" i="16"/>
  <c r="AW196" i="16"/>
  <c r="AX196" i="16"/>
  <c r="AY196" i="16"/>
  <c r="AZ196" i="16"/>
  <c r="BA196" i="16"/>
  <c r="BB196" i="16"/>
  <c r="BC196" i="16"/>
  <c r="BD196" i="16"/>
  <c r="BE196" i="16"/>
  <c r="BF196" i="16"/>
  <c r="BG196" i="16"/>
  <c r="BH196" i="16"/>
  <c r="BI196" i="16"/>
  <c r="BJ196" i="16"/>
  <c r="BK196" i="16"/>
  <c r="BL196" i="16"/>
  <c r="BM196" i="16"/>
  <c r="BN196" i="16"/>
  <c r="AR197" i="16"/>
  <c r="AS197" i="16"/>
  <c r="AT197" i="16"/>
  <c r="AU197" i="16"/>
  <c r="AV197" i="16"/>
  <c r="AW197" i="16"/>
  <c r="AX197" i="16"/>
  <c r="AY197" i="16"/>
  <c r="AZ197" i="16"/>
  <c r="BA197" i="16"/>
  <c r="BB197" i="16"/>
  <c r="BC197" i="16"/>
  <c r="BD197" i="16"/>
  <c r="BE197" i="16"/>
  <c r="BF197" i="16"/>
  <c r="BG197" i="16"/>
  <c r="BH197" i="16"/>
  <c r="BI197" i="16"/>
  <c r="BJ197" i="16"/>
  <c r="BK197" i="16"/>
  <c r="BL197" i="16"/>
  <c r="BM197" i="16"/>
  <c r="BN197" i="16"/>
  <c r="AR198" i="16"/>
  <c r="AS198" i="16"/>
  <c r="AT198" i="16"/>
  <c r="AU198" i="16"/>
  <c r="AV198" i="16"/>
  <c r="AW198" i="16"/>
  <c r="AX198" i="16"/>
  <c r="AY198" i="16"/>
  <c r="AZ198" i="16"/>
  <c r="BA198" i="16"/>
  <c r="BB198" i="16"/>
  <c r="BC198" i="16"/>
  <c r="BD198" i="16"/>
  <c r="BE198" i="16"/>
  <c r="BF198" i="16"/>
  <c r="BG198" i="16"/>
  <c r="BH198" i="16"/>
  <c r="BI198" i="16"/>
  <c r="BJ198" i="16"/>
  <c r="BK198" i="16"/>
  <c r="BL198" i="16"/>
  <c r="BM198" i="16"/>
  <c r="BN198" i="16"/>
  <c r="AR199" i="16"/>
  <c r="AS199" i="16"/>
  <c r="AT199" i="16"/>
  <c r="AU199" i="16"/>
  <c r="AV199" i="16"/>
  <c r="AW199" i="16"/>
  <c r="AX199" i="16"/>
  <c r="AY199" i="16"/>
  <c r="AZ199" i="16"/>
  <c r="BA199" i="16"/>
  <c r="BB199" i="16"/>
  <c r="BC199" i="16"/>
  <c r="BD199" i="16"/>
  <c r="BE199" i="16"/>
  <c r="BF199" i="16"/>
  <c r="BG199" i="16"/>
  <c r="BH199" i="16"/>
  <c r="BI199" i="16"/>
  <c r="BJ199" i="16"/>
  <c r="BK199" i="16"/>
  <c r="BL199" i="16"/>
  <c r="BM199" i="16"/>
  <c r="BN199" i="16"/>
  <c r="AR200" i="16"/>
  <c r="AS200" i="16"/>
  <c r="AT200" i="16"/>
  <c r="AU200" i="16"/>
  <c r="AV200" i="16"/>
  <c r="AW200" i="16"/>
  <c r="AX200" i="16"/>
  <c r="AY200" i="16"/>
  <c r="AZ200" i="16"/>
  <c r="BA200" i="16"/>
  <c r="BB200" i="16"/>
  <c r="BC200" i="16"/>
  <c r="BD200" i="16"/>
  <c r="BE200" i="16"/>
  <c r="BF200" i="16"/>
  <c r="BG200" i="16"/>
  <c r="BH200" i="16"/>
  <c r="BI200" i="16"/>
  <c r="BJ200" i="16"/>
  <c r="BK200" i="16"/>
  <c r="BL200" i="16"/>
  <c r="BM200" i="16"/>
  <c r="BN200" i="16"/>
  <c r="AR201" i="16"/>
  <c r="AS201" i="16"/>
  <c r="AT201" i="16"/>
  <c r="AU201" i="16"/>
  <c r="AV201" i="16"/>
  <c r="AW201" i="16"/>
  <c r="AX201" i="16"/>
  <c r="AY201" i="16"/>
  <c r="AZ201" i="16"/>
  <c r="BA201" i="16"/>
  <c r="BB201" i="16"/>
  <c r="BC201" i="16"/>
  <c r="BD201" i="16"/>
  <c r="BE201" i="16"/>
  <c r="BF201" i="16"/>
  <c r="BG201" i="16"/>
  <c r="BH201" i="16"/>
  <c r="BI201" i="16"/>
  <c r="BJ201" i="16"/>
  <c r="BK201" i="16"/>
  <c r="BL201" i="16"/>
  <c r="BM201" i="16"/>
  <c r="BN201" i="16"/>
  <c r="AR202" i="16"/>
  <c r="AS202" i="16"/>
  <c r="AT202" i="16"/>
  <c r="AU202" i="16"/>
  <c r="AV202" i="16"/>
  <c r="AW202" i="16"/>
  <c r="AX202" i="16"/>
  <c r="AY202" i="16"/>
  <c r="AZ202" i="16"/>
  <c r="BA202" i="16"/>
  <c r="BB202" i="16"/>
  <c r="BC202" i="16"/>
  <c r="BD202" i="16"/>
  <c r="BE202" i="16"/>
  <c r="BF202" i="16"/>
  <c r="BG202" i="16"/>
  <c r="BH202" i="16"/>
  <c r="BI202" i="16"/>
  <c r="BJ202" i="16"/>
  <c r="BK202" i="16"/>
  <c r="BL202" i="16"/>
  <c r="BM202" i="16"/>
  <c r="BN202" i="16"/>
  <c r="AO189" i="16"/>
  <c r="AO190" i="16"/>
  <c r="AO191" i="16"/>
  <c r="AO192" i="16"/>
  <c r="AO193" i="16"/>
  <c r="AO194" i="16"/>
  <c r="AO195" i="16"/>
  <c r="AO196" i="16"/>
  <c r="AO197" i="16"/>
  <c r="AO198" i="16"/>
  <c r="AO199" i="16"/>
  <c r="AO200" i="16"/>
  <c r="AO201" i="16"/>
  <c r="AO202" i="16"/>
  <c r="AO203" i="16"/>
  <c r="AM203" i="16"/>
  <c r="AM189" i="16"/>
  <c r="AM190" i="16"/>
  <c r="AM191" i="16"/>
  <c r="AM192" i="16"/>
  <c r="AM193" i="16"/>
  <c r="AM194" i="16"/>
  <c r="AM195" i="16"/>
  <c r="AM196" i="16"/>
  <c r="AM197" i="16"/>
  <c r="AM198" i="16"/>
  <c r="AM199" i="16"/>
  <c r="AM200" i="16"/>
  <c r="AM201" i="16"/>
  <c r="AM202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K189" i="16"/>
  <c r="K190" i="16"/>
  <c r="K191" i="16"/>
  <c r="K192" i="16"/>
  <c r="K193" i="16"/>
  <c r="K194" i="16"/>
  <c r="K195" i="16"/>
  <c r="K196" i="16"/>
  <c r="K197" i="16"/>
  <c r="K198" i="16"/>
  <c r="K199" i="16"/>
  <c r="K200" i="16"/>
  <c r="K201" i="16"/>
  <c r="J189" i="16"/>
  <c r="J190" i="16"/>
  <c r="J191" i="16"/>
  <c r="J192" i="16"/>
  <c r="J193" i="16"/>
  <c r="J194" i="16"/>
  <c r="J195" i="16"/>
  <c r="J196" i="16"/>
  <c r="J197" i="16"/>
  <c r="J198" i="16"/>
  <c r="J199" i="16"/>
  <c r="J200" i="16"/>
  <c r="J201" i="16"/>
  <c r="BZ103" i="16"/>
  <c r="CB103" i="16"/>
  <c r="CE103" i="16"/>
  <c r="BV105" i="16"/>
  <c r="BX105" i="16"/>
  <c r="BZ105" i="16"/>
  <c r="CA105" i="16"/>
  <c r="CI106" i="16"/>
  <c r="CJ106" i="16"/>
  <c r="CK106" i="16"/>
  <c r="CF107" i="16"/>
  <c r="CH107" i="16"/>
  <c r="CL107" i="16"/>
  <c r="CE108" i="16"/>
  <c r="BR109" i="16"/>
  <c r="BS109" i="16"/>
  <c r="BT109" i="16"/>
  <c r="CB109" i="16"/>
  <c r="CE109" i="16"/>
  <c r="CG109" i="16"/>
  <c r="CH109" i="16"/>
  <c r="CJ109" i="16"/>
  <c r="CK109" i="16"/>
  <c r="BQ110" i="16"/>
  <c r="BR110" i="16"/>
  <c r="CE110" i="16"/>
  <c r="CF110" i="16"/>
  <c r="CI110" i="16"/>
  <c r="BQ112" i="16"/>
  <c r="BS112" i="16"/>
  <c r="BV113" i="16"/>
  <c r="BY113" i="16"/>
  <c r="BZ113" i="16"/>
  <c r="CH113" i="16"/>
  <c r="CI119" i="16"/>
  <c r="BW120" i="16"/>
  <c r="CG120" i="16"/>
  <c r="CD121" i="16"/>
  <c r="CF121" i="16"/>
  <c r="CH121" i="16"/>
  <c r="CJ121" i="16"/>
  <c r="CD122" i="16"/>
  <c r="CK122" i="16"/>
  <c r="CL122" i="16"/>
  <c r="CA123" i="16"/>
  <c r="CE123" i="16"/>
  <c r="CF123" i="16"/>
  <c r="CG123" i="16"/>
  <c r="CH123" i="16"/>
  <c r="CK124" i="16"/>
  <c r="BQ125" i="16"/>
  <c r="BV125" i="16"/>
  <c r="CF125" i="16"/>
  <c r="CJ125" i="16"/>
  <c r="BQ126" i="16"/>
  <c r="BS126" i="16"/>
  <c r="BT126" i="16"/>
  <c r="BU126" i="16"/>
  <c r="CD126" i="16"/>
  <c r="CE126" i="16"/>
  <c r="CG126" i="16"/>
  <c r="CH126" i="16"/>
  <c r="CL126" i="16"/>
  <c r="BQ133" i="16"/>
  <c r="BS133" i="16"/>
  <c r="CH134" i="16"/>
  <c r="CI134" i="16"/>
  <c r="CH135" i="16"/>
  <c r="BS136" i="16"/>
  <c r="CG136" i="16"/>
  <c r="BV137" i="16"/>
  <c r="BX137" i="16"/>
  <c r="BZ137" i="16"/>
  <c r="CD137" i="16"/>
  <c r="CF137" i="16"/>
  <c r="CG137" i="16"/>
  <c r="BW138" i="16"/>
  <c r="CF138" i="16"/>
  <c r="CI138" i="16"/>
  <c r="CJ138" i="16"/>
  <c r="BQ139" i="16"/>
  <c r="BT139" i="16"/>
  <c r="BV139" i="16"/>
  <c r="CJ139" i="16"/>
  <c r="BS140" i="16"/>
  <c r="BU140" i="16"/>
  <c r="BV140" i="16"/>
  <c r="CE140" i="16"/>
  <c r="CH140" i="16"/>
  <c r="CL140" i="16"/>
  <c r="BU145" i="16"/>
  <c r="CL147" i="16"/>
  <c r="BR148" i="16"/>
  <c r="BU148" i="16"/>
  <c r="CF149" i="16"/>
  <c r="CK149" i="16"/>
  <c r="CE150" i="16"/>
  <c r="CI150" i="16"/>
  <c r="CK150" i="16"/>
  <c r="BR151" i="16"/>
  <c r="BS151" i="16"/>
  <c r="BW151" i="16"/>
  <c r="BX151" i="16"/>
  <c r="BY151" i="16"/>
  <c r="BZ151" i="16"/>
  <c r="CC151" i="16"/>
  <c r="CG151" i="16"/>
  <c r="CL151" i="16"/>
  <c r="BU152" i="16"/>
  <c r="BZ152" i="16"/>
  <c r="CA152" i="16"/>
  <c r="CD152" i="16"/>
  <c r="CF152" i="16"/>
  <c r="BX153" i="16"/>
  <c r="CB153" i="16"/>
  <c r="BQ154" i="16"/>
  <c r="BS154" i="16"/>
  <c r="BT154" i="16"/>
  <c r="BU154" i="16"/>
  <c r="BW154" i="16"/>
  <c r="BX154" i="16"/>
  <c r="BY154" i="16"/>
  <c r="CH154" i="16"/>
  <c r="CI154" i="16"/>
  <c r="CJ154" i="16"/>
  <c r="CL154" i="16"/>
  <c r="CB157" i="16"/>
  <c r="CD157" i="16"/>
  <c r="CG162" i="16"/>
  <c r="CK162" i="16"/>
  <c r="BR163" i="16"/>
  <c r="CH163" i="16"/>
  <c r="CJ163" i="16"/>
  <c r="BX164" i="16"/>
  <c r="BZ164" i="16"/>
  <c r="BT165" i="16"/>
  <c r="BU165" i="16"/>
  <c r="BV165" i="16"/>
  <c r="BW165" i="16"/>
  <c r="BX165" i="16"/>
  <c r="BZ165" i="16"/>
  <c r="CE165" i="16"/>
  <c r="CF165" i="16"/>
  <c r="CG165" i="16"/>
  <c r="BY166" i="16"/>
  <c r="BZ166" i="16"/>
  <c r="CA166" i="16"/>
  <c r="CB166" i="16"/>
  <c r="CJ166" i="16"/>
  <c r="CK166" i="16"/>
  <c r="CL166" i="16"/>
  <c r="BT167" i="16"/>
  <c r="BX167" i="16"/>
  <c r="CL167" i="16"/>
  <c r="BQ168" i="16"/>
  <c r="BS168" i="16"/>
  <c r="BU168" i="16"/>
  <c r="CC168" i="16"/>
  <c r="CD168" i="16"/>
  <c r="CE168" i="16"/>
  <c r="CJ168" i="16"/>
  <c r="CK168" i="16"/>
  <c r="CL168" i="16"/>
  <c r="BZ170" i="16"/>
  <c r="BW172" i="16"/>
  <c r="BW173" i="16"/>
  <c r="CG175" i="16"/>
  <c r="CL175" i="16"/>
  <c r="BW176" i="16"/>
  <c r="BQ179" i="16"/>
  <c r="BV179" i="16"/>
  <c r="BX179" i="16"/>
  <c r="BY179" i="16"/>
  <c r="BZ179" i="16"/>
  <c r="CI179" i="16"/>
  <c r="CJ179" i="16"/>
  <c r="CL179" i="16"/>
  <c r="BQ180" i="16"/>
  <c r="BR180" i="16"/>
  <c r="BU180" i="16"/>
  <c r="CF180" i="16"/>
  <c r="CI180" i="16"/>
  <c r="CJ180" i="16"/>
  <c r="CK180" i="16"/>
  <c r="CL180" i="16"/>
  <c r="BS181" i="16"/>
  <c r="CD181" i="16"/>
  <c r="CL181" i="16"/>
  <c r="BQ182" i="16"/>
  <c r="BZ182" i="16"/>
  <c r="CD182" i="16"/>
  <c r="CE182" i="16"/>
  <c r="CG182" i="16"/>
  <c r="CH182" i="16"/>
  <c r="CJ182" i="16"/>
  <c r="CK182" i="16"/>
  <c r="AW86" i="16"/>
  <c r="AQ88" i="16"/>
  <c r="BE88" i="16"/>
  <c r="BF88" i="16"/>
  <c r="BG88" i="16"/>
  <c r="AQ89" i="16"/>
  <c r="AZ89" i="16"/>
  <c r="BA89" i="16"/>
  <c r="BF89" i="16"/>
  <c r="BG89" i="16"/>
  <c r="BH89" i="16"/>
  <c r="BI89" i="16"/>
  <c r="BJ89" i="16"/>
  <c r="BK89" i="16"/>
  <c r="AU90" i="16"/>
  <c r="BD90" i="16"/>
  <c r="BE90" i="16"/>
  <c r="AQ91" i="16"/>
  <c r="AR91" i="16"/>
  <c r="AS91" i="16"/>
  <c r="AT91" i="16"/>
  <c r="AU91" i="16"/>
  <c r="AV91" i="16"/>
  <c r="AW91" i="16"/>
  <c r="AY91" i="16"/>
  <c r="BI91" i="16"/>
  <c r="BJ91" i="16"/>
  <c r="BK91" i="16"/>
  <c r="BM91" i="16"/>
  <c r="BN91" i="16"/>
  <c r="AR92" i="16"/>
  <c r="AS92" i="16"/>
  <c r="AT92" i="16"/>
  <c r="AU92" i="16"/>
  <c r="BD92" i="16"/>
  <c r="BE92" i="16"/>
  <c r="BG92" i="16"/>
  <c r="BH92" i="16"/>
  <c r="BK92" i="16"/>
  <c r="BN92" i="16"/>
  <c r="AQ93" i="16"/>
  <c r="AY93" i="16"/>
  <c r="AZ93" i="16"/>
  <c r="BA93" i="16"/>
  <c r="BB93" i="16"/>
  <c r="BC93" i="16"/>
  <c r="BG93" i="16"/>
  <c r="BH93" i="16"/>
  <c r="BI93" i="16"/>
  <c r="BJ93" i="16"/>
  <c r="AQ94" i="16"/>
  <c r="AY94" i="16"/>
  <c r="AZ94" i="16"/>
  <c r="BA94" i="16"/>
  <c r="BB94" i="16"/>
  <c r="BD94" i="16"/>
  <c r="BE94" i="16"/>
  <c r="BL94" i="16"/>
  <c r="AQ95" i="16"/>
  <c r="AR95" i="16"/>
  <c r="AS95" i="16"/>
  <c r="AU95" i="16"/>
  <c r="AV95" i="16"/>
  <c r="AW95" i="16"/>
  <c r="AX95" i="16"/>
  <c r="AY95" i="16"/>
  <c r="BA95" i="16"/>
  <c r="BB95" i="16"/>
  <c r="BC95" i="16"/>
  <c r="BD95" i="16"/>
  <c r="BE95" i="16"/>
  <c r="BF95" i="16"/>
  <c r="BG95" i="16"/>
  <c r="BH95" i="16"/>
  <c r="BJ95" i="16"/>
  <c r="BK95" i="16"/>
  <c r="BL95" i="16"/>
  <c r="BM95" i="16"/>
  <c r="AR96" i="16"/>
  <c r="AS96" i="16"/>
  <c r="AT96" i="16"/>
  <c r="AY96" i="16"/>
  <c r="BA96" i="16"/>
  <c r="BB96" i="16"/>
  <c r="BC96" i="16"/>
  <c r="BE96" i="16"/>
  <c r="BF96" i="16"/>
  <c r="BG96" i="16"/>
  <c r="BH96" i="16"/>
  <c r="BI96" i="16"/>
  <c r="BJ96" i="16"/>
  <c r="BK96" i="16"/>
  <c r="BL96" i="16"/>
  <c r="AV97" i="16"/>
  <c r="AW97" i="16"/>
  <c r="AX97" i="16"/>
  <c r="AY97" i="16"/>
  <c r="AZ97" i="16"/>
  <c r="BA97" i="16"/>
  <c r="BB97" i="16"/>
  <c r="BC97" i="16"/>
  <c r="BD97" i="16"/>
  <c r="BN97" i="16"/>
  <c r="AR98" i="16"/>
  <c r="AS98" i="16"/>
  <c r="AT98" i="16"/>
  <c r="AU98" i="16"/>
  <c r="AV98" i="16"/>
  <c r="AZ98" i="16"/>
  <c r="BA98" i="16"/>
  <c r="BB98" i="16"/>
  <c r="BC98" i="16"/>
  <c r="BD98" i="16"/>
  <c r="BE98" i="16"/>
  <c r="BF98" i="16"/>
  <c r="BG98" i="16"/>
  <c r="BH98" i="16"/>
  <c r="BI98" i="16"/>
  <c r="BJ98" i="16"/>
  <c r="BK98" i="16"/>
  <c r="BN98" i="16"/>
  <c r="AS99" i="16"/>
  <c r="AT99" i="16"/>
  <c r="AU99" i="16"/>
  <c r="AV99" i="16"/>
  <c r="AW99" i="16"/>
  <c r="AX99" i="16"/>
  <c r="AY99" i="16"/>
  <c r="AZ99" i="16"/>
  <c r="BA99" i="16"/>
  <c r="BC99" i="16"/>
  <c r="BE99" i="16"/>
  <c r="BF99" i="16"/>
  <c r="BI99" i="16"/>
  <c r="BJ99" i="16"/>
  <c r="BK99" i="16"/>
  <c r="BL99" i="16"/>
  <c r="BM99" i="16"/>
  <c r="BN99" i="16"/>
  <c r="AW100" i="16"/>
  <c r="AX100" i="16"/>
  <c r="AT101" i="16"/>
  <c r="BS101" i="16" s="1"/>
  <c r="AU101" i="16"/>
  <c r="BT101" i="16" s="1"/>
  <c r="AQ102" i="16"/>
  <c r="AQ103" i="16"/>
  <c r="AT103" i="16"/>
  <c r="BS103" i="16" s="1"/>
  <c r="BA103" i="16"/>
  <c r="BB103" i="16"/>
  <c r="CA103" i="16" s="1"/>
  <c r="BC103" i="16"/>
  <c r="BE103" i="16"/>
  <c r="CD103" i="16" s="1"/>
  <c r="BF103" i="16"/>
  <c r="BG103" i="16"/>
  <c r="CF103" i="16" s="1"/>
  <c r="BJ103" i="16"/>
  <c r="CI103" i="16" s="1"/>
  <c r="BK103" i="16"/>
  <c r="CJ103" i="16" s="1"/>
  <c r="BC104" i="16"/>
  <c r="CB104" i="16" s="1"/>
  <c r="BE104" i="16"/>
  <c r="CD104" i="16" s="1"/>
  <c r="BF104" i="16"/>
  <c r="CE104" i="16" s="1"/>
  <c r="BG104" i="16"/>
  <c r="CF104" i="16" s="1"/>
  <c r="BN104" i="16"/>
  <c r="CL104" i="16" s="1"/>
  <c r="AQ105" i="16"/>
  <c r="AT105" i="16"/>
  <c r="BS105" i="16" s="1"/>
  <c r="AV105" i="16"/>
  <c r="BU105" i="16" s="1"/>
  <c r="AW105" i="16"/>
  <c r="AY105" i="16"/>
  <c r="BA105" i="16"/>
  <c r="BB105" i="16"/>
  <c r="BK105" i="16"/>
  <c r="CJ105" i="16" s="1"/>
  <c r="BM105" i="16"/>
  <c r="BN105" i="16"/>
  <c r="CL105" i="16" s="1"/>
  <c r="AQ106" i="16"/>
  <c r="AR106" i="16"/>
  <c r="BQ106" i="16" s="1"/>
  <c r="AS106" i="16"/>
  <c r="BR106" i="16" s="1"/>
  <c r="AT106" i="16"/>
  <c r="BS106" i="16" s="1"/>
  <c r="AU106" i="16"/>
  <c r="BT106" i="16" s="1"/>
  <c r="AV106" i="16"/>
  <c r="BU106" i="16" s="1"/>
  <c r="BF106" i="16"/>
  <c r="CE106" i="16" s="1"/>
  <c r="BG106" i="16"/>
  <c r="CF106" i="16" s="1"/>
  <c r="BJ106" i="16"/>
  <c r="BK106" i="16"/>
  <c r="BL106" i="16"/>
  <c r="BM106" i="16"/>
  <c r="BN106" i="16"/>
  <c r="CL106" i="16" s="1"/>
  <c r="AV107" i="16"/>
  <c r="BU107" i="16" s="1"/>
  <c r="AZ107" i="16"/>
  <c r="BY107" i="16" s="1"/>
  <c r="BA107" i="16"/>
  <c r="BZ107" i="16" s="1"/>
  <c r="BB107" i="16"/>
  <c r="CA107" i="16" s="1"/>
  <c r="BC107" i="16"/>
  <c r="CB107" i="16" s="1"/>
  <c r="BD107" i="16"/>
  <c r="CC107" i="16" s="1"/>
  <c r="BE107" i="16"/>
  <c r="CD107" i="16" s="1"/>
  <c r="BG107" i="16"/>
  <c r="BI107" i="16"/>
  <c r="BL107" i="16"/>
  <c r="CK107" i="16" s="1"/>
  <c r="BN107" i="16"/>
  <c r="AQ108" i="16"/>
  <c r="AT108" i="16"/>
  <c r="BS108" i="16" s="1"/>
  <c r="AU108" i="16"/>
  <c r="BT108" i="16" s="1"/>
  <c r="AW108" i="16"/>
  <c r="BV108" i="16" s="1"/>
  <c r="AX108" i="16"/>
  <c r="BW108" i="16" s="1"/>
  <c r="AZ108" i="16"/>
  <c r="BY108" i="16" s="1"/>
  <c r="BA108" i="16"/>
  <c r="BZ108" i="16" s="1"/>
  <c r="BD108" i="16"/>
  <c r="CC108" i="16" s="1"/>
  <c r="BF108" i="16"/>
  <c r="AQ109" i="16"/>
  <c r="AR109" i="16"/>
  <c r="BQ109" i="16" s="1"/>
  <c r="AS109" i="16"/>
  <c r="AT109" i="16"/>
  <c r="AU109" i="16"/>
  <c r="AV109" i="16"/>
  <c r="BU109" i="16" s="1"/>
  <c r="AW109" i="16"/>
  <c r="BV109" i="16" s="1"/>
  <c r="AX109" i="16"/>
  <c r="BW109" i="16" s="1"/>
  <c r="AY109" i="16"/>
  <c r="BX109" i="16" s="1"/>
  <c r="BA109" i="16"/>
  <c r="BZ109" i="16" s="1"/>
  <c r="BB109" i="16"/>
  <c r="CA109" i="16" s="1"/>
  <c r="BC109" i="16"/>
  <c r="BD109" i="16"/>
  <c r="CC109" i="16" s="1"/>
  <c r="BF109" i="16"/>
  <c r="BG109" i="16"/>
  <c r="CF109" i="16" s="1"/>
  <c r="BH109" i="16"/>
  <c r="BI109" i="16"/>
  <c r="BJ109" i="16"/>
  <c r="CI109" i="16" s="1"/>
  <c r="BK109" i="16"/>
  <c r="BL109" i="16"/>
  <c r="BM109" i="16"/>
  <c r="AR110" i="16"/>
  <c r="AS110" i="16"/>
  <c r="AW110" i="16"/>
  <c r="BV110" i="16" s="1"/>
  <c r="AX110" i="16"/>
  <c r="BW110" i="16" s="1"/>
  <c r="AY110" i="16"/>
  <c r="BX110" i="16" s="1"/>
  <c r="AZ110" i="16"/>
  <c r="BY110" i="16" s="1"/>
  <c r="BA110" i="16"/>
  <c r="BZ110" i="16" s="1"/>
  <c r="BE110" i="16"/>
  <c r="CD110" i="16" s="1"/>
  <c r="BF110" i="16"/>
  <c r="BG110" i="16"/>
  <c r="BH110" i="16"/>
  <c r="CG110" i="16" s="1"/>
  <c r="BI110" i="16"/>
  <c r="CH110" i="16" s="1"/>
  <c r="BJ110" i="16"/>
  <c r="BL110" i="16"/>
  <c r="CK110" i="16" s="1"/>
  <c r="AR111" i="16"/>
  <c r="BQ111" i="16" s="1"/>
  <c r="AS111" i="16"/>
  <c r="BR111" i="16" s="1"/>
  <c r="AW111" i="16"/>
  <c r="BV111" i="16" s="1"/>
  <c r="AX111" i="16"/>
  <c r="BW111" i="16" s="1"/>
  <c r="AY111" i="16"/>
  <c r="BX111" i="16" s="1"/>
  <c r="AZ111" i="16"/>
  <c r="BY111" i="16" s="1"/>
  <c r="BA111" i="16"/>
  <c r="BZ111" i="16" s="1"/>
  <c r="BC111" i="16"/>
  <c r="CB111" i="16" s="1"/>
  <c r="BD111" i="16"/>
  <c r="CC111" i="16" s="1"/>
  <c r="BF111" i="16"/>
  <c r="CE111" i="16" s="1"/>
  <c r="BM111" i="16"/>
  <c r="BN111" i="16"/>
  <c r="CL111" i="16" s="1"/>
  <c r="AR112" i="16"/>
  <c r="AT112" i="16"/>
  <c r="AU112" i="16"/>
  <c r="BT112" i="16" s="1"/>
  <c r="AV112" i="16"/>
  <c r="BU112" i="16" s="1"/>
  <c r="AW112" i="16"/>
  <c r="BV112" i="16" s="1"/>
  <c r="AY112" i="16"/>
  <c r="BX112" i="16" s="1"/>
  <c r="AZ112" i="16"/>
  <c r="BY112" i="16" s="1"/>
  <c r="BA112" i="16"/>
  <c r="BZ112" i="16" s="1"/>
  <c r="BB112" i="16"/>
  <c r="CA112" i="16" s="1"/>
  <c r="BD112" i="16"/>
  <c r="CC112" i="16" s="1"/>
  <c r="BE112" i="16"/>
  <c r="CD112" i="16" s="1"/>
  <c r="BF112" i="16"/>
  <c r="CE112" i="16" s="1"/>
  <c r="BG112" i="16"/>
  <c r="CF112" i="16" s="1"/>
  <c r="BI112" i="16"/>
  <c r="CH112" i="16" s="1"/>
  <c r="BJ112" i="16"/>
  <c r="CI112" i="16" s="1"/>
  <c r="BK112" i="16"/>
  <c r="CJ112" i="16" s="1"/>
  <c r="BM112" i="16"/>
  <c r="BN112" i="16"/>
  <c r="CL112" i="16" s="1"/>
  <c r="AR113" i="16"/>
  <c r="BQ113" i="16" s="1"/>
  <c r="AS113" i="16"/>
  <c r="BR113" i="16" s="1"/>
  <c r="AT113" i="16"/>
  <c r="BS113" i="16" s="1"/>
  <c r="AW113" i="16"/>
  <c r="AX113" i="16"/>
  <c r="BW113" i="16" s="1"/>
  <c r="AZ113" i="16"/>
  <c r="BA113" i="16"/>
  <c r="BC113" i="16"/>
  <c r="CB113" i="16" s="1"/>
  <c r="BD113" i="16"/>
  <c r="CC113" i="16" s="1"/>
  <c r="BE113" i="16"/>
  <c r="CD113" i="16" s="1"/>
  <c r="BF113" i="16"/>
  <c r="CE113" i="16" s="1"/>
  <c r="BG113" i="16"/>
  <c r="CF113" i="16" s="1"/>
  <c r="BH113" i="16"/>
  <c r="CG113" i="16" s="1"/>
  <c r="BI113" i="16"/>
  <c r="BJ113" i="16"/>
  <c r="CI113" i="16" s="1"/>
  <c r="BM113" i="16"/>
  <c r="BA114" i="16"/>
  <c r="BB114" i="16"/>
  <c r="AQ115" i="16"/>
  <c r="BH115" i="16"/>
  <c r="BI115" i="16"/>
  <c r="BK115" i="16"/>
  <c r="AQ116" i="16"/>
  <c r="AR116" i="16"/>
  <c r="BI116" i="16"/>
  <c r="BJ116" i="16"/>
  <c r="BK116" i="16"/>
  <c r="BL116" i="16"/>
  <c r="BM116" i="16"/>
  <c r="AQ117" i="16"/>
  <c r="BJ117" i="16"/>
  <c r="BL117" i="16"/>
  <c r="AU118" i="16"/>
  <c r="AV118" i="16"/>
  <c r="AW118" i="16"/>
  <c r="BN118" i="16"/>
  <c r="AR119" i="16"/>
  <c r="AS119" i="16"/>
  <c r="AT119" i="16"/>
  <c r="AU119" i="16"/>
  <c r="AV119" i="16"/>
  <c r="BA119" i="16"/>
  <c r="BJ119" i="16"/>
  <c r="BK119" i="16"/>
  <c r="BM119" i="16"/>
  <c r="AR120" i="16"/>
  <c r="AS120" i="16"/>
  <c r="AT120" i="16"/>
  <c r="AU120" i="16"/>
  <c r="AX120" i="16"/>
  <c r="BC120" i="16"/>
  <c r="BM120" i="16"/>
  <c r="BN120" i="16"/>
  <c r="AS121" i="16"/>
  <c r="AW121" i="16"/>
  <c r="AZ121" i="16"/>
  <c r="BA121" i="16"/>
  <c r="BB121" i="16"/>
  <c r="BD121" i="16"/>
  <c r="BE121" i="16"/>
  <c r="BG121" i="16"/>
  <c r="BI121" i="16"/>
  <c r="BK121" i="16"/>
  <c r="AQ122" i="16"/>
  <c r="AR122" i="16"/>
  <c r="AS122" i="16"/>
  <c r="AU122" i="16"/>
  <c r="AW122" i="16"/>
  <c r="AX122" i="16"/>
  <c r="AY122" i="16"/>
  <c r="AZ122" i="16"/>
  <c r="BA122" i="16"/>
  <c r="BB122" i="16"/>
  <c r="CA122" i="16" s="1"/>
  <c r="BD122" i="16"/>
  <c r="BL122" i="16"/>
  <c r="BM122" i="16"/>
  <c r="BN122" i="16"/>
  <c r="AQ123" i="16"/>
  <c r="AR123" i="16"/>
  <c r="AS123" i="16"/>
  <c r="AT123" i="16"/>
  <c r="AU123" i="16"/>
  <c r="AV123" i="16"/>
  <c r="AW123" i="16"/>
  <c r="AY123" i="16"/>
  <c r="BB123" i="16"/>
  <c r="BC123" i="16"/>
  <c r="CB123" i="16" s="1"/>
  <c r="BD123" i="16"/>
  <c r="CC123" i="16" s="1"/>
  <c r="BE123" i="16"/>
  <c r="BF123" i="16"/>
  <c r="BG123" i="16"/>
  <c r="BH123" i="16"/>
  <c r="BI123" i="16"/>
  <c r="BJ123" i="16"/>
  <c r="BK123" i="16"/>
  <c r="CJ123" i="16" s="1"/>
  <c r="BL123" i="16"/>
  <c r="BM123" i="16"/>
  <c r="AT124" i="16"/>
  <c r="AU124" i="16"/>
  <c r="AV124" i="16"/>
  <c r="AW124" i="16"/>
  <c r="AX124" i="16"/>
  <c r="BW124" i="16" s="1"/>
  <c r="AY124" i="16"/>
  <c r="AZ124" i="16"/>
  <c r="BA124" i="16"/>
  <c r="BB124" i="16"/>
  <c r="BC124" i="16"/>
  <c r="BE124" i="16"/>
  <c r="BF124" i="16"/>
  <c r="BJ124" i="16"/>
  <c r="BK124" i="16"/>
  <c r="BL124" i="16"/>
  <c r="BM124" i="16"/>
  <c r="BN124" i="16"/>
  <c r="CL124" i="16" s="1"/>
  <c r="AR125" i="16"/>
  <c r="AS125" i="16"/>
  <c r="BR125" i="16" s="1"/>
  <c r="AU125" i="16"/>
  <c r="AV125" i="16"/>
  <c r="AW125" i="16"/>
  <c r="AY125" i="16"/>
  <c r="BB125" i="16"/>
  <c r="CA125" i="16" s="1"/>
  <c r="BC125" i="16"/>
  <c r="BD125" i="16"/>
  <c r="BE125" i="16"/>
  <c r="BF125" i="16"/>
  <c r="BG125" i="16"/>
  <c r="BK125" i="16"/>
  <c r="BL125" i="16"/>
  <c r="CK125" i="16" s="1"/>
  <c r="BN125" i="16"/>
  <c r="CL125" i="16" s="1"/>
  <c r="AR126" i="16"/>
  <c r="AS126" i="16"/>
  <c r="AT126" i="16"/>
  <c r="AU126" i="16"/>
  <c r="AV126" i="16"/>
  <c r="AW126" i="16"/>
  <c r="AY126" i="16"/>
  <c r="AZ126" i="16"/>
  <c r="BA126" i="16"/>
  <c r="BZ126" i="16" s="1"/>
  <c r="BB126" i="16"/>
  <c r="CA126" i="16" s="1"/>
  <c r="BC126" i="16"/>
  <c r="BE126" i="16"/>
  <c r="BF126" i="16"/>
  <c r="BG126" i="16"/>
  <c r="BH126" i="16"/>
  <c r="BI126" i="16"/>
  <c r="BJ126" i="16"/>
  <c r="BK126" i="16"/>
  <c r="BM126" i="16"/>
  <c r="BN126" i="16"/>
  <c r="AQ129" i="16"/>
  <c r="AW129" i="16"/>
  <c r="AX129" i="16"/>
  <c r="AZ129" i="16"/>
  <c r="BF129" i="16"/>
  <c r="BH129" i="16"/>
  <c r="AQ130" i="16"/>
  <c r="BC130" i="16"/>
  <c r="BD130" i="16"/>
  <c r="BE130" i="16"/>
  <c r="BF130" i="16"/>
  <c r="BG130" i="16"/>
  <c r="BH130" i="16"/>
  <c r="BC131" i="16"/>
  <c r="BF131" i="16"/>
  <c r="BG131" i="16"/>
  <c r="BH131" i="16"/>
  <c r="BJ131" i="16"/>
  <c r="BN131" i="16"/>
  <c r="CL131" i="16" s="1"/>
  <c r="BD132" i="16"/>
  <c r="AQ133" i="16"/>
  <c r="AR133" i="16"/>
  <c r="AT133" i="16"/>
  <c r="BF133" i="16"/>
  <c r="CE133" i="16" s="1"/>
  <c r="BG133" i="16"/>
  <c r="CF133" i="16" s="1"/>
  <c r="BH133" i="16"/>
  <c r="BI133" i="16"/>
  <c r="CH133" i="16" s="1"/>
  <c r="BJ133" i="16"/>
  <c r="BK133" i="16"/>
  <c r="BM133" i="16"/>
  <c r="BN133" i="16"/>
  <c r="AQ134" i="16"/>
  <c r="BF134" i="16"/>
  <c r="BG134" i="16"/>
  <c r="BI134" i="16"/>
  <c r="BJ134" i="16"/>
  <c r="BN134" i="16"/>
  <c r="AU135" i="16"/>
  <c r="AV135" i="16"/>
  <c r="AW135" i="16"/>
  <c r="AX135" i="16"/>
  <c r="AZ135" i="16"/>
  <c r="BB135" i="16"/>
  <c r="CA135" i="16" s="1"/>
  <c r="BE135" i="16"/>
  <c r="BG135" i="16"/>
  <c r="BI135" i="16"/>
  <c r="BM135" i="16"/>
  <c r="AQ136" i="16"/>
  <c r="AR136" i="16"/>
  <c r="AS136" i="16"/>
  <c r="AT136" i="16"/>
  <c r="AX136" i="16"/>
  <c r="AY136" i="16"/>
  <c r="AZ136" i="16"/>
  <c r="BA136" i="16"/>
  <c r="BC136" i="16"/>
  <c r="BH136" i="16"/>
  <c r="BI136" i="16"/>
  <c r="BK136" i="16"/>
  <c r="BN136" i="16"/>
  <c r="CL136" i="16" s="1"/>
  <c r="AQ137" i="16"/>
  <c r="AR137" i="16"/>
  <c r="BQ137" i="16" s="1"/>
  <c r="AS137" i="16"/>
  <c r="BR137" i="16" s="1"/>
  <c r="AT137" i="16"/>
  <c r="AU137" i="16"/>
  <c r="AW137" i="16"/>
  <c r="AX137" i="16"/>
  <c r="AY137" i="16"/>
  <c r="BA137" i="16"/>
  <c r="BB137" i="16"/>
  <c r="BC137" i="16"/>
  <c r="BE137" i="16"/>
  <c r="BF137" i="16"/>
  <c r="BG137" i="16"/>
  <c r="BH137" i="16"/>
  <c r="BI137" i="16"/>
  <c r="BJ137" i="16"/>
  <c r="BL137" i="16"/>
  <c r="BM137" i="16"/>
  <c r="AR138" i="16"/>
  <c r="AS138" i="16"/>
  <c r="AT138" i="16"/>
  <c r="BS138" i="16" s="1"/>
  <c r="AU138" i="16"/>
  <c r="AX138" i="16"/>
  <c r="AY138" i="16"/>
  <c r="BX138" i="16" s="1"/>
  <c r="AZ138" i="16"/>
  <c r="BA138" i="16"/>
  <c r="BC138" i="16"/>
  <c r="BE138" i="16"/>
  <c r="BF138" i="16"/>
  <c r="BG138" i="16"/>
  <c r="BH138" i="16"/>
  <c r="BI138" i="16"/>
  <c r="BJ138" i="16"/>
  <c r="BK138" i="16"/>
  <c r="BN138" i="16"/>
  <c r="CL138" i="16" s="1"/>
  <c r="AR139" i="16"/>
  <c r="AU139" i="16"/>
  <c r="AV139" i="16"/>
  <c r="BU139" i="16" s="1"/>
  <c r="AW139" i="16"/>
  <c r="AX139" i="16"/>
  <c r="AY139" i="16"/>
  <c r="AZ139" i="16"/>
  <c r="BA139" i="16"/>
  <c r="BB139" i="16"/>
  <c r="BC139" i="16"/>
  <c r="BF139" i="16"/>
  <c r="BK139" i="16"/>
  <c r="BL139" i="16"/>
  <c r="BM139" i="16"/>
  <c r="BN139" i="16"/>
  <c r="AR140" i="16"/>
  <c r="AS140" i="16"/>
  <c r="BR140" i="16" s="1"/>
  <c r="AT140" i="16"/>
  <c r="AU140" i="16"/>
  <c r="AV140" i="16"/>
  <c r="AW140" i="16"/>
  <c r="AY140" i="16"/>
  <c r="BA140" i="16"/>
  <c r="BZ140" i="16" s="1"/>
  <c r="BB140" i="16"/>
  <c r="CA140" i="16" s="1"/>
  <c r="BC140" i="16"/>
  <c r="BD140" i="16"/>
  <c r="BE140" i="16"/>
  <c r="CD140" i="16" s="1"/>
  <c r="BF140" i="16"/>
  <c r="BG140" i="16"/>
  <c r="BH140" i="16"/>
  <c r="BI140" i="16"/>
  <c r="BJ140" i="16"/>
  <c r="BK140" i="16"/>
  <c r="BM140" i="16"/>
  <c r="BN140" i="16"/>
  <c r="AQ142" i="16"/>
  <c r="AR142" i="16"/>
  <c r="AS142" i="16"/>
  <c r="AT142" i="16"/>
  <c r="AU142" i="16"/>
  <c r="AQ143" i="16"/>
  <c r="AT143" i="16"/>
  <c r="AV143" i="16"/>
  <c r="BA143" i="16"/>
  <c r="BB143" i="16"/>
  <c r="CA143" i="16" s="1"/>
  <c r="AV144" i="16"/>
  <c r="AW144" i="16"/>
  <c r="AX144" i="16"/>
  <c r="AY144" i="16"/>
  <c r="AZ144" i="16"/>
  <c r="BA144" i="16"/>
  <c r="AQ145" i="16"/>
  <c r="AV145" i="16"/>
  <c r="AW145" i="16"/>
  <c r="AX145" i="16"/>
  <c r="BB145" i="16"/>
  <c r="AS146" i="16"/>
  <c r="AU146" i="16"/>
  <c r="BT146" i="16" s="1"/>
  <c r="AZ146" i="16"/>
  <c r="BA146" i="16"/>
  <c r="BZ146" i="16" s="1"/>
  <c r="BB146" i="16"/>
  <c r="BC146" i="16"/>
  <c r="AQ147" i="16"/>
  <c r="AS147" i="16"/>
  <c r="AT147" i="16"/>
  <c r="AU147" i="16"/>
  <c r="AV147" i="16"/>
  <c r="AY147" i="16"/>
  <c r="AZ147" i="16"/>
  <c r="BA147" i="16"/>
  <c r="BD147" i="16"/>
  <c r="BN147" i="16"/>
  <c r="AQ148" i="16"/>
  <c r="AS148" i="16"/>
  <c r="AT148" i="16"/>
  <c r="AU148" i="16"/>
  <c r="AV148" i="16"/>
  <c r="AW148" i="16"/>
  <c r="BV148" i="16" s="1"/>
  <c r="AY148" i="16"/>
  <c r="BE148" i="16"/>
  <c r="BN148" i="16"/>
  <c r="AR149" i="16"/>
  <c r="AY149" i="16"/>
  <c r="AZ149" i="16"/>
  <c r="BA149" i="16"/>
  <c r="BB149" i="16"/>
  <c r="BC149" i="16"/>
  <c r="BD149" i="16"/>
  <c r="CC149" i="16" s="1"/>
  <c r="BE149" i="16"/>
  <c r="BG149" i="16"/>
  <c r="BL149" i="16"/>
  <c r="AQ150" i="16"/>
  <c r="AR150" i="16"/>
  <c r="AS150" i="16"/>
  <c r="AT150" i="16"/>
  <c r="AU150" i="16"/>
  <c r="AV150" i="16"/>
  <c r="AW150" i="16"/>
  <c r="AX150" i="16"/>
  <c r="AY150" i="16"/>
  <c r="BC150" i="16"/>
  <c r="BE150" i="16"/>
  <c r="BI150" i="16"/>
  <c r="BJ150" i="16"/>
  <c r="BK150" i="16"/>
  <c r="BL150" i="16"/>
  <c r="BM150" i="16"/>
  <c r="AQ151" i="16"/>
  <c r="AS151" i="16"/>
  <c r="AT151" i="16"/>
  <c r="AU151" i="16"/>
  <c r="BT151" i="16" s="1"/>
  <c r="AV151" i="16"/>
  <c r="AW151" i="16"/>
  <c r="AX151" i="16"/>
  <c r="AY151" i="16"/>
  <c r="AZ151" i="16"/>
  <c r="BA151" i="16"/>
  <c r="BB151" i="16"/>
  <c r="BC151" i="16"/>
  <c r="CB151" i="16" s="1"/>
  <c r="BE151" i="16"/>
  <c r="BF151" i="16"/>
  <c r="BH151" i="16"/>
  <c r="BI151" i="16"/>
  <c r="BJ151" i="16"/>
  <c r="BK151" i="16"/>
  <c r="BL151" i="16"/>
  <c r="BM151" i="16"/>
  <c r="BN151" i="16"/>
  <c r="AR152" i="16"/>
  <c r="AS152" i="16"/>
  <c r="AU152" i="16"/>
  <c r="AV152" i="16"/>
  <c r="AW152" i="16"/>
  <c r="AZ152" i="16"/>
  <c r="BY152" i="16" s="1"/>
  <c r="BA152" i="16"/>
  <c r="BB152" i="16"/>
  <c r="BC152" i="16"/>
  <c r="BD152" i="16"/>
  <c r="BE152" i="16"/>
  <c r="BF152" i="16"/>
  <c r="BG152" i="16"/>
  <c r="BI152" i="16"/>
  <c r="CH152" i="16" s="1"/>
  <c r="BJ152" i="16"/>
  <c r="BK152" i="16"/>
  <c r="BL152" i="16"/>
  <c r="CK152" i="16" s="1"/>
  <c r="AR153" i="16"/>
  <c r="AS153" i="16"/>
  <c r="AT153" i="16"/>
  <c r="AU153" i="16"/>
  <c r="AV153" i="16"/>
  <c r="AW153" i="16"/>
  <c r="AY153" i="16"/>
  <c r="AZ153" i="16"/>
  <c r="BC153" i="16"/>
  <c r="BF153" i="16"/>
  <c r="BG153" i="16"/>
  <c r="BH153" i="16"/>
  <c r="BI153" i="16"/>
  <c r="BJ153" i="16"/>
  <c r="BK153" i="16"/>
  <c r="CJ153" i="16" s="1"/>
  <c r="BM153" i="16"/>
  <c r="BN153" i="16"/>
  <c r="CL153" i="16" s="1"/>
  <c r="AR154" i="16"/>
  <c r="AS154" i="16"/>
  <c r="AT154" i="16"/>
  <c r="AU154" i="16"/>
  <c r="AV154" i="16"/>
  <c r="AW154" i="16"/>
  <c r="AX154" i="16"/>
  <c r="AY154" i="16"/>
  <c r="AZ154" i="16"/>
  <c r="BA154" i="16"/>
  <c r="BC154" i="16"/>
  <c r="BD154" i="16"/>
  <c r="BE154" i="16"/>
  <c r="BF154" i="16"/>
  <c r="BG154" i="16"/>
  <c r="CF154" i="16" s="1"/>
  <c r="BH154" i="16"/>
  <c r="BI154" i="16"/>
  <c r="BJ154" i="16"/>
  <c r="BK154" i="16"/>
  <c r="BL154" i="16"/>
  <c r="BM154" i="16"/>
  <c r="BN154" i="16"/>
  <c r="BB157" i="16"/>
  <c r="CA157" i="16" s="1"/>
  <c r="BC157" i="16"/>
  <c r="BE157" i="16"/>
  <c r="BI157" i="16"/>
  <c r="BJ157" i="16"/>
  <c r="BK157" i="16"/>
  <c r="BC158" i="16"/>
  <c r="BG158" i="16"/>
  <c r="BI158" i="16"/>
  <c r="BJ158" i="16"/>
  <c r="BK158" i="16"/>
  <c r="AQ159" i="16"/>
  <c r="BC159" i="16"/>
  <c r="BD159" i="16"/>
  <c r="BE159" i="16"/>
  <c r="BF159" i="16"/>
  <c r="BI159" i="16"/>
  <c r="AQ160" i="16"/>
  <c r="BD160" i="16"/>
  <c r="BH160" i="16"/>
  <c r="BI160" i="16"/>
  <c r="AQ161" i="16"/>
  <c r="BA161" i="16"/>
  <c r="BC161" i="16"/>
  <c r="CB161" i="16" s="1"/>
  <c r="BD161" i="16"/>
  <c r="BE161" i="16"/>
  <c r="BF161" i="16"/>
  <c r="BG161" i="16"/>
  <c r="BJ161" i="16"/>
  <c r="BK161" i="16"/>
  <c r="BL161" i="16"/>
  <c r="CK161" i="16" s="1"/>
  <c r="BB162" i="16"/>
  <c r="BC162" i="16"/>
  <c r="BD162" i="16"/>
  <c r="BE162" i="16"/>
  <c r="BH162" i="16"/>
  <c r="BL162" i="16"/>
  <c r="BM162" i="16"/>
  <c r="AR163" i="16"/>
  <c r="AS163" i="16"/>
  <c r="AT163" i="16"/>
  <c r="BS163" i="16" s="1"/>
  <c r="AW163" i="16"/>
  <c r="AX163" i="16"/>
  <c r="AY163" i="16"/>
  <c r="BA163" i="16"/>
  <c r="BG163" i="16"/>
  <c r="BH163" i="16"/>
  <c r="BI163" i="16"/>
  <c r="BK163" i="16"/>
  <c r="BL163" i="16"/>
  <c r="BM163" i="16"/>
  <c r="BN163" i="16"/>
  <c r="AQ164" i="16"/>
  <c r="AR164" i="16"/>
  <c r="AT164" i="16"/>
  <c r="AY164" i="16"/>
  <c r="BA164" i="16"/>
  <c r="BB164" i="16"/>
  <c r="CA164" i="16" s="1"/>
  <c r="BC164" i="16"/>
  <c r="CB164" i="16" s="1"/>
  <c r="BD164" i="16"/>
  <c r="CC164" i="16" s="1"/>
  <c r="BE164" i="16"/>
  <c r="BF164" i="16"/>
  <c r="BG164" i="16"/>
  <c r="BH164" i="16"/>
  <c r="BI164" i="16"/>
  <c r="BM164" i="16"/>
  <c r="AQ165" i="16"/>
  <c r="AR165" i="16"/>
  <c r="AS165" i="16"/>
  <c r="AT165" i="16"/>
  <c r="AU165" i="16"/>
  <c r="AV165" i="16"/>
  <c r="AW165" i="16"/>
  <c r="AX165" i="16"/>
  <c r="AY165" i="16"/>
  <c r="AZ165" i="16"/>
  <c r="BA165" i="16"/>
  <c r="BC165" i="16"/>
  <c r="CB165" i="16" s="1"/>
  <c r="BE165" i="16"/>
  <c r="CD165" i="16" s="1"/>
  <c r="BF165" i="16"/>
  <c r="BG165" i="16"/>
  <c r="BH165" i="16"/>
  <c r="BI165" i="16"/>
  <c r="CH165" i="16" s="1"/>
  <c r="BJ165" i="16"/>
  <c r="CI165" i="16" s="1"/>
  <c r="BK165" i="16"/>
  <c r="BL165" i="16"/>
  <c r="CK165" i="16" s="1"/>
  <c r="BM165" i="16"/>
  <c r="BN165" i="16"/>
  <c r="AR166" i="16"/>
  <c r="AV166" i="16"/>
  <c r="AW166" i="16"/>
  <c r="AX166" i="16"/>
  <c r="BW166" i="16" s="1"/>
  <c r="AY166" i="16"/>
  <c r="AZ166" i="16"/>
  <c r="BA166" i="16"/>
  <c r="BB166" i="16"/>
  <c r="BC166" i="16"/>
  <c r="BD166" i="16"/>
  <c r="CC166" i="16" s="1"/>
  <c r="BE166" i="16"/>
  <c r="BF166" i="16"/>
  <c r="BG166" i="16"/>
  <c r="BK166" i="16"/>
  <c r="BL166" i="16"/>
  <c r="BM166" i="16"/>
  <c r="BN166" i="16"/>
  <c r="AR167" i="16"/>
  <c r="AU167" i="16"/>
  <c r="AV167" i="16"/>
  <c r="AW167" i="16"/>
  <c r="AY167" i="16"/>
  <c r="BB167" i="16"/>
  <c r="BC167" i="16"/>
  <c r="CB167" i="16" s="1"/>
  <c r="BD167" i="16"/>
  <c r="CC167" i="16" s="1"/>
  <c r="BE167" i="16"/>
  <c r="CD167" i="16" s="1"/>
  <c r="BF167" i="16"/>
  <c r="CE167" i="16" s="1"/>
  <c r="BG167" i="16"/>
  <c r="BH167" i="16"/>
  <c r="CG167" i="16" s="1"/>
  <c r="BI167" i="16"/>
  <c r="BM167" i="16"/>
  <c r="BN167" i="16"/>
  <c r="AR168" i="16"/>
  <c r="AS168" i="16"/>
  <c r="AT168" i="16"/>
  <c r="AU168" i="16"/>
  <c r="AV168" i="16"/>
  <c r="AW168" i="16"/>
  <c r="AX168" i="16"/>
  <c r="AY168" i="16"/>
  <c r="AZ168" i="16"/>
  <c r="BY168" i="16" s="1"/>
  <c r="BA168" i="16"/>
  <c r="BC168" i="16"/>
  <c r="CB168" i="16" s="1"/>
  <c r="BD168" i="16"/>
  <c r="BE168" i="16"/>
  <c r="BF168" i="16"/>
  <c r="BG168" i="16"/>
  <c r="CF168" i="16" s="1"/>
  <c r="BH168" i="16"/>
  <c r="CG168" i="16" s="1"/>
  <c r="BI168" i="16"/>
  <c r="BJ168" i="16"/>
  <c r="CI168" i="16" s="1"/>
  <c r="BK168" i="16"/>
  <c r="BL168" i="16"/>
  <c r="BM168" i="16"/>
  <c r="BN168" i="16"/>
  <c r="AZ170" i="16"/>
  <c r="BA170" i="16"/>
  <c r="BE170" i="16"/>
  <c r="AQ171" i="16"/>
  <c r="AV171" i="16"/>
  <c r="BF171" i="16"/>
  <c r="AX172" i="16"/>
  <c r="AY172" i="16"/>
  <c r="BX172" i="16" s="1"/>
  <c r="BB172" i="16"/>
  <c r="BC172" i="16"/>
  <c r="BE172" i="16"/>
  <c r="BF172" i="16"/>
  <c r="AX173" i="16"/>
  <c r="AY173" i="16"/>
  <c r="AZ173" i="16"/>
  <c r="BB173" i="16"/>
  <c r="BC174" i="16"/>
  <c r="BD174" i="16"/>
  <c r="BE174" i="16"/>
  <c r="BF174" i="16"/>
  <c r="CE174" i="16" s="1"/>
  <c r="BG174" i="16"/>
  <c r="AQ175" i="16"/>
  <c r="AV175" i="16"/>
  <c r="AW175" i="16"/>
  <c r="BV175" i="16" s="1"/>
  <c r="AX175" i="16"/>
  <c r="AY175" i="16"/>
  <c r="AZ175" i="16"/>
  <c r="BA175" i="16"/>
  <c r="BC175" i="16"/>
  <c r="BF175" i="16"/>
  <c r="BH175" i="16"/>
  <c r="BM175" i="16"/>
  <c r="AQ176" i="16"/>
  <c r="AW176" i="16"/>
  <c r="BV176" i="16" s="1"/>
  <c r="AX176" i="16"/>
  <c r="AY176" i="16"/>
  <c r="BX176" i="16" s="1"/>
  <c r="BA176" i="16"/>
  <c r="BE176" i="16"/>
  <c r="BG176" i="16"/>
  <c r="BH176" i="16"/>
  <c r="BI176" i="16"/>
  <c r="AQ177" i="16"/>
  <c r="AR177" i="16"/>
  <c r="AT177" i="16"/>
  <c r="BS177" i="16" s="1"/>
  <c r="AY177" i="16"/>
  <c r="AZ177" i="16"/>
  <c r="BY177" i="16" s="1"/>
  <c r="BC177" i="16"/>
  <c r="BD177" i="16"/>
  <c r="BE177" i="16"/>
  <c r="BF177" i="16"/>
  <c r="CE177" i="16" s="1"/>
  <c r="BG177" i="16"/>
  <c r="BH177" i="16"/>
  <c r="BI177" i="16"/>
  <c r="BL177" i="16"/>
  <c r="AQ178" i="16"/>
  <c r="AT178" i="16"/>
  <c r="AU178" i="16"/>
  <c r="AV178" i="16"/>
  <c r="AW178" i="16"/>
  <c r="AX178" i="16"/>
  <c r="BW178" i="16" s="1"/>
  <c r="AY178" i="16"/>
  <c r="BX178" i="16" s="1"/>
  <c r="BA178" i="16"/>
  <c r="BZ178" i="16" s="1"/>
  <c r="BB178" i="16"/>
  <c r="BC178" i="16"/>
  <c r="BE178" i="16"/>
  <c r="BJ178" i="16"/>
  <c r="BK178" i="16"/>
  <c r="BL178" i="16"/>
  <c r="BM178" i="16"/>
  <c r="AQ179" i="16"/>
  <c r="AR179" i="16"/>
  <c r="AS179" i="16"/>
  <c r="AT179" i="16"/>
  <c r="AU179" i="16"/>
  <c r="AV179" i="16"/>
  <c r="AW179" i="16"/>
  <c r="AY179" i="16"/>
  <c r="AZ179" i="16"/>
  <c r="BA179" i="16"/>
  <c r="BB179" i="16"/>
  <c r="BC179" i="16"/>
  <c r="CB179" i="16" s="1"/>
  <c r="BE179" i="16"/>
  <c r="CD179" i="16" s="1"/>
  <c r="BF179" i="16"/>
  <c r="BG179" i="16"/>
  <c r="BH179" i="16"/>
  <c r="CG179" i="16" s="1"/>
  <c r="BI179" i="16"/>
  <c r="BJ179" i="16"/>
  <c r="BK179" i="16"/>
  <c r="BL179" i="16"/>
  <c r="BN179" i="16"/>
  <c r="AQ180" i="16"/>
  <c r="AR180" i="16"/>
  <c r="AS180" i="16"/>
  <c r="AU180" i="16"/>
  <c r="AV180" i="16"/>
  <c r="AW180" i="16"/>
  <c r="AX180" i="16"/>
  <c r="AY180" i="16"/>
  <c r="AZ180" i="16"/>
  <c r="BA180" i="16"/>
  <c r="BB180" i="16"/>
  <c r="BC180" i="16"/>
  <c r="BF180" i="16"/>
  <c r="BG180" i="16"/>
  <c r="BI180" i="16"/>
  <c r="BJ180" i="16"/>
  <c r="BK180" i="16"/>
  <c r="BL180" i="16"/>
  <c r="BM180" i="16"/>
  <c r="BN180" i="16"/>
  <c r="AR181" i="16"/>
  <c r="BQ181" i="16" s="1"/>
  <c r="AS181" i="16"/>
  <c r="AT181" i="16"/>
  <c r="AW181" i="16"/>
  <c r="AY181" i="16"/>
  <c r="AZ181" i="16"/>
  <c r="BA181" i="16"/>
  <c r="BZ181" i="16" s="1"/>
  <c r="BB181" i="16"/>
  <c r="BE181" i="16"/>
  <c r="BF181" i="16"/>
  <c r="BG181" i="16"/>
  <c r="BH181" i="16"/>
  <c r="BI181" i="16"/>
  <c r="BM181" i="16"/>
  <c r="BN181" i="16"/>
  <c r="AR182" i="16"/>
  <c r="AS182" i="16"/>
  <c r="AT182" i="16"/>
  <c r="AU182" i="16"/>
  <c r="AV182" i="16"/>
  <c r="BU182" i="16" s="1"/>
  <c r="AW182" i="16"/>
  <c r="AX182" i="16"/>
  <c r="AY182" i="16"/>
  <c r="AZ182" i="16"/>
  <c r="BA182" i="16"/>
  <c r="BC182" i="16"/>
  <c r="CB182" i="16" s="1"/>
  <c r="BD182" i="16"/>
  <c r="BE182" i="16"/>
  <c r="BF182" i="16"/>
  <c r="BG182" i="16"/>
  <c r="BH182" i="16"/>
  <c r="BI182" i="16"/>
  <c r="BJ182" i="16"/>
  <c r="BK182" i="16"/>
  <c r="BL182" i="16"/>
  <c r="BM182" i="16"/>
  <c r="BN182" i="16"/>
  <c r="AQ183" i="16"/>
  <c r="AQ184" i="16"/>
  <c r="AR185" i="16"/>
  <c r="BQ185" i="16" s="1"/>
  <c r="BG185" i="16"/>
  <c r="BI185" i="16"/>
  <c r="BM185" i="16"/>
  <c r="AQ186" i="16"/>
  <c r="AR186" i="16"/>
  <c r="AS186" i="16"/>
  <c r="BI186" i="16"/>
  <c r="BM186" i="16"/>
  <c r="BN186" i="16"/>
  <c r="AQ187" i="16"/>
  <c r="AR187" i="16"/>
  <c r="BI187" i="16"/>
  <c r="BJ187" i="16"/>
  <c r="BK187" i="16"/>
  <c r="BM187" i="16"/>
  <c r="AU188" i="16"/>
  <c r="AV188" i="16"/>
  <c r="BM188" i="16"/>
  <c r="BN188" i="16"/>
  <c r="AO115" i="16"/>
  <c r="BD115" i="16" s="1"/>
  <c r="AO116" i="16"/>
  <c r="AO117" i="16"/>
  <c r="AO118" i="16"/>
  <c r="AO119" i="16"/>
  <c r="BC119" i="16" s="1"/>
  <c r="AO120" i="16"/>
  <c r="BH120" i="16" s="1"/>
  <c r="AO121" i="16"/>
  <c r="AO122" i="16"/>
  <c r="BE122" i="16" s="1"/>
  <c r="AO123" i="16"/>
  <c r="AO124" i="16"/>
  <c r="AO125" i="16"/>
  <c r="AO126" i="16"/>
  <c r="AO127" i="16"/>
  <c r="BD127" i="16" s="1"/>
  <c r="AO128" i="16"/>
  <c r="BB128" i="16" s="1"/>
  <c r="AO129" i="16"/>
  <c r="AO130" i="16"/>
  <c r="AO131" i="16"/>
  <c r="AO132" i="16"/>
  <c r="AO133" i="16"/>
  <c r="AU133" i="16" s="1"/>
  <c r="AO134" i="16"/>
  <c r="BA134" i="16" s="1"/>
  <c r="AO135" i="16"/>
  <c r="AO136" i="16"/>
  <c r="BD136" i="16" s="1"/>
  <c r="AO137" i="16"/>
  <c r="AO138" i="16"/>
  <c r="AO139" i="16"/>
  <c r="AO140" i="16"/>
  <c r="AO141" i="16"/>
  <c r="AO142" i="16"/>
  <c r="AZ142" i="16" s="1"/>
  <c r="AO143" i="16"/>
  <c r="AR143" i="16" s="1"/>
  <c r="AO144" i="16"/>
  <c r="AO145" i="16"/>
  <c r="AO146" i="16"/>
  <c r="AO147" i="16"/>
  <c r="BF147" i="16" s="1"/>
  <c r="AO148" i="16"/>
  <c r="BI148" i="16" s="1"/>
  <c r="AO149" i="16"/>
  <c r="AO150" i="16"/>
  <c r="BF150" i="16" s="1"/>
  <c r="AO151" i="16"/>
  <c r="BD151" i="16" s="1"/>
  <c r="AO152" i="16"/>
  <c r="AO153" i="16"/>
  <c r="AO154" i="16"/>
  <c r="BB154" i="16" s="1"/>
  <c r="CA154" i="16" s="1"/>
  <c r="AO155" i="16"/>
  <c r="AO156" i="16"/>
  <c r="BF156" i="16" s="1"/>
  <c r="AO157" i="16"/>
  <c r="AO158" i="16"/>
  <c r="AO159" i="16"/>
  <c r="AO160" i="16"/>
  <c r="AO161" i="16"/>
  <c r="AR161" i="16" s="1"/>
  <c r="AO162" i="16"/>
  <c r="AV162" i="16" s="1"/>
  <c r="AO163" i="16"/>
  <c r="AO164" i="16"/>
  <c r="AU164" i="16" s="1"/>
  <c r="AO165" i="16"/>
  <c r="BD165" i="16" s="1"/>
  <c r="AO166" i="16"/>
  <c r="AO167" i="16"/>
  <c r="AO168" i="16"/>
  <c r="BB168" i="16" s="1"/>
  <c r="AO169" i="16"/>
  <c r="AO170" i="16"/>
  <c r="AW170" i="16" s="1"/>
  <c r="AO171" i="16"/>
  <c r="BC171" i="16" s="1"/>
  <c r="AO172" i="16"/>
  <c r="AO173" i="16"/>
  <c r="AO174" i="16"/>
  <c r="AO175" i="16"/>
  <c r="BN175" i="16" s="1"/>
  <c r="AO176" i="16"/>
  <c r="BN176" i="16" s="1"/>
  <c r="AO177" i="16"/>
  <c r="AO178" i="16"/>
  <c r="BF178" i="16" s="1"/>
  <c r="AO179" i="16"/>
  <c r="BD179" i="16" s="1"/>
  <c r="AO180" i="16"/>
  <c r="AO181" i="16"/>
  <c r="AO182" i="16"/>
  <c r="BB182" i="16" s="1"/>
  <c r="CA182" i="16" s="1"/>
  <c r="AO183" i="16"/>
  <c r="BJ183" i="16" s="1"/>
  <c r="AO184" i="16"/>
  <c r="BK184" i="16" s="1"/>
  <c r="AO185" i="16"/>
  <c r="AO186" i="16"/>
  <c r="AO187" i="16"/>
  <c r="AO188" i="16"/>
  <c r="AM97" i="16"/>
  <c r="AM98" i="16"/>
  <c r="AM99" i="16"/>
  <c r="AM100" i="16"/>
  <c r="AM101" i="16"/>
  <c r="AM102" i="16"/>
  <c r="AM103" i="16"/>
  <c r="AM104" i="16"/>
  <c r="AM105" i="16"/>
  <c r="AM106" i="16"/>
  <c r="AM107" i="16"/>
  <c r="AM108" i="16"/>
  <c r="AM109" i="16"/>
  <c r="AM110" i="16"/>
  <c r="AM111" i="16"/>
  <c r="AM112" i="16"/>
  <c r="AM113" i="16"/>
  <c r="AM114" i="16"/>
  <c r="AM115" i="16"/>
  <c r="AM116" i="16"/>
  <c r="AM117" i="16"/>
  <c r="AM118" i="16"/>
  <c r="AM119" i="16"/>
  <c r="AM120" i="16"/>
  <c r="AM121" i="16"/>
  <c r="AM122" i="16"/>
  <c r="AM123" i="16"/>
  <c r="AM124" i="16"/>
  <c r="AM125" i="16"/>
  <c r="AM126" i="16"/>
  <c r="AM127" i="16"/>
  <c r="AM128" i="16"/>
  <c r="AM129" i="16"/>
  <c r="AM130" i="16"/>
  <c r="AM131" i="16"/>
  <c r="AM132" i="16"/>
  <c r="AM133" i="16"/>
  <c r="AM134" i="16"/>
  <c r="AM135" i="16"/>
  <c r="AM136" i="16"/>
  <c r="AM137" i="16"/>
  <c r="AM138" i="16"/>
  <c r="AM139" i="16"/>
  <c r="AM140" i="16"/>
  <c r="AM141" i="16"/>
  <c r="AM142" i="16"/>
  <c r="AM143" i="16"/>
  <c r="AM144" i="16"/>
  <c r="AM145" i="16"/>
  <c r="AM146" i="16"/>
  <c r="AM147" i="16"/>
  <c r="AM148" i="16"/>
  <c r="AM149" i="16"/>
  <c r="AM150" i="16"/>
  <c r="AM151" i="16"/>
  <c r="AM152" i="16"/>
  <c r="AM153" i="16"/>
  <c r="AM154" i="16"/>
  <c r="AM155" i="16"/>
  <c r="AM156" i="16"/>
  <c r="AM157" i="16"/>
  <c r="AM158" i="16"/>
  <c r="AM159" i="16"/>
  <c r="AM160" i="16"/>
  <c r="AM161" i="16"/>
  <c r="AM162" i="16"/>
  <c r="AM163" i="16"/>
  <c r="AM164" i="16"/>
  <c r="AM165" i="16"/>
  <c r="AM166" i="16"/>
  <c r="AM167" i="16"/>
  <c r="AM168" i="16"/>
  <c r="AM169" i="16"/>
  <c r="AM170" i="16"/>
  <c r="AM171" i="16"/>
  <c r="AM172" i="16"/>
  <c r="AM173" i="16"/>
  <c r="AM174" i="16"/>
  <c r="AM175" i="16"/>
  <c r="AM176" i="16"/>
  <c r="AM177" i="16"/>
  <c r="AM178" i="16"/>
  <c r="AM179" i="16"/>
  <c r="AM180" i="16"/>
  <c r="AM181" i="16"/>
  <c r="AM182" i="16"/>
  <c r="AM183" i="16"/>
  <c r="AM184" i="16"/>
  <c r="AM185" i="16"/>
  <c r="AM186" i="16"/>
  <c r="AM187" i="16"/>
  <c r="AM188" i="16"/>
  <c r="AM88" i="16"/>
  <c r="AM89" i="16"/>
  <c r="AM90" i="16"/>
  <c r="AM91" i="16"/>
  <c r="AM92" i="16"/>
  <c r="AM93" i="16"/>
  <c r="AM94" i="16"/>
  <c r="AM95" i="16"/>
  <c r="AM96" i="16"/>
  <c r="AM87" i="16"/>
  <c r="BM8" i="16"/>
  <c r="BM11" i="16"/>
  <c r="BM12" i="16"/>
  <c r="BM13" i="16"/>
  <c r="BM14" i="16"/>
  <c r="BM15" i="16"/>
  <c r="BM19" i="16"/>
  <c r="BM24" i="16"/>
  <c r="BM25" i="16"/>
  <c r="BM26" i="16"/>
  <c r="BM28" i="16"/>
  <c r="BM29" i="16"/>
  <c r="BM33" i="16"/>
  <c r="BM34" i="16"/>
  <c r="BM35" i="16"/>
  <c r="BM39" i="16"/>
  <c r="BM40" i="16"/>
  <c r="BM41" i="16"/>
  <c r="BM42" i="16"/>
  <c r="BM43" i="16"/>
  <c r="BM49" i="16"/>
  <c r="BM50" i="16"/>
  <c r="BM53" i="16"/>
  <c r="BM54" i="16"/>
  <c r="BM55" i="16"/>
  <c r="BM56" i="16"/>
  <c r="BM57" i="16"/>
  <c r="BM59" i="16"/>
  <c r="BM63" i="16"/>
  <c r="BM64" i="16"/>
  <c r="BM66" i="16"/>
  <c r="BM67" i="16"/>
  <c r="BM69" i="16"/>
  <c r="BM70" i="16"/>
  <c r="BM71" i="16"/>
  <c r="BM75" i="16"/>
  <c r="BM80" i="16"/>
  <c r="BM81" i="16"/>
  <c r="BM84" i="16"/>
  <c r="BM85" i="16"/>
  <c r="BM5" i="16"/>
  <c r="AO6" i="16"/>
  <c r="BM6" i="16" s="1"/>
  <c r="AO7" i="16"/>
  <c r="BM7" i="16" s="1"/>
  <c r="AO8" i="16"/>
  <c r="AO9" i="16"/>
  <c r="BM9" i="16" s="1"/>
  <c r="AO10" i="16"/>
  <c r="BM10" i="16" s="1"/>
  <c r="AO11" i="16"/>
  <c r="AO12" i="16"/>
  <c r="AO13" i="16"/>
  <c r="AO14" i="16"/>
  <c r="AO15" i="16"/>
  <c r="AO16" i="16"/>
  <c r="BM16" i="16" s="1"/>
  <c r="AO17" i="16"/>
  <c r="BM17" i="16" s="1"/>
  <c r="AO18" i="16"/>
  <c r="BM18" i="16" s="1"/>
  <c r="AO19" i="16"/>
  <c r="AO20" i="16"/>
  <c r="BM20" i="16" s="1"/>
  <c r="AO21" i="16"/>
  <c r="BM21" i="16" s="1"/>
  <c r="AO22" i="16"/>
  <c r="BM22" i="16" s="1"/>
  <c r="AO23" i="16"/>
  <c r="BM23" i="16" s="1"/>
  <c r="AO24" i="16"/>
  <c r="AO25" i="16"/>
  <c r="AO26" i="16"/>
  <c r="AO27" i="16"/>
  <c r="BM27" i="16" s="1"/>
  <c r="AO28" i="16"/>
  <c r="AO29" i="16"/>
  <c r="AO30" i="16"/>
  <c r="BM30" i="16" s="1"/>
  <c r="AO31" i="16"/>
  <c r="BM31" i="16" s="1"/>
  <c r="AO32" i="16"/>
  <c r="BM32" i="16" s="1"/>
  <c r="AO33" i="16"/>
  <c r="AO34" i="16"/>
  <c r="AO35" i="16"/>
  <c r="AO36" i="16"/>
  <c r="BM36" i="16" s="1"/>
  <c r="AO37" i="16"/>
  <c r="BM37" i="16" s="1"/>
  <c r="AO38" i="16"/>
  <c r="BM38" i="16" s="1"/>
  <c r="AO39" i="16"/>
  <c r="AO40" i="16"/>
  <c r="AO41" i="16"/>
  <c r="AO42" i="16"/>
  <c r="AO43" i="16"/>
  <c r="AO44" i="16"/>
  <c r="BM44" i="16" s="1"/>
  <c r="AO45" i="16"/>
  <c r="BM45" i="16" s="1"/>
  <c r="AO46" i="16"/>
  <c r="BM46" i="16" s="1"/>
  <c r="AO47" i="16"/>
  <c r="BM47" i="16" s="1"/>
  <c r="AO48" i="16"/>
  <c r="BM48" i="16" s="1"/>
  <c r="AO49" i="16"/>
  <c r="AO50" i="16"/>
  <c r="AO51" i="16"/>
  <c r="BM51" i="16" s="1"/>
  <c r="AO52" i="16"/>
  <c r="BM52" i="16" s="1"/>
  <c r="AO53" i="16"/>
  <c r="AO54" i="16"/>
  <c r="AO55" i="16"/>
  <c r="AO56" i="16"/>
  <c r="AO57" i="16"/>
  <c r="AO58" i="16"/>
  <c r="BM58" i="16" s="1"/>
  <c r="AO59" i="16"/>
  <c r="AO60" i="16"/>
  <c r="BM60" i="16" s="1"/>
  <c r="AO61" i="16"/>
  <c r="BM61" i="16" s="1"/>
  <c r="AO62" i="16"/>
  <c r="BM62" i="16" s="1"/>
  <c r="AO63" i="16"/>
  <c r="AO64" i="16"/>
  <c r="AO65" i="16"/>
  <c r="BM65" i="16" s="1"/>
  <c r="AO66" i="16"/>
  <c r="AO67" i="16"/>
  <c r="AO68" i="16"/>
  <c r="BM68" i="16" s="1"/>
  <c r="AO69" i="16"/>
  <c r="AO70" i="16"/>
  <c r="AO71" i="16"/>
  <c r="AO72" i="16"/>
  <c r="BM72" i="16" s="1"/>
  <c r="AO73" i="16"/>
  <c r="BM73" i="16" s="1"/>
  <c r="AO74" i="16"/>
  <c r="BM74" i="16" s="1"/>
  <c r="AO75" i="16"/>
  <c r="AO76" i="16"/>
  <c r="BM76" i="16" s="1"/>
  <c r="AO77" i="16"/>
  <c r="BM77" i="16" s="1"/>
  <c r="AO78" i="16"/>
  <c r="BM78" i="16" s="1"/>
  <c r="AO79" i="16"/>
  <c r="BM79" i="16" s="1"/>
  <c r="AO80" i="16"/>
  <c r="AO81" i="16"/>
  <c r="AO82" i="16"/>
  <c r="BM82" i="16" s="1"/>
  <c r="AO83" i="16"/>
  <c r="BM83" i="16" s="1"/>
  <c r="AO84" i="16"/>
  <c r="AO85" i="16"/>
  <c r="AO86" i="16"/>
  <c r="AO87" i="16"/>
  <c r="AO88" i="16"/>
  <c r="AX88" i="16" s="1"/>
  <c r="AO89" i="16"/>
  <c r="AR89" i="16" s="1"/>
  <c r="AO90" i="16"/>
  <c r="AZ90" i="16" s="1"/>
  <c r="AO91" i="16"/>
  <c r="AO92" i="16"/>
  <c r="AO93" i="16"/>
  <c r="AT93" i="16" s="1"/>
  <c r="AO94" i="16"/>
  <c r="AO95" i="16"/>
  <c r="AO96" i="16"/>
  <c r="AO97" i="16"/>
  <c r="AO98" i="16"/>
  <c r="AO99" i="16"/>
  <c r="AO100" i="16"/>
  <c r="AO101" i="16"/>
  <c r="AY101" i="16" s="1"/>
  <c r="BX101" i="16" s="1"/>
  <c r="AO102" i="16"/>
  <c r="AO103" i="16"/>
  <c r="AO104" i="16"/>
  <c r="AW104" i="16" s="1"/>
  <c r="BV104" i="16" s="1"/>
  <c r="AO105" i="16"/>
  <c r="AO106" i="16"/>
  <c r="AO107" i="16"/>
  <c r="AW107" i="16" s="1"/>
  <c r="BV107" i="16" s="1"/>
  <c r="AO108" i="16"/>
  <c r="AO109" i="16"/>
  <c r="AO110" i="16"/>
  <c r="AO111" i="16"/>
  <c r="AO112" i="16"/>
  <c r="AO113" i="16"/>
  <c r="AO114" i="16"/>
  <c r="AO5" i="16"/>
  <c r="BL5" i="16" s="1"/>
  <c r="AM6" i="16"/>
  <c r="AM5" i="16"/>
  <c r="BN20" i="16"/>
  <c r="O87" i="16"/>
  <c r="AQ87" i="16" s="1"/>
  <c r="O88" i="16"/>
  <c r="O89" i="16"/>
  <c r="O90" i="16"/>
  <c r="AQ90" i="16" s="1"/>
  <c r="O91" i="16"/>
  <c r="O92" i="16"/>
  <c r="AQ92" i="16" s="1"/>
  <c r="O93" i="16"/>
  <c r="O94" i="16"/>
  <c r="O95" i="16"/>
  <c r="O96" i="16"/>
  <c r="AQ96" i="16" s="1"/>
  <c r="O97" i="16"/>
  <c r="AQ97" i="16" s="1"/>
  <c r="O98" i="16"/>
  <c r="AQ98" i="16" s="1"/>
  <c r="O99" i="16"/>
  <c r="AQ99" i="16" s="1"/>
  <c r="O100" i="16"/>
  <c r="AQ100" i="16" s="1"/>
  <c r="O101" i="16"/>
  <c r="AQ101" i="16" s="1"/>
  <c r="O102" i="16"/>
  <c r="O103" i="16"/>
  <c r="O104" i="16"/>
  <c r="AQ104" i="16" s="1"/>
  <c r="O105" i="16"/>
  <c r="O106" i="16"/>
  <c r="O107" i="16"/>
  <c r="AQ107" i="16" s="1"/>
  <c r="O108" i="16"/>
  <c r="O109" i="16"/>
  <c r="O110" i="16"/>
  <c r="AQ110" i="16" s="1"/>
  <c r="O111" i="16"/>
  <c r="AQ111" i="16" s="1"/>
  <c r="O112" i="16"/>
  <c r="AQ112" i="16" s="1"/>
  <c r="O113" i="16"/>
  <c r="AQ113" i="16" s="1"/>
  <c r="O114" i="16"/>
  <c r="AQ114" i="16" s="1"/>
  <c r="O115" i="16"/>
  <c r="O116" i="16"/>
  <c r="O117" i="16"/>
  <c r="O118" i="16"/>
  <c r="AQ118" i="16" s="1"/>
  <c r="O119" i="16"/>
  <c r="AQ119" i="16" s="1"/>
  <c r="O120" i="16"/>
  <c r="AQ120" i="16" s="1"/>
  <c r="O121" i="16"/>
  <c r="AQ121" i="16" s="1"/>
  <c r="O122" i="16"/>
  <c r="O123" i="16"/>
  <c r="O124" i="16"/>
  <c r="AQ124" i="16" s="1"/>
  <c r="O125" i="16"/>
  <c r="AQ125" i="16" s="1"/>
  <c r="O126" i="16"/>
  <c r="AQ126" i="16" s="1"/>
  <c r="O127" i="16"/>
  <c r="AQ127" i="16" s="1"/>
  <c r="O128" i="16"/>
  <c r="AQ128" i="16" s="1"/>
  <c r="O129" i="16"/>
  <c r="O130" i="16"/>
  <c r="O131" i="16"/>
  <c r="AQ131" i="16" s="1"/>
  <c r="O132" i="16"/>
  <c r="AQ132" i="16" s="1"/>
  <c r="O133" i="16"/>
  <c r="O134" i="16"/>
  <c r="O135" i="16"/>
  <c r="AQ135" i="16" s="1"/>
  <c r="O136" i="16"/>
  <c r="O137" i="16"/>
  <c r="O138" i="16"/>
  <c r="AQ138" i="16" s="1"/>
  <c r="O139" i="16"/>
  <c r="AQ139" i="16" s="1"/>
  <c r="O140" i="16"/>
  <c r="AQ140" i="16" s="1"/>
  <c r="O141" i="16"/>
  <c r="AQ141" i="16" s="1"/>
  <c r="O142" i="16"/>
  <c r="O143" i="16"/>
  <c r="O144" i="16"/>
  <c r="AQ144" i="16" s="1"/>
  <c r="O145" i="16"/>
  <c r="O146" i="16"/>
  <c r="AQ146" i="16" s="1"/>
  <c r="O147" i="16"/>
  <c r="O148" i="16"/>
  <c r="O149" i="16"/>
  <c r="AQ149" i="16" s="1"/>
  <c r="O150" i="16"/>
  <c r="O151" i="16"/>
  <c r="O152" i="16"/>
  <c r="AQ152" i="16" s="1"/>
  <c r="O153" i="16"/>
  <c r="AQ153" i="16" s="1"/>
  <c r="O154" i="16"/>
  <c r="AQ154" i="16" s="1"/>
  <c r="O155" i="16"/>
  <c r="AQ155" i="16" s="1"/>
  <c r="O156" i="16"/>
  <c r="AQ156" i="16" s="1"/>
  <c r="O157" i="16"/>
  <c r="AQ157" i="16" s="1"/>
  <c r="O158" i="16"/>
  <c r="AQ158" i="16" s="1"/>
  <c r="O159" i="16"/>
  <c r="O160" i="16"/>
  <c r="O161" i="16"/>
  <c r="O162" i="16"/>
  <c r="AQ162" i="16" s="1"/>
  <c r="O163" i="16"/>
  <c r="AQ163" i="16" s="1"/>
  <c r="O164" i="16"/>
  <c r="O165" i="16"/>
  <c r="O166" i="16"/>
  <c r="AQ166" i="16" s="1"/>
  <c r="O167" i="16"/>
  <c r="AQ167" i="16" s="1"/>
  <c r="O168" i="16"/>
  <c r="AQ168" i="16" s="1"/>
  <c r="O169" i="16"/>
  <c r="AQ169" i="16" s="1"/>
  <c r="O170" i="16"/>
  <c r="AQ170" i="16" s="1"/>
  <c r="O171" i="16"/>
  <c r="O172" i="16"/>
  <c r="AQ172" i="16" s="1"/>
  <c r="O173" i="16"/>
  <c r="AQ173" i="16" s="1"/>
  <c r="O174" i="16"/>
  <c r="AQ174" i="16" s="1"/>
  <c r="O175" i="16"/>
  <c r="O176" i="16"/>
  <c r="O177" i="16"/>
  <c r="O178" i="16"/>
  <c r="O179" i="16"/>
  <c r="O180" i="16"/>
  <c r="O181" i="16"/>
  <c r="AQ181" i="16" s="1"/>
  <c r="O182" i="16"/>
  <c r="AQ182" i="16" s="1"/>
  <c r="O183" i="16"/>
  <c r="O184" i="16"/>
  <c r="O185" i="16"/>
  <c r="AQ185" i="16" s="1"/>
  <c r="O186" i="16"/>
  <c r="O187" i="16"/>
  <c r="O188" i="16"/>
  <c r="AQ188" i="16" s="1"/>
  <c r="K87" i="16"/>
  <c r="K88" i="16"/>
  <c r="K89" i="16"/>
  <c r="K90" i="16"/>
  <c r="K91" i="16"/>
  <c r="K92" i="16"/>
  <c r="K93" i="16"/>
  <c r="K94" i="16"/>
  <c r="K95" i="16"/>
  <c r="K96" i="16"/>
  <c r="K97" i="16"/>
  <c r="K98" i="16"/>
  <c r="K99" i="16"/>
  <c r="K100" i="16"/>
  <c r="K101" i="16"/>
  <c r="K102" i="16"/>
  <c r="K103" i="16"/>
  <c r="K104" i="16"/>
  <c r="K105" i="16"/>
  <c r="K106" i="16"/>
  <c r="K107" i="16"/>
  <c r="K108" i="16"/>
  <c r="K109" i="16"/>
  <c r="K110" i="16"/>
  <c r="K111" i="16"/>
  <c r="K112" i="16"/>
  <c r="K113" i="16"/>
  <c r="K114" i="16"/>
  <c r="K115" i="16"/>
  <c r="K116" i="16"/>
  <c r="K117" i="16"/>
  <c r="K118" i="16"/>
  <c r="K119" i="16"/>
  <c r="K120" i="16"/>
  <c r="K121" i="16"/>
  <c r="K122" i="16"/>
  <c r="K123" i="16"/>
  <c r="K124" i="16"/>
  <c r="K125" i="16"/>
  <c r="K126" i="16"/>
  <c r="K127" i="16"/>
  <c r="K128" i="16"/>
  <c r="K129" i="16"/>
  <c r="K130" i="16"/>
  <c r="K131" i="16"/>
  <c r="K132" i="16"/>
  <c r="K133" i="16"/>
  <c r="K134" i="16"/>
  <c r="K135" i="16"/>
  <c r="K136" i="16"/>
  <c r="K137" i="16"/>
  <c r="K138" i="16"/>
  <c r="K139" i="16"/>
  <c r="K140" i="16"/>
  <c r="K141" i="16"/>
  <c r="K142" i="16"/>
  <c r="K143" i="16"/>
  <c r="K144" i="16"/>
  <c r="K145" i="16"/>
  <c r="K146" i="16"/>
  <c r="K147" i="16"/>
  <c r="K148" i="16"/>
  <c r="K149" i="16"/>
  <c r="K150" i="16"/>
  <c r="K151" i="16"/>
  <c r="K152" i="16"/>
  <c r="K153" i="16"/>
  <c r="K154" i="16"/>
  <c r="K155" i="16"/>
  <c r="K156" i="16"/>
  <c r="K157" i="16"/>
  <c r="K158" i="16"/>
  <c r="K159" i="16"/>
  <c r="K160" i="16"/>
  <c r="K161" i="16"/>
  <c r="K162" i="16"/>
  <c r="K163" i="16"/>
  <c r="K164" i="16"/>
  <c r="K165" i="16"/>
  <c r="K166" i="16"/>
  <c r="K167" i="16"/>
  <c r="K168" i="16"/>
  <c r="K169" i="16"/>
  <c r="K170" i="16"/>
  <c r="K171" i="16"/>
  <c r="K172" i="16"/>
  <c r="K173" i="16"/>
  <c r="K174" i="16"/>
  <c r="K175" i="16"/>
  <c r="K176" i="16"/>
  <c r="K177" i="16"/>
  <c r="K178" i="16"/>
  <c r="K179" i="16"/>
  <c r="K180" i="16"/>
  <c r="K181" i="16"/>
  <c r="K182" i="16"/>
  <c r="K183" i="16"/>
  <c r="K184" i="16"/>
  <c r="K185" i="16"/>
  <c r="K186" i="16"/>
  <c r="K187" i="16"/>
  <c r="K188" i="16"/>
  <c r="J87" i="16"/>
  <c r="J88" i="16"/>
  <c r="J89" i="16"/>
  <c r="J90" i="16"/>
  <c r="J91" i="16"/>
  <c r="J92" i="16"/>
  <c r="J93" i="16"/>
  <c r="J94" i="16"/>
  <c r="J95" i="16"/>
  <c r="J96" i="16"/>
  <c r="J97" i="16"/>
  <c r="J98" i="16"/>
  <c r="J99" i="16"/>
  <c r="J100" i="16"/>
  <c r="J101" i="16"/>
  <c r="J102" i="16"/>
  <c r="J103" i="16"/>
  <c r="J104" i="16"/>
  <c r="J105" i="16"/>
  <c r="J106" i="16"/>
  <c r="J107" i="16"/>
  <c r="J108" i="16"/>
  <c r="J109" i="16"/>
  <c r="J110" i="16"/>
  <c r="J111" i="16"/>
  <c r="J112" i="16"/>
  <c r="J113" i="16"/>
  <c r="J114" i="16"/>
  <c r="J115" i="16"/>
  <c r="J116" i="16"/>
  <c r="J117" i="16"/>
  <c r="J118" i="16"/>
  <c r="J119" i="16"/>
  <c r="J120" i="16"/>
  <c r="J121" i="16"/>
  <c r="J122" i="16"/>
  <c r="J123" i="16"/>
  <c r="J124" i="16"/>
  <c r="J125" i="16"/>
  <c r="J126" i="16"/>
  <c r="J127" i="16"/>
  <c r="J128" i="16"/>
  <c r="J129" i="16"/>
  <c r="J130" i="16"/>
  <c r="J131" i="16"/>
  <c r="J132" i="16"/>
  <c r="J133" i="16"/>
  <c r="J134" i="16"/>
  <c r="J135" i="16"/>
  <c r="J136" i="16"/>
  <c r="J137" i="16"/>
  <c r="J138" i="16"/>
  <c r="J139" i="16"/>
  <c r="J140" i="16"/>
  <c r="J141" i="16"/>
  <c r="J142" i="16"/>
  <c r="J143" i="16"/>
  <c r="J144" i="16"/>
  <c r="J145" i="16"/>
  <c r="J146" i="16"/>
  <c r="J147" i="16"/>
  <c r="J148" i="16"/>
  <c r="J149" i="16"/>
  <c r="J150" i="16"/>
  <c r="J151" i="16"/>
  <c r="J152" i="16"/>
  <c r="J153" i="16"/>
  <c r="J154" i="16"/>
  <c r="J155" i="16"/>
  <c r="J156" i="16"/>
  <c r="J157" i="16"/>
  <c r="J158" i="16"/>
  <c r="J159" i="16"/>
  <c r="J160" i="16"/>
  <c r="J161" i="16"/>
  <c r="J162" i="16"/>
  <c r="J163" i="16"/>
  <c r="J164" i="16"/>
  <c r="J165" i="16"/>
  <c r="J166" i="16"/>
  <c r="J167" i="16"/>
  <c r="J168" i="16"/>
  <c r="J169" i="16"/>
  <c r="J170" i="16"/>
  <c r="J171" i="16"/>
  <c r="J172" i="16"/>
  <c r="J173" i="16"/>
  <c r="J174" i="16"/>
  <c r="J175" i="16"/>
  <c r="J176" i="16"/>
  <c r="J177" i="16"/>
  <c r="J178" i="16"/>
  <c r="J179" i="16"/>
  <c r="J180" i="16"/>
  <c r="J181" i="16"/>
  <c r="J182" i="16"/>
  <c r="J183" i="16"/>
  <c r="J184" i="16"/>
  <c r="J185" i="16"/>
  <c r="J186" i="16"/>
  <c r="J187" i="16"/>
  <c r="J188" i="16"/>
  <c r="BV170" i="16" l="1"/>
  <c r="BY142" i="16"/>
  <c r="CC127" i="16"/>
  <c r="CJ184" i="16"/>
  <c r="CE156" i="16"/>
  <c r="CA128" i="16"/>
  <c r="CI183" i="16"/>
  <c r="CB171" i="16"/>
  <c r="BQ143" i="16"/>
  <c r="CC115" i="16"/>
  <c r="AR169" i="16"/>
  <c r="BF169" i="16"/>
  <c r="AW169" i="16"/>
  <c r="BL169" i="16"/>
  <c r="AX169" i="16"/>
  <c r="BM169" i="16"/>
  <c r="BI169" i="16"/>
  <c r="AT169" i="16"/>
  <c r="BK169" i="16"/>
  <c r="AU169" i="16"/>
  <c r="BN169" i="16"/>
  <c r="AV169" i="16"/>
  <c r="BE169" i="16"/>
  <c r="BG169" i="16"/>
  <c r="BH169" i="16"/>
  <c r="BJ169" i="16"/>
  <c r="AS169" i="16"/>
  <c r="BB141" i="16"/>
  <c r="BF141" i="16"/>
  <c r="BE141" i="16"/>
  <c r="BG141" i="16"/>
  <c r="BI141" i="16"/>
  <c r="AS141" i="16"/>
  <c r="BK141" i="16"/>
  <c r="AT141" i="16"/>
  <c r="BL141" i="16"/>
  <c r="AU141" i="16"/>
  <c r="BM141" i="16"/>
  <c r="AZ141" i="16"/>
  <c r="BA141" i="16"/>
  <c r="BN141" i="16"/>
  <c r="BC141" i="16"/>
  <c r="BD141" i="16"/>
  <c r="BH141" i="16"/>
  <c r="BJ141" i="16"/>
  <c r="BQ186" i="16"/>
  <c r="CF176" i="16"/>
  <c r="CJ161" i="16"/>
  <c r="CJ157" i="16"/>
  <c r="BY144" i="16"/>
  <c r="CJ133" i="16"/>
  <c r="CE129" i="16"/>
  <c r="CD125" i="16"/>
  <c r="CK123" i="16"/>
  <c r="BV122" i="16"/>
  <c r="CJ116" i="16"/>
  <c r="BU188" i="16"/>
  <c r="BK183" i="16"/>
  <c r="CD176" i="16"/>
  <c r="CD170" i="16"/>
  <c r="CI161" i="16"/>
  <c r="CI157" i="16"/>
  <c r="BX144" i="16"/>
  <c r="CI133" i="16"/>
  <c r="BY129" i="16"/>
  <c r="AW127" i="16"/>
  <c r="CC125" i="16"/>
  <c r="BT122" i="16"/>
  <c r="BT188" i="16"/>
  <c r="CF181" i="16"/>
  <c r="CD178" i="16"/>
  <c r="BZ176" i="16"/>
  <c r="CH157" i="16"/>
  <c r="BW144" i="16"/>
  <c r="AR127" i="16"/>
  <c r="BR119" i="16"/>
  <c r="BS148" i="16"/>
  <c r="AZ102" i="16"/>
  <c r="BY102" i="16" s="1"/>
  <c r="BN102" i="16"/>
  <c r="CL102" i="16" s="1"/>
  <c r="AR102" i="16"/>
  <c r="BQ102" i="16" s="1"/>
  <c r="BG102" i="16"/>
  <c r="CF102" i="16" s="1"/>
  <c r="AY102" i="16"/>
  <c r="BX102" i="16" s="1"/>
  <c r="BA102" i="16"/>
  <c r="BZ102" i="16" s="1"/>
  <c r="AX102" i="16"/>
  <c r="BW102" i="16" s="1"/>
  <c r="BB102" i="16"/>
  <c r="CA102" i="16" s="1"/>
  <c r="BC102" i="16"/>
  <c r="CB102" i="16" s="1"/>
  <c r="BD102" i="16"/>
  <c r="CC102" i="16" s="1"/>
  <c r="BE102" i="16"/>
  <c r="CD102" i="16" s="1"/>
  <c r="BJ102" i="16"/>
  <c r="CI102" i="16" s="1"/>
  <c r="BK102" i="16"/>
  <c r="CJ102" i="16" s="1"/>
  <c r="AT102" i="16"/>
  <c r="BS102" i="16" s="1"/>
  <c r="BL102" i="16"/>
  <c r="CK102" i="16" s="1"/>
  <c r="BM102" i="16"/>
  <c r="AS102" i="16"/>
  <c r="BR102" i="16" s="1"/>
  <c r="CH185" i="16"/>
  <c r="CD172" i="16"/>
  <c r="CE159" i="16"/>
  <c r="BQ119" i="16"/>
  <c r="BI102" i="16"/>
  <c r="CH102" i="16" s="1"/>
  <c r="AV87" i="16"/>
  <c r="BJ87" i="16"/>
  <c r="BE87" i="16"/>
  <c r="BB87" i="16"/>
  <c r="BC87" i="16"/>
  <c r="BD87" i="16"/>
  <c r="BF87" i="16"/>
  <c r="BG87" i="16"/>
  <c r="BH87" i="16"/>
  <c r="BI87" i="16"/>
  <c r="BK87" i="16"/>
  <c r="BL87" i="16"/>
  <c r="AT87" i="16"/>
  <c r="BM87" i="16"/>
  <c r="BN87" i="16"/>
  <c r="AR87" i="16"/>
  <c r="AS87" i="16"/>
  <c r="CF185" i="16"/>
  <c r="BX182" i="16"/>
  <c r="CH180" i="16"/>
  <c r="AY170" i="16"/>
  <c r="CD159" i="16"/>
  <c r="BX150" i="16"/>
  <c r="CK139" i="16"/>
  <c r="BW137" i="16"/>
  <c r="BU135" i="16"/>
  <c r="CB131" i="16"/>
  <c r="CL118" i="16"/>
  <c r="AR114" i="16"/>
  <c r="BQ114" i="16" s="1"/>
  <c r="BF114" i="16"/>
  <c r="BE114" i="16"/>
  <c r="BC114" i="16"/>
  <c r="BD114" i="16"/>
  <c r="BI114" i="16"/>
  <c r="AS114" i="16"/>
  <c r="BK114" i="16"/>
  <c r="AT114" i="16"/>
  <c r="BL114" i="16"/>
  <c r="AU114" i="16"/>
  <c r="BM114" i="16"/>
  <c r="AZ114" i="16"/>
  <c r="AV114" i="16"/>
  <c r="AW114" i="16"/>
  <c r="AX114" i="16"/>
  <c r="AY114" i="16"/>
  <c r="AR86" i="16"/>
  <c r="BF86" i="16"/>
  <c r="AY86" i="16"/>
  <c r="BN86" i="16"/>
  <c r="AT86" i="16"/>
  <c r="BJ86" i="16"/>
  <c r="AU86" i="16"/>
  <c r="BK86" i="16"/>
  <c r="BH86" i="16"/>
  <c r="BI86" i="16"/>
  <c r="BL86" i="16"/>
  <c r="AS86" i="16"/>
  <c r="BM86" i="16"/>
  <c r="AV86" i="16"/>
  <c r="BB86" i="16"/>
  <c r="BC86" i="16"/>
  <c r="BD86" i="16"/>
  <c r="BE86" i="16"/>
  <c r="BG86" i="16"/>
  <c r="CA181" i="16"/>
  <c r="AX170" i="16"/>
  <c r="BQ163" i="16"/>
  <c r="CC159" i="16"/>
  <c r="CE153" i="16"/>
  <c r="BV151" i="16"/>
  <c r="BZ149" i="16"/>
  <c r="CC140" i="16"/>
  <c r="BT135" i="16"/>
  <c r="BC128" i="16"/>
  <c r="BV118" i="16"/>
  <c r="CJ115" i="16"/>
  <c r="BF102" i="16"/>
  <c r="CE102" i="16" s="1"/>
  <c r="CJ187" i="16"/>
  <c r="CB178" i="16"/>
  <c r="CN112" i="16"/>
  <c r="BL184" i="16"/>
  <c r="CE180" i="16"/>
  <c r="BU179" i="16"/>
  <c r="CD174" i="16"/>
  <c r="CL163" i="16"/>
  <c r="CE152" i="16"/>
  <c r="BY149" i="16"/>
  <c r="CA145" i="16"/>
  <c r="AX141" i="16"/>
  <c r="CE139" i="16"/>
  <c r="BT137" i="16"/>
  <c r="CL134" i="16"/>
  <c r="CF130" i="16"/>
  <c r="BU118" i="16"/>
  <c r="AW102" i="16"/>
  <c r="BV102" i="16" s="1"/>
  <c r="AZ87" i="16"/>
  <c r="BY182" i="16"/>
  <c r="CA178" i="16"/>
  <c r="CL176" i="16"/>
  <c r="CH148" i="16"/>
  <c r="BZ134" i="16"/>
  <c r="BQ187" i="16"/>
  <c r="BY181" i="16"/>
  <c r="CC174" i="16"/>
  <c r="BD169" i="16"/>
  <c r="BU150" i="16"/>
  <c r="BY147" i="16"/>
  <c r="AW141" i="16"/>
  <c r="CG138" i="16"/>
  <c r="CK137" i="16"/>
  <c r="BR136" i="16"/>
  <c r="CE130" i="16"/>
  <c r="AZ128" i="16"/>
  <c r="BT118" i="16"/>
  <c r="CG115" i="16"/>
  <c r="AV102" i="16"/>
  <c r="BU102" i="16" s="1"/>
  <c r="AY87" i="16"/>
  <c r="BQ161" i="16"/>
  <c r="CB119" i="16"/>
  <c r="BI184" i="16"/>
  <c r="CI182" i="16"/>
  <c r="BT182" i="16"/>
  <c r="CB174" i="16"/>
  <c r="BC169" i="16"/>
  <c r="BV166" i="16"/>
  <c r="CG164" i="16"/>
  <c r="CK163" i="16"/>
  <c r="CJ158" i="16"/>
  <c r="BE156" i="16"/>
  <c r="CC152" i="16"/>
  <c r="CI151" i="16"/>
  <c r="BT150" i="16"/>
  <c r="BQ149" i="16"/>
  <c r="BX147" i="16"/>
  <c r="AV141" i="16"/>
  <c r="CA139" i="16"/>
  <c r="CI137" i="16"/>
  <c r="BQ136" i="16"/>
  <c r="CD130" i="16"/>
  <c r="AY128" i="16"/>
  <c r="BQ120" i="16"/>
  <c r="CK117" i="16"/>
  <c r="AU102" i="16"/>
  <c r="BT102" i="16" s="1"/>
  <c r="AX87" i="16"/>
  <c r="CB177" i="16"/>
  <c r="CJ151" i="16"/>
  <c r="BS143" i="16"/>
  <c r="AX188" i="16"/>
  <c r="BL188" i="16"/>
  <c r="AS188" i="16"/>
  <c r="BH188" i="16"/>
  <c r="AT188" i="16"/>
  <c r="BI188" i="16"/>
  <c r="BE188" i="16"/>
  <c r="BG188" i="16"/>
  <c r="BJ188" i="16"/>
  <c r="AR188" i="16"/>
  <c r="BK188" i="16"/>
  <c r="AW188" i="16"/>
  <c r="AY188" i="16"/>
  <c r="AZ188" i="16"/>
  <c r="BA188" i="16"/>
  <c r="BB188" i="16"/>
  <c r="BC188" i="16"/>
  <c r="BD188" i="16"/>
  <c r="BF188" i="16"/>
  <c r="AX174" i="16"/>
  <c r="BL174" i="16"/>
  <c r="AW174" i="16"/>
  <c r="BM174" i="16"/>
  <c r="AY174" i="16"/>
  <c r="BN174" i="16"/>
  <c r="AT174" i="16"/>
  <c r="BK174" i="16"/>
  <c r="AV174" i="16"/>
  <c r="AZ174" i="16"/>
  <c r="BA174" i="16"/>
  <c r="BH174" i="16"/>
  <c r="BI174" i="16"/>
  <c r="AU174" i="16"/>
  <c r="BJ174" i="16"/>
  <c r="AR174" i="16"/>
  <c r="AS174" i="16"/>
  <c r="AX160" i="16"/>
  <c r="BL160" i="16"/>
  <c r="BB160" i="16"/>
  <c r="BC160" i="16"/>
  <c r="BA160" i="16"/>
  <c r="BE160" i="16"/>
  <c r="BF160" i="16"/>
  <c r="BG160" i="16"/>
  <c r="AR160" i="16"/>
  <c r="BN160" i="16"/>
  <c r="AS160" i="16"/>
  <c r="AT160" i="16"/>
  <c r="AU160" i="16"/>
  <c r="AV160" i="16"/>
  <c r="AW160" i="16"/>
  <c r="AY160" i="16"/>
  <c r="AZ160" i="16"/>
  <c r="AX146" i="16"/>
  <c r="BL146" i="16"/>
  <c r="BF146" i="16"/>
  <c r="AR146" i="16"/>
  <c r="BG146" i="16"/>
  <c r="AT146" i="16"/>
  <c r="BK146" i="16"/>
  <c r="AV146" i="16"/>
  <c r="BN146" i="16"/>
  <c r="AW146" i="16"/>
  <c r="AY146" i="16"/>
  <c r="BD146" i="16"/>
  <c r="BE146" i="16"/>
  <c r="BH146" i="16"/>
  <c r="BI146" i="16"/>
  <c r="BJ146" i="16"/>
  <c r="BM146" i="16"/>
  <c r="AT132" i="16"/>
  <c r="BH132" i="16"/>
  <c r="AV132" i="16"/>
  <c r="BK132" i="16"/>
  <c r="AS132" i="16"/>
  <c r="BJ132" i="16"/>
  <c r="AU132" i="16"/>
  <c r="BL132" i="16"/>
  <c r="BC132" i="16"/>
  <c r="BE132" i="16"/>
  <c r="BF132" i="16"/>
  <c r="BG132" i="16"/>
  <c r="AR132" i="16"/>
  <c r="BB132" i="16"/>
  <c r="AW132" i="16"/>
  <c r="AX132" i="16"/>
  <c r="AY132" i="16"/>
  <c r="AZ132" i="16"/>
  <c r="BA132" i="16"/>
  <c r="AT118" i="16"/>
  <c r="BH118" i="16"/>
  <c r="AZ118" i="16"/>
  <c r="BE118" i="16"/>
  <c r="BF118" i="16"/>
  <c r="BG118" i="16"/>
  <c r="BJ118" i="16"/>
  <c r="AR118" i="16"/>
  <c r="BK118" i="16"/>
  <c r="AS118" i="16"/>
  <c r="BL118" i="16"/>
  <c r="AX118" i="16"/>
  <c r="AY118" i="16"/>
  <c r="BA118" i="16"/>
  <c r="BB118" i="16"/>
  <c r="BC118" i="16"/>
  <c r="BD118" i="16"/>
  <c r="BI118" i="16"/>
  <c r="BM118" i="16"/>
  <c r="CL186" i="16"/>
  <c r="BH184" i="16"/>
  <c r="CE175" i="16"/>
  <c r="BB174" i="16"/>
  <c r="BE171" i="16"/>
  <c r="BB169" i="16"/>
  <c r="CH167" i="16"/>
  <c r="BU166" i="16"/>
  <c r="CF164" i="16"/>
  <c r="CD162" i="16"/>
  <c r="BM160" i="16"/>
  <c r="CI158" i="16"/>
  <c r="BD156" i="16"/>
  <c r="BV153" i="16"/>
  <c r="CB152" i="16"/>
  <c r="CH151" i="16"/>
  <c r="BS150" i="16"/>
  <c r="BU147" i="16"/>
  <c r="AS143" i="16"/>
  <c r="AR141" i="16"/>
  <c r="BX140" i="16"/>
  <c r="BZ139" i="16"/>
  <c r="CE138" i="16"/>
  <c r="CH137" i="16"/>
  <c r="BN132" i="16"/>
  <c r="CC130" i="16"/>
  <c r="AX128" i="16"/>
  <c r="CC121" i="16"/>
  <c r="CI117" i="16"/>
  <c r="AW87" i="16"/>
  <c r="CH186" i="16"/>
  <c r="CK179" i="16"/>
  <c r="CF174" i="16"/>
  <c r="CE171" i="16"/>
  <c r="CF158" i="16"/>
  <c r="BT142" i="16"/>
  <c r="AT187" i="16"/>
  <c r="BH187" i="16"/>
  <c r="BB187" i="16"/>
  <c r="BC187" i="16"/>
  <c r="AU187" i="16"/>
  <c r="BL187" i="16"/>
  <c r="AW187" i="16"/>
  <c r="BN187" i="16"/>
  <c r="AX187" i="16"/>
  <c r="AY187" i="16"/>
  <c r="AS187" i="16"/>
  <c r="AV187" i="16"/>
  <c r="BF187" i="16"/>
  <c r="BG187" i="16"/>
  <c r="AZ187" i="16"/>
  <c r="BA187" i="16"/>
  <c r="BD187" i="16"/>
  <c r="BE187" i="16"/>
  <c r="AT173" i="16"/>
  <c r="BH173" i="16"/>
  <c r="BF173" i="16"/>
  <c r="AR173" i="16"/>
  <c r="BG173" i="16"/>
  <c r="BA173" i="16"/>
  <c r="BC173" i="16"/>
  <c r="BD173" i="16"/>
  <c r="BE173" i="16"/>
  <c r="BK173" i="16"/>
  <c r="BL173" i="16"/>
  <c r="AV173" i="16"/>
  <c r="BM173" i="16"/>
  <c r="BN173" i="16"/>
  <c r="AS173" i="16"/>
  <c r="AU173" i="16"/>
  <c r="AW173" i="16"/>
  <c r="AT159" i="16"/>
  <c r="BH159" i="16"/>
  <c r="AV159" i="16"/>
  <c r="BK159" i="16"/>
  <c r="AW159" i="16"/>
  <c r="BL159" i="16"/>
  <c r="BG159" i="16"/>
  <c r="AR159" i="16"/>
  <c r="BJ159" i="16"/>
  <c r="AS159" i="16"/>
  <c r="BM159" i="16"/>
  <c r="AU159" i="16"/>
  <c r="BN159" i="16"/>
  <c r="BA159" i="16"/>
  <c r="AX159" i="16"/>
  <c r="AY159" i="16"/>
  <c r="AZ159" i="16"/>
  <c r="BB159" i="16"/>
  <c r="AT145" i="16"/>
  <c r="BH145" i="16"/>
  <c r="AZ145" i="16"/>
  <c r="BA145" i="16"/>
  <c r="AY145" i="16"/>
  <c r="BC145" i="16"/>
  <c r="BD145" i="16"/>
  <c r="BE145" i="16"/>
  <c r="BF145" i="16"/>
  <c r="BG145" i="16"/>
  <c r="AR145" i="16"/>
  <c r="BI145" i="16"/>
  <c r="BJ145" i="16"/>
  <c r="BK145" i="16"/>
  <c r="BL145" i="16"/>
  <c r="BM145" i="16"/>
  <c r="BN145" i="16"/>
  <c r="BD131" i="16"/>
  <c r="BE131" i="16"/>
  <c r="BA131" i="16"/>
  <c r="BB131" i="16"/>
  <c r="BI131" i="16"/>
  <c r="AS131" i="16"/>
  <c r="BK131" i="16"/>
  <c r="AT131" i="16"/>
  <c r="BL131" i="16"/>
  <c r="AU131" i="16"/>
  <c r="BM131" i="16"/>
  <c r="AR131" i="16"/>
  <c r="AV131" i="16"/>
  <c r="AW131" i="16"/>
  <c r="AX131" i="16"/>
  <c r="AY131" i="16"/>
  <c r="AZ131" i="16"/>
  <c r="BD117" i="16"/>
  <c r="AT117" i="16"/>
  <c r="BI117" i="16"/>
  <c r="AW117" i="16"/>
  <c r="BM117" i="16"/>
  <c r="AX117" i="16"/>
  <c r="BN117" i="16"/>
  <c r="AR117" i="16"/>
  <c r="BK117" i="16"/>
  <c r="AU117" i="16"/>
  <c r="AV117" i="16"/>
  <c r="AY117" i="16"/>
  <c r="AS117" i="16"/>
  <c r="AZ117" i="16"/>
  <c r="BG117" i="16"/>
  <c r="BA117" i="16"/>
  <c r="BB117" i="16"/>
  <c r="BC117" i="16"/>
  <c r="BE117" i="16"/>
  <c r="BF117" i="16"/>
  <c r="BG184" i="16"/>
  <c r="CB175" i="16"/>
  <c r="BJ173" i="16"/>
  <c r="BD171" i="16"/>
  <c r="BA169" i="16"/>
  <c r="BQ166" i="16"/>
  <c r="BY165" i="16"/>
  <c r="CE164" i="16"/>
  <c r="CC162" i="16"/>
  <c r="BK160" i="16"/>
  <c r="CH158" i="16"/>
  <c r="BC156" i="16"/>
  <c r="CG154" i="16"/>
  <c r="BR154" i="16"/>
  <c r="BU153" i="16"/>
  <c r="CD148" i="16"/>
  <c r="BT147" i="16"/>
  <c r="AU145" i="16"/>
  <c r="BM132" i="16"/>
  <c r="CB130" i="16"/>
  <c r="AW128" i="16"/>
  <c r="BZ122" i="16"/>
  <c r="CA121" i="16"/>
  <c r="BH117" i="16"/>
  <c r="BN114" i="16"/>
  <c r="AZ101" i="16"/>
  <c r="BY101" i="16" s="1"/>
  <c r="AU87" i="16"/>
  <c r="CE161" i="16"/>
  <c r="BR142" i="16"/>
  <c r="BD186" i="16"/>
  <c r="AV186" i="16"/>
  <c r="BK186" i="16"/>
  <c r="AW186" i="16"/>
  <c r="BL186" i="16"/>
  <c r="BA186" i="16"/>
  <c r="BC186" i="16"/>
  <c r="BE186" i="16"/>
  <c r="BF186" i="16"/>
  <c r="AT186" i="16"/>
  <c r="AU186" i="16"/>
  <c r="AX186" i="16"/>
  <c r="AY186" i="16"/>
  <c r="AZ186" i="16"/>
  <c r="BB186" i="16"/>
  <c r="BG186" i="16"/>
  <c r="BH186" i="16"/>
  <c r="BD172" i="16"/>
  <c r="AZ172" i="16"/>
  <c r="BA172" i="16"/>
  <c r="BH172" i="16"/>
  <c r="AS172" i="16"/>
  <c r="BJ172" i="16"/>
  <c r="AT172" i="16"/>
  <c r="BK172" i="16"/>
  <c r="AU172" i="16"/>
  <c r="BL172" i="16"/>
  <c r="BG172" i="16"/>
  <c r="BI172" i="16"/>
  <c r="AV172" i="16"/>
  <c r="AW172" i="16"/>
  <c r="BM172" i="16"/>
  <c r="BN172" i="16"/>
  <c r="AR172" i="16"/>
  <c r="BD158" i="16"/>
  <c r="BE158" i="16"/>
  <c r="BF158" i="16"/>
  <c r="AW158" i="16"/>
  <c r="BN158" i="16"/>
  <c r="AY158" i="16"/>
  <c r="AZ158" i="16"/>
  <c r="BA158" i="16"/>
  <c r="BL158" i="16"/>
  <c r="AR158" i="16"/>
  <c r="BM158" i="16"/>
  <c r="BB158" i="16"/>
  <c r="AS158" i="16"/>
  <c r="AT158" i="16"/>
  <c r="AU158" i="16"/>
  <c r="AV158" i="16"/>
  <c r="AX158" i="16"/>
  <c r="BD144" i="16"/>
  <c r="AT144" i="16"/>
  <c r="BI144" i="16"/>
  <c r="AU144" i="16"/>
  <c r="BJ144" i="16"/>
  <c r="BF144" i="16"/>
  <c r="BH144" i="16"/>
  <c r="AR144" i="16"/>
  <c r="BK144" i="16"/>
  <c r="AS144" i="16"/>
  <c r="BL144" i="16"/>
  <c r="BB144" i="16"/>
  <c r="BC144" i="16"/>
  <c r="BE144" i="16"/>
  <c r="BG144" i="16"/>
  <c r="BM144" i="16"/>
  <c r="BN144" i="16"/>
  <c r="AZ130" i="16"/>
  <c r="BN130" i="16"/>
  <c r="AX130" i="16"/>
  <c r="BM130" i="16"/>
  <c r="AS130" i="16"/>
  <c r="BI130" i="16"/>
  <c r="AT130" i="16"/>
  <c r="BJ130" i="16"/>
  <c r="AU130" i="16"/>
  <c r="AW130" i="16"/>
  <c r="AY130" i="16"/>
  <c r="BA130" i="16"/>
  <c r="BK130" i="16"/>
  <c r="BL130" i="16"/>
  <c r="BB130" i="16"/>
  <c r="AR130" i="16"/>
  <c r="AV130" i="16"/>
  <c r="AZ116" i="16"/>
  <c r="BN116" i="16"/>
  <c r="BC116" i="16"/>
  <c r="BE116" i="16"/>
  <c r="BF116" i="16"/>
  <c r="AW116" i="16"/>
  <c r="AY116" i="16"/>
  <c r="BA116" i="16"/>
  <c r="BB116" i="16"/>
  <c r="AS116" i="16"/>
  <c r="AT116" i="16"/>
  <c r="AU116" i="16"/>
  <c r="AV116" i="16"/>
  <c r="AX116" i="16"/>
  <c r="BD116" i="16"/>
  <c r="BG116" i="16"/>
  <c r="BH116" i="16"/>
  <c r="BJ186" i="16"/>
  <c r="BZ175" i="16"/>
  <c r="BI173" i="16"/>
  <c r="AZ169" i="16"/>
  <c r="BZ168" i="16"/>
  <c r="CF167" i="16"/>
  <c r="CD164" i="16"/>
  <c r="CG163" i="16"/>
  <c r="BJ160" i="16"/>
  <c r="BH158" i="16"/>
  <c r="BB156" i="16"/>
  <c r="BX148" i="16"/>
  <c r="BS147" i="16"/>
  <c r="AS145" i="16"/>
  <c r="BI132" i="16"/>
  <c r="BT124" i="16"/>
  <c r="BY122" i="16"/>
  <c r="BZ121" i="16"/>
  <c r="BJ114" i="16"/>
  <c r="BA86" i="16"/>
  <c r="BW145" i="16"/>
  <c r="BQ142" i="16"/>
  <c r="BT133" i="16"/>
  <c r="AR183" i="16"/>
  <c r="BF183" i="16"/>
  <c r="AS183" i="16"/>
  <c r="BH183" i="16"/>
  <c r="AT183" i="16"/>
  <c r="BI183" i="16"/>
  <c r="BB183" i="16"/>
  <c r="BD183" i="16"/>
  <c r="BE183" i="16"/>
  <c r="BG183" i="16"/>
  <c r="AU183" i="16"/>
  <c r="AV183" i="16"/>
  <c r="BA183" i="16"/>
  <c r="BC183" i="16"/>
  <c r="AW183" i="16"/>
  <c r="AX183" i="16"/>
  <c r="AY183" i="16"/>
  <c r="AZ183" i="16"/>
  <c r="AR155" i="16"/>
  <c r="BF155" i="16"/>
  <c r="BA155" i="16"/>
  <c r="BB155" i="16"/>
  <c r="AX155" i="16"/>
  <c r="AZ155" i="16"/>
  <c r="BC155" i="16"/>
  <c r="BD155" i="16"/>
  <c r="BK155" i="16"/>
  <c r="BL155" i="16"/>
  <c r="BM155" i="16"/>
  <c r="AS155" i="16"/>
  <c r="BN155" i="16"/>
  <c r="AT155" i="16"/>
  <c r="AU155" i="16"/>
  <c r="AV155" i="16"/>
  <c r="AW155" i="16"/>
  <c r="BB127" i="16"/>
  <c r="AU127" i="16"/>
  <c r="BJ127" i="16"/>
  <c r="AZ127" i="16"/>
  <c r="BA127" i="16"/>
  <c r="BI127" i="16"/>
  <c r="AS127" i="16"/>
  <c r="BL127" i="16"/>
  <c r="AT127" i="16"/>
  <c r="BM127" i="16"/>
  <c r="AV127" i="16"/>
  <c r="BN127" i="16"/>
  <c r="BE127" i="16"/>
  <c r="BF127" i="16"/>
  <c r="BG127" i="16"/>
  <c r="BH127" i="16"/>
  <c r="BK127" i="16"/>
  <c r="BL183" i="16"/>
  <c r="CC160" i="16"/>
  <c r="BH155" i="16"/>
  <c r="CB146" i="16"/>
  <c r="CI131" i="16"/>
  <c r="AX127" i="16"/>
  <c r="CI124" i="16"/>
  <c r="BT123" i="16"/>
  <c r="BR121" i="16"/>
  <c r="CA114" i="16"/>
  <c r="CG177" i="16"/>
  <c r="BG155" i="16"/>
  <c r="CA146" i="16"/>
  <c r="BS142" i="16"/>
  <c r="CG131" i="16"/>
  <c r="BY126" i="16"/>
  <c r="CE124" i="16"/>
  <c r="BS123" i="16"/>
  <c r="BS119" i="16"/>
  <c r="CI116" i="16"/>
  <c r="BZ114" i="16"/>
  <c r="BT148" i="16"/>
  <c r="CF177" i="16"/>
  <c r="CE172" i="16"/>
  <c r="CF161" i="16"/>
  <c r="CH159" i="16"/>
  <c r="BE155" i="16"/>
  <c r="BW129" i="16"/>
  <c r="CH116" i="16"/>
  <c r="AZ88" i="16"/>
  <c r="BN88" i="16"/>
  <c r="AV88" i="16"/>
  <c r="BK88" i="16"/>
  <c r="AT88" i="16"/>
  <c r="BJ88" i="16"/>
  <c r="AU88" i="16"/>
  <c r="BL88" i="16"/>
  <c r="AY88" i="16"/>
  <c r="BA88" i="16"/>
  <c r="BB88" i="16"/>
  <c r="BC88" i="16"/>
  <c r="BD88" i="16"/>
  <c r="BM88" i="16"/>
  <c r="AR88" i="16"/>
  <c r="AS88" i="16"/>
  <c r="AW88" i="16"/>
  <c r="CE181" i="16"/>
  <c r="BY170" i="16"/>
  <c r="AY155" i="16"/>
  <c r="CB149" i="16"/>
  <c r="BY146" i="16"/>
  <c r="BV144" i="16"/>
  <c r="BV135" i="16"/>
  <c r="BV129" i="16"/>
  <c r="CB120" i="16"/>
  <c r="BQ116" i="16"/>
  <c r="AV101" i="16"/>
  <c r="BU101" i="16" s="1"/>
  <c r="BJ101" i="16"/>
  <c r="CI101" i="16" s="1"/>
  <c r="BA101" i="16"/>
  <c r="BZ101" i="16" s="1"/>
  <c r="BG101" i="16"/>
  <c r="CF101" i="16" s="1"/>
  <c r="AR101" i="16"/>
  <c r="BQ101" i="16" s="1"/>
  <c r="BH101" i="16"/>
  <c r="CG101" i="16" s="1"/>
  <c r="BD101" i="16"/>
  <c r="CC101" i="16" s="1"/>
  <c r="BE101" i="16"/>
  <c r="CD101" i="16" s="1"/>
  <c r="BF101" i="16"/>
  <c r="CE101" i="16" s="1"/>
  <c r="BI101" i="16"/>
  <c r="CH101" i="16" s="1"/>
  <c r="BK101" i="16"/>
  <c r="CJ101" i="16" s="1"/>
  <c r="BB101" i="16"/>
  <c r="CA101" i="16" s="1"/>
  <c r="BC101" i="16"/>
  <c r="CB101" i="16" s="1"/>
  <c r="AS101" i="16"/>
  <c r="BR101" i="16" s="1"/>
  <c r="BL101" i="16"/>
  <c r="CK101" i="16" s="1"/>
  <c r="BM101" i="16"/>
  <c r="BN101" i="16"/>
  <c r="CL101" i="16" s="1"/>
  <c r="CL182" i="16"/>
  <c r="CD177" i="16"/>
  <c r="CB172" i="16"/>
  <c r="CD161" i="16"/>
  <c r="CA149" i="16"/>
  <c r="BU144" i="16"/>
  <c r="BX136" i="16"/>
  <c r="BH102" i="16"/>
  <c r="CG102" i="16" s="1"/>
  <c r="CE131" i="16"/>
  <c r="AR100" i="16"/>
  <c r="BF100" i="16"/>
  <c r="AU100" i="16"/>
  <c r="BJ100" i="16"/>
  <c r="AY100" i="16"/>
  <c r="AZ100" i="16"/>
  <c r="BI100" i="16"/>
  <c r="BK100" i="16"/>
  <c r="AS100" i="16"/>
  <c r="BL100" i="16"/>
  <c r="AT100" i="16"/>
  <c r="BM100" i="16"/>
  <c r="AV100" i="16"/>
  <c r="BN100" i="16"/>
  <c r="BA100" i="16"/>
  <c r="BB100" i="16"/>
  <c r="BC100" i="16"/>
  <c r="BD100" i="16"/>
  <c r="BE100" i="16"/>
  <c r="BG100" i="16"/>
  <c r="BH100" i="16"/>
  <c r="CC177" i="16"/>
  <c r="CA172" i="16"/>
  <c r="BW150" i="16"/>
  <c r="BR146" i="16"/>
  <c r="AY141" i="16"/>
  <c r="BQ138" i="16"/>
  <c r="BW136" i="16"/>
  <c r="CG130" i="16"/>
  <c r="BT120" i="16"/>
  <c r="BA87" i="16"/>
  <c r="CH187" i="16"/>
  <c r="BX166" i="16"/>
  <c r="CB159" i="16"/>
  <c r="BI156" i="16"/>
  <c r="BV154" i="16"/>
  <c r="CN154" i="16" s="1"/>
  <c r="BV150" i="16"/>
  <c r="BZ147" i="16"/>
  <c r="BZ143" i="16"/>
  <c r="BS120" i="16"/>
  <c r="CH115" i="16"/>
  <c r="CI187" i="16"/>
  <c r="BU162" i="16"/>
  <c r="BQ167" i="16"/>
  <c r="CH164" i="16"/>
  <c r="BX149" i="16"/>
  <c r="BU143" i="16"/>
  <c r="BS137" i="16"/>
  <c r="BR120" i="16"/>
  <c r="CE147" i="16"/>
  <c r="AZ185" i="16"/>
  <c r="BN185" i="16"/>
  <c r="BE185" i="16"/>
  <c r="BF185" i="16"/>
  <c r="BH185" i="16"/>
  <c r="AS185" i="16"/>
  <c r="BJ185" i="16"/>
  <c r="AT185" i="16"/>
  <c r="BK185" i="16"/>
  <c r="AU185" i="16"/>
  <c r="BL185" i="16"/>
  <c r="AV185" i="16"/>
  <c r="AW185" i="16"/>
  <c r="BC185" i="16"/>
  <c r="BD185" i="16"/>
  <c r="AX185" i="16"/>
  <c r="AY185" i="16"/>
  <c r="BA185" i="16"/>
  <c r="BB185" i="16"/>
  <c r="AZ171" i="16"/>
  <c r="BN171" i="16"/>
  <c r="AT171" i="16"/>
  <c r="BI171" i="16"/>
  <c r="AU171" i="16"/>
  <c r="BJ171" i="16"/>
  <c r="AW171" i="16"/>
  <c r="AY171" i="16"/>
  <c r="BA171" i="16"/>
  <c r="BB171" i="16"/>
  <c r="BG171" i="16"/>
  <c r="BH171" i="16"/>
  <c r="BK171" i="16"/>
  <c r="BL171" i="16"/>
  <c r="BM171" i="16"/>
  <c r="AR171" i="16"/>
  <c r="AS171" i="16"/>
  <c r="AZ157" i="16"/>
  <c r="BN157" i="16"/>
  <c r="AX157" i="16"/>
  <c r="BM157" i="16"/>
  <c r="AY157" i="16"/>
  <c r="BD157" i="16"/>
  <c r="BF157" i="16"/>
  <c r="BG157" i="16"/>
  <c r="BH157" i="16"/>
  <c r="BL157" i="16"/>
  <c r="AR157" i="16"/>
  <c r="AS157" i="16"/>
  <c r="AT157" i="16"/>
  <c r="AU157" i="16"/>
  <c r="AV157" i="16"/>
  <c r="AW157" i="16"/>
  <c r="BA157" i="16"/>
  <c r="AZ143" i="16"/>
  <c r="BN143" i="16"/>
  <c r="BC143" i="16"/>
  <c r="BD143" i="16"/>
  <c r="AU143" i="16"/>
  <c r="BL143" i="16"/>
  <c r="AW143" i="16"/>
  <c r="AX143" i="16"/>
  <c r="AY143" i="16"/>
  <c r="BE143" i="16"/>
  <c r="BF143" i="16"/>
  <c r="BG143" i="16"/>
  <c r="BH143" i="16"/>
  <c r="BI143" i="16"/>
  <c r="BJ143" i="16"/>
  <c r="BK143" i="16"/>
  <c r="BM143" i="16"/>
  <c r="AV129" i="16"/>
  <c r="BJ129" i="16"/>
  <c r="AR129" i="16"/>
  <c r="BG129" i="16"/>
  <c r="BA129" i="16"/>
  <c r="BB129" i="16"/>
  <c r="AY129" i="16"/>
  <c r="BC129" i="16"/>
  <c r="BD129" i="16"/>
  <c r="BE129" i="16"/>
  <c r="BK129" i="16"/>
  <c r="BL129" i="16"/>
  <c r="BM129" i="16"/>
  <c r="BN129" i="16"/>
  <c r="AS129" i="16"/>
  <c r="AT129" i="16"/>
  <c r="AU129" i="16"/>
  <c r="AV115" i="16"/>
  <c r="BJ115" i="16"/>
  <c r="AW115" i="16"/>
  <c r="BL115" i="16"/>
  <c r="AU115" i="16"/>
  <c r="BM115" i="16"/>
  <c r="AX115" i="16"/>
  <c r="BN115" i="16"/>
  <c r="BC115" i="16"/>
  <c r="BE115" i="16"/>
  <c r="BF115" i="16"/>
  <c r="BG115" i="16"/>
  <c r="AR115" i="16"/>
  <c r="AS115" i="16"/>
  <c r="AT115" i="16"/>
  <c r="AY115" i="16"/>
  <c r="AZ115" i="16"/>
  <c r="BA115" i="16"/>
  <c r="BB115" i="16"/>
  <c r="BN183" i="16"/>
  <c r="CH176" i="16"/>
  <c r="BY175" i="16"/>
  <c r="CA173" i="16"/>
  <c r="AX171" i="16"/>
  <c r="AY169" i="16"/>
  <c r="CH160" i="16"/>
  <c r="BJ155" i="16"/>
  <c r="CL133" i="16"/>
  <c r="CC132" i="16"/>
  <c r="BI129" i="16"/>
  <c r="BC127" i="16"/>
  <c r="BX122" i="16"/>
  <c r="BY121" i="16"/>
  <c r="BH114" i="16"/>
  <c r="AX101" i="16"/>
  <c r="BW101" i="16" s="1"/>
  <c r="BI88" i="16"/>
  <c r="AZ86" i="16"/>
  <c r="BY173" i="16"/>
  <c r="CK154" i="16"/>
  <c r="BY153" i="16"/>
  <c r="BV145" i="16"/>
  <c r="BT119" i="16"/>
  <c r="CF131" i="16"/>
  <c r="AV184" i="16"/>
  <c r="BJ184" i="16"/>
  <c r="AY184" i="16"/>
  <c r="BN184" i="16"/>
  <c r="AZ184" i="16"/>
  <c r="AU184" i="16"/>
  <c r="BM184" i="16"/>
  <c r="AX184" i="16"/>
  <c r="BA184" i="16"/>
  <c r="BB184" i="16"/>
  <c r="AR184" i="16"/>
  <c r="AS184" i="16"/>
  <c r="AT184" i="16"/>
  <c r="AW184" i="16"/>
  <c r="BC184" i="16"/>
  <c r="BD184" i="16"/>
  <c r="BE184" i="16"/>
  <c r="BF184" i="16"/>
  <c r="AV170" i="16"/>
  <c r="BJ170" i="16"/>
  <c r="BC170" i="16"/>
  <c r="BD170" i="16"/>
  <c r="BB170" i="16"/>
  <c r="BF170" i="16"/>
  <c r="BG170" i="16"/>
  <c r="BH170" i="16"/>
  <c r="BI170" i="16"/>
  <c r="BK170" i="16"/>
  <c r="AT170" i="16"/>
  <c r="AU170" i="16"/>
  <c r="BL170" i="16"/>
  <c r="BM170" i="16"/>
  <c r="AR170" i="16"/>
  <c r="BN170" i="16"/>
  <c r="AS170" i="16"/>
  <c r="AV156" i="16"/>
  <c r="BJ156" i="16"/>
  <c r="AR156" i="16"/>
  <c r="BG156" i="16"/>
  <c r="AS156" i="16"/>
  <c r="BH156" i="16"/>
  <c r="BK156" i="16"/>
  <c r="AU156" i="16"/>
  <c r="BM156" i="16"/>
  <c r="AW156" i="16"/>
  <c r="BN156" i="16"/>
  <c r="AX156" i="16"/>
  <c r="BL156" i="16"/>
  <c r="AZ156" i="16"/>
  <c r="BA156" i="16"/>
  <c r="AT156" i="16"/>
  <c r="AY156" i="16"/>
  <c r="AV142" i="16"/>
  <c r="BJ142" i="16"/>
  <c r="AW142" i="16"/>
  <c r="BL142" i="16"/>
  <c r="AX142" i="16"/>
  <c r="BM142" i="16"/>
  <c r="BB142" i="16"/>
  <c r="BD142" i="16"/>
  <c r="BE142" i="16"/>
  <c r="BF142" i="16"/>
  <c r="BA142" i="16"/>
  <c r="BC142" i="16"/>
  <c r="BG142" i="16"/>
  <c r="BH142" i="16"/>
  <c r="BI142" i="16"/>
  <c r="BK142" i="16"/>
  <c r="BN142" i="16"/>
  <c r="AR128" i="16"/>
  <c r="BF128" i="16"/>
  <c r="BA128" i="16"/>
  <c r="AS128" i="16"/>
  <c r="BI128" i="16"/>
  <c r="AT128" i="16"/>
  <c r="BJ128" i="16"/>
  <c r="BD128" i="16"/>
  <c r="BG128" i="16"/>
  <c r="BH128" i="16"/>
  <c r="BK128" i="16"/>
  <c r="BE128" i="16"/>
  <c r="BL128" i="16"/>
  <c r="AV128" i="16"/>
  <c r="BM128" i="16"/>
  <c r="BN128" i="16"/>
  <c r="AU128" i="16"/>
  <c r="CL188" i="16"/>
  <c r="BR186" i="16"/>
  <c r="BM183" i="16"/>
  <c r="CG176" i="16"/>
  <c r="BX175" i="16"/>
  <c r="BU171" i="16"/>
  <c r="CG160" i="16"/>
  <c r="CB158" i="16"/>
  <c r="BI155" i="16"/>
  <c r="BZ144" i="16"/>
  <c r="AY142" i="16"/>
  <c r="CG129" i="16"/>
  <c r="AY127" i="16"/>
  <c r="CJ124" i="16"/>
  <c r="BU123" i="16"/>
  <c r="BW122" i="16"/>
  <c r="BV121" i="16"/>
  <c r="BU119" i="16"/>
  <c r="CK116" i="16"/>
  <c r="BG114" i="16"/>
  <c r="AW101" i="16"/>
  <c r="BV101" i="16" s="1"/>
  <c r="BH88" i="16"/>
  <c r="AX86" i="16"/>
  <c r="BX173" i="16"/>
  <c r="CN110" i="16"/>
  <c r="BX181" i="16"/>
  <c r="BW175" i="16"/>
  <c r="CF166" i="16"/>
  <c r="CL148" i="16"/>
  <c r="CG133" i="16"/>
  <c r="CB125" i="16"/>
  <c r="CD124" i="16"/>
  <c r="CI123" i="16"/>
  <c r="BR122" i="16"/>
  <c r="CD138" i="16"/>
  <c r="BR123" i="16"/>
  <c r="BV181" i="16"/>
  <c r="BV178" i="16"/>
  <c r="CE166" i="16"/>
  <c r="BZ163" i="16"/>
  <c r="CD154" i="16"/>
  <c r="BM148" i="16"/>
  <c r="CJ140" i="16"/>
  <c r="BT140" i="16"/>
  <c r="BX139" i="16"/>
  <c r="CB138" i="16"/>
  <c r="CE134" i="16"/>
  <c r="CB124" i="16"/>
  <c r="BQ122" i="16"/>
  <c r="CJ119" i="16"/>
  <c r="CF163" i="16"/>
  <c r="BQ123" i="16"/>
  <c r="AV108" i="16"/>
  <c r="BU108" i="16" s="1"/>
  <c r="BJ108" i="16"/>
  <c r="CI108" i="16" s="1"/>
  <c r="AY108" i="16"/>
  <c r="BX108" i="16" s="1"/>
  <c r="BN108" i="16"/>
  <c r="CL108" i="16" s="1"/>
  <c r="BB108" i="16"/>
  <c r="CA108" i="16" s="1"/>
  <c r="BC108" i="16"/>
  <c r="CB108" i="16" s="1"/>
  <c r="BG108" i="16"/>
  <c r="CF108" i="16" s="1"/>
  <c r="BH108" i="16"/>
  <c r="CG108" i="16" s="1"/>
  <c r="BI108" i="16"/>
  <c r="CH108" i="16" s="1"/>
  <c r="AR108" i="16"/>
  <c r="BQ108" i="16" s="1"/>
  <c r="BK108" i="16"/>
  <c r="CJ108" i="16" s="1"/>
  <c r="AS108" i="16"/>
  <c r="BR108" i="16" s="1"/>
  <c r="BL108" i="16"/>
  <c r="CK108" i="16" s="1"/>
  <c r="AV94" i="16"/>
  <c r="BJ94" i="16"/>
  <c r="BC94" i="16"/>
  <c r="AW94" i="16"/>
  <c r="BM94" i="16"/>
  <c r="AX94" i="16"/>
  <c r="BN94" i="16"/>
  <c r="BF94" i="16"/>
  <c r="BG94" i="16"/>
  <c r="BH94" i="16"/>
  <c r="BI94" i="16"/>
  <c r="AR94" i="16"/>
  <c r="BK94" i="16"/>
  <c r="CF182" i="16"/>
  <c r="BZ180" i="16"/>
  <c r="CH179" i="16"/>
  <c r="AT176" i="16"/>
  <c r="BU175" i="16"/>
  <c r="BW168" i="16"/>
  <c r="CD166" i="16"/>
  <c r="BX163" i="16"/>
  <c r="BA162" i="16"/>
  <c r="BZ161" i="16"/>
  <c r="CC154" i="16"/>
  <c r="BR153" i="16"/>
  <c r="BL148" i="16"/>
  <c r="CI140" i="16"/>
  <c r="BW139" i="16"/>
  <c r="BZ138" i="16"/>
  <c r="CE137" i="16"/>
  <c r="CJ136" i="16"/>
  <c r="BE134" i="16"/>
  <c r="CJ126" i="16"/>
  <c r="BX125" i="16"/>
  <c r="CA124" i="16"/>
  <c r="BK120" i="16"/>
  <c r="BB104" i="16"/>
  <c r="CA104" i="16" s="1"/>
  <c r="AU94" i="16"/>
  <c r="BC90" i="16"/>
  <c r="BU178" i="16"/>
  <c r="CH168" i="16"/>
  <c r="BT153" i="16"/>
  <c r="CF135" i="16"/>
  <c r="BR181" i="16"/>
  <c r="BY180" i="16"/>
  <c r="BQ177" i="16"/>
  <c r="AS176" i="16"/>
  <c r="AU175" i="16"/>
  <c r="CJ165" i="16"/>
  <c r="BW163" i="16"/>
  <c r="AX162" i="16"/>
  <c r="AW161" i="16"/>
  <c r="CB154" i="16"/>
  <c r="BQ153" i="16"/>
  <c r="BV152" i="16"/>
  <c r="CJ150" i="16"/>
  <c r="BK148" i="16"/>
  <c r="BK147" i="16"/>
  <c r="BY138" i="16"/>
  <c r="CD135" i="16"/>
  <c r="BD134" i="16"/>
  <c r="AY133" i="16"/>
  <c r="CI126" i="16"/>
  <c r="BZ124" i="16"/>
  <c r="BJ120" i="16"/>
  <c r="BI119" i="16"/>
  <c r="AY104" i="16"/>
  <c r="BX104" i="16" s="1"/>
  <c r="AT94" i="16"/>
  <c r="BB90" i="16"/>
  <c r="AY89" i="16"/>
  <c r="BT178" i="16"/>
  <c r="CE151" i="16"/>
  <c r="CD150" i="16"/>
  <c r="BB106" i="16"/>
  <c r="CA106" i="16" s="1"/>
  <c r="BA106" i="16"/>
  <c r="BZ106" i="16" s="1"/>
  <c r="AZ106" i="16"/>
  <c r="BY106" i="16" s="1"/>
  <c r="BC106" i="16"/>
  <c r="CB106" i="16" s="1"/>
  <c r="AW106" i="16"/>
  <c r="BV106" i="16" s="1"/>
  <c r="AX106" i="16"/>
  <c r="BW106" i="16" s="1"/>
  <c r="CN106" i="16" s="1"/>
  <c r="AY106" i="16"/>
  <c r="BX106" i="16" s="1"/>
  <c r="BD106" i="16"/>
  <c r="CC106" i="16" s="1"/>
  <c r="BE106" i="16"/>
  <c r="CD106" i="16" s="1"/>
  <c r="BB92" i="16"/>
  <c r="BF92" i="16"/>
  <c r="AV92" i="16"/>
  <c r="BL92" i="16"/>
  <c r="AW92" i="16"/>
  <c r="BM92" i="16"/>
  <c r="AX92" i="16"/>
  <c r="AY92" i="16"/>
  <c r="AZ92" i="16"/>
  <c r="BA92" i="16"/>
  <c r="BC92" i="16"/>
  <c r="CE178" i="16"/>
  <c r="BT164" i="16"/>
  <c r="CC136" i="16"/>
  <c r="BX180" i="16"/>
  <c r="CF179" i="16"/>
  <c r="BS178" i="16"/>
  <c r="CA167" i="16"/>
  <c r="BS165" i="16"/>
  <c r="BV163" i="16"/>
  <c r="AW162" i="16"/>
  <c r="AU161" i="16"/>
  <c r="BZ154" i="16"/>
  <c r="CI153" i="16"/>
  <c r="CA151" i="16"/>
  <c r="BJ148" i="16"/>
  <c r="BJ147" i="16"/>
  <c r="CG140" i="16"/>
  <c r="BQ140" i="16"/>
  <c r="CB137" i="16"/>
  <c r="BC134" i="16"/>
  <c r="AV133" i="16"/>
  <c r="BU125" i="16"/>
  <c r="BY124" i="16"/>
  <c r="BI120" i="16"/>
  <c r="BH119" i="16"/>
  <c r="BI106" i="16"/>
  <c r="CH106" i="16" s="1"/>
  <c r="AX104" i="16"/>
  <c r="BW104" i="16" s="1"/>
  <c r="AS94" i="16"/>
  <c r="BJ92" i="16"/>
  <c r="BA90" i="16"/>
  <c r="AS89" i="16"/>
  <c r="BV167" i="16"/>
  <c r="CD151" i="16"/>
  <c r="CL120" i="16"/>
  <c r="AX105" i="16"/>
  <c r="BW105" i="16" s="1"/>
  <c r="BL105" i="16"/>
  <c r="CK105" i="16" s="1"/>
  <c r="AU105" i="16"/>
  <c r="BT105" i="16" s="1"/>
  <c r="BJ105" i="16"/>
  <c r="CI105" i="16" s="1"/>
  <c r="AR105" i="16"/>
  <c r="BQ105" i="16" s="1"/>
  <c r="BH105" i="16"/>
  <c r="CG105" i="16" s="1"/>
  <c r="AS105" i="16"/>
  <c r="BR105" i="16" s="1"/>
  <c r="BI105" i="16"/>
  <c r="CH105" i="16" s="1"/>
  <c r="BC105" i="16"/>
  <c r="CB105" i="16" s="1"/>
  <c r="BD105" i="16"/>
  <c r="CC105" i="16" s="1"/>
  <c r="BE105" i="16"/>
  <c r="CD105" i="16" s="1"/>
  <c r="BF105" i="16"/>
  <c r="CE105" i="16" s="1"/>
  <c r="BG105" i="16"/>
  <c r="CF105" i="16" s="1"/>
  <c r="AX91" i="16"/>
  <c r="BL91" i="16"/>
  <c r="AZ91" i="16"/>
  <c r="BD91" i="16"/>
  <c r="BE91" i="16"/>
  <c r="BB91" i="16"/>
  <c r="BC91" i="16"/>
  <c r="BF91" i="16"/>
  <c r="BG91" i="16"/>
  <c r="BH91" i="16"/>
  <c r="AV177" i="16"/>
  <c r="BJ177" i="16"/>
  <c r="BA177" i="16"/>
  <c r="BB177" i="16"/>
  <c r="AS177" i="16"/>
  <c r="BK177" i="16"/>
  <c r="AU177" i="16"/>
  <c r="BM177" i="16"/>
  <c r="AW177" i="16"/>
  <c r="BN177" i="16"/>
  <c r="AX177" i="16"/>
  <c r="AV163" i="16"/>
  <c r="BJ163" i="16"/>
  <c r="BE163" i="16"/>
  <c r="BF163" i="16"/>
  <c r="AZ163" i="16"/>
  <c r="BB163" i="16"/>
  <c r="BC163" i="16"/>
  <c r="BD163" i="16"/>
  <c r="AV149" i="16"/>
  <c r="BJ149" i="16"/>
  <c r="AT149" i="16"/>
  <c r="BI149" i="16"/>
  <c r="AU149" i="16"/>
  <c r="BK149" i="16"/>
  <c r="BH149" i="16"/>
  <c r="AS149" i="16"/>
  <c r="BM149" i="16"/>
  <c r="AW149" i="16"/>
  <c r="BN149" i="16"/>
  <c r="AX149" i="16"/>
  <c r="AR135" i="16"/>
  <c r="BF135" i="16"/>
  <c r="AY135" i="16"/>
  <c r="BN135" i="16"/>
  <c r="BC135" i="16"/>
  <c r="BD135" i="16"/>
  <c r="BH135" i="16"/>
  <c r="BJ135" i="16"/>
  <c r="AS135" i="16"/>
  <c r="BK135" i="16"/>
  <c r="AT135" i="16"/>
  <c r="BL135" i="16"/>
  <c r="AR121" i="16"/>
  <c r="BF121" i="16"/>
  <c r="BC121" i="16"/>
  <c r="AX121" i="16"/>
  <c r="BN121" i="16"/>
  <c r="AY121" i="16"/>
  <c r="BJ121" i="16"/>
  <c r="AT121" i="16"/>
  <c r="BL121" i="16"/>
  <c r="AU121" i="16"/>
  <c r="BM121" i="16"/>
  <c r="AV121" i="16"/>
  <c r="CC182" i="16"/>
  <c r="BW180" i="16"/>
  <c r="CE179" i="16"/>
  <c r="BT168" i="16"/>
  <c r="BS164" i="16"/>
  <c r="AU163" i="16"/>
  <c r="CH153" i="16"/>
  <c r="BT152" i="16"/>
  <c r="CH150" i="16"/>
  <c r="BF149" i="16"/>
  <c r="CF140" i="16"/>
  <c r="CB136" i="16"/>
  <c r="BA135" i="16"/>
  <c r="BT125" i="16"/>
  <c r="BX124" i="16"/>
  <c r="CD123" i="16"/>
  <c r="BH121" i="16"/>
  <c r="BM108" i="16"/>
  <c r="BH106" i="16"/>
  <c r="CG106" i="16" s="1"/>
  <c r="AZ105" i="16"/>
  <c r="BY105" i="16" s="1"/>
  <c r="BI92" i="16"/>
  <c r="BA91" i="16"/>
  <c r="BV180" i="16"/>
  <c r="BU167" i="16"/>
  <c r="CL165" i="16"/>
  <c r="CH136" i="16"/>
  <c r="BZ119" i="16"/>
  <c r="AR148" i="16"/>
  <c r="BF148" i="16"/>
  <c r="BC148" i="16"/>
  <c r="BD148" i="16"/>
  <c r="AX148" i="16"/>
  <c r="AZ148" i="16"/>
  <c r="BA148" i="16"/>
  <c r="BB148" i="16"/>
  <c r="CB180" i="16"/>
  <c r="CC161" i="16"/>
  <c r="CE154" i="16"/>
  <c r="BR150" i="16"/>
  <c r="BR147" i="16"/>
  <c r="BY139" i="16"/>
  <c r="CF134" i="16"/>
  <c r="BV126" i="16"/>
  <c r="CB162" i="16"/>
  <c r="BR182" i="16"/>
  <c r="CN182" i="16" s="1"/>
  <c r="CA180" i="16"/>
  <c r="BS179" i="16"/>
  <c r="BX177" i="16"/>
  <c r="BX168" i="16"/>
  <c r="CA162" i="16"/>
  <c r="BS153" i="16"/>
  <c r="BQ150" i="16"/>
  <c r="AT104" i="16"/>
  <c r="BS104" i="16" s="1"/>
  <c r="BH104" i="16"/>
  <c r="CG104" i="16" s="1"/>
  <c r="BD104" i="16"/>
  <c r="CC104" i="16" s="1"/>
  <c r="AZ104" i="16"/>
  <c r="BY104" i="16" s="1"/>
  <c r="BA104" i="16"/>
  <c r="BZ104" i="16" s="1"/>
  <c r="BI104" i="16"/>
  <c r="CH104" i="16" s="1"/>
  <c r="BJ104" i="16"/>
  <c r="CI104" i="16" s="1"/>
  <c r="AR104" i="16"/>
  <c r="BQ104" i="16" s="1"/>
  <c r="BK104" i="16"/>
  <c r="CJ104" i="16" s="1"/>
  <c r="AS104" i="16"/>
  <c r="BR104" i="16" s="1"/>
  <c r="BL104" i="16"/>
  <c r="CK104" i="16" s="1"/>
  <c r="AU104" i="16"/>
  <c r="BT104" i="16" s="1"/>
  <c r="BM104" i="16"/>
  <c r="AT90" i="16"/>
  <c r="BH90" i="16"/>
  <c r="AS90" i="16"/>
  <c r="BI90" i="16"/>
  <c r="AV90" i="16"/>
  <c r="BL90" i="16"/>
  <c r="AW90" i="16"/>
  <c r="BM90" i="16"/>
  <c r="BF90" i="16"/>
  <c r="BG90" i="16"/>
  <c r="BJ90" i="16"/>
  <c r="BK90" i="16"/>
  <c r="AR90" i="16"/>
  <c r="BN90" i="16"/>
  <c r="AR176" i="16"/>
  <c r="BF176" i="16"/>
  <c r="AU176" i="16"/>
  <c r="BJ176" i="16"/>
  <c r="AV176" i="16"/>
  <c r="BK176" i="16"/>
  <c r="AZ176" i="16"/>
  <c r="BB176" i="16"/>
  <c r="BC176" i="16"/>
  <c r="BD176" i="16"/>
  <c r="AR162" i="16"/>
  <c r="BF162" i="16"/>
  <c r="AY162" i="16"/>
  <c r="BN162" i="16"/>
  <c r="AZ162" i="16"/>
  <c r="BG162" i="16"/>
  <c r="BI162" i="16"/>
  <c r="AS162" i="16"/>
  <c r="BJ162" i="16"/>
  <c r="AT162" i="16"/>
  <c r="BK162" i="16"/>
  <c r="BB134" i="16"/>
  <c r="AS134" i="16"/>
  <c r="BH134" i="16"/>
  <c r="AU134" i="16"/>
  <c r="BK134" i="16"/>
  <c r="AV134" i="16"/>
  <c r="BL134" i="16"/>
  <c r="AR134" i="16"/>
  <c r="BM134" i="16"/>
  <c r="AW134" i="16"/>
  <c r="AX134" i="16"/>
  <c r="AY134" i="16"/>
  <c r="BB120" i="16"/>
  <c r="AW120" i="16"/>
  <c r="BL120" i="16"/>
  <c r="BF120" i="16"/>
  <c r="BG120" i="16"/>
  <c r="AV120" i="16"/>
  <c r="AY120" i="16"/>
  <c r="AZ120" i="16"/>
  <c r="BA120" i="16"/>
  <c r="CH181" i="16"/>
  <c r="CK178" i="16"/>
  <c r="CK177" i="16"/>
  <c r="BM176" i="16"/>
  <c r="BQ164" i="16"/>
  <c r="AU162" i="16"/>
  <c r="CG153" i="16"/>
  <c r="CJ152" i="16"/>
  <c r="BR152" i="16"/>
  <c r="CD149" i="16"/>
  <c r="BH148" i="16"/>
  <c r="CC147" i="16"/>
  <c r="CL139" i="16"/>
  <c r="BZ136" i="16"/>
  <c r="BY135" i="16"/>
  <c r="AZ134" i="16"/>
  <c r="CF126" i="16"/>
  <c r="CC122" i="16"/>
  <c r="BE120" i="16"/>
  <c r="AV104" i="16"/>
  <c r="BU104" i="16" s="1"/>
  <c r="AY90" i="16"/>
  <c r="BT179" i="16"/>
  <c r="BD103" i="16"/>
  <c r="CC103" i="16" s="1"/>
  <c r="AX103" i="16"/>
  <c r="BW103" i="16" s="1"/>
  <c r="BM103" i="16"/>
  <c r="AR103" i="16"/>
  <c r="BQ103" i="16" s="1"/>
  <c r="BH103" i="16"/>
  <c r="CG103" i="16" s="1"/>
  <c r="AS103" i="16"/>
  <c r="BR103" i="16" s="1"/>
  <c r="BI103" i="16"/>
  <c r="CH103" i="16" s="1"/>
  <c r="AU103" i="16"/>
  <c r="BT103" i="16" s="1"/>
  <c r="BN103" i="16"/>
  <c r="CL103" i="16" s="1"/>
  <c r="AV103" i="16"/>
  <c r="BU103" i="16" s="1"/>
  <c r="AW103" i="16"/>
  <c r="BV103" i="16" s="1"/>
  <c r="AY103" i="16"/>
  <c r="BX103" i="16" s="1"/>
  <c r="AZ103" i="16"/>
  <c r="BY103" i="16" s="1"/>
  <c r="BD89" i="16"/>
  <c r="BB89" i="16"/>
  <c r="BC89" i="16"/>
  <c r="BE89" i="16"/>
  <c r="AT89" i="16"/>
  <c r="BL89" i="16"/>
  <c r="AU89" i="16"/>
  <c r="BM89" i="16"/>
  <c r="AV89" i="16"/>
  <c r="BN89" i="16"/>
  <c r="AW89" i="16"/>
  <c r="AX89" i="16"/>
  <c r="BB175" i="16"/>
  <c r="BD175" i="16"/>
  <c r="BE175" i="16"/>
  <c r="BG175" i="16"/>
  <c r="AR175" i="16"/>
  <c r="BI175" i="16"/>
  <c r="AS175" i="16"/>
  <c r="BJ175" i="16"/>
  <c r="AT175" i="16"/>
  <c r="BK175" i="16"/>
  <c r="BB161" i="16"/>
  <c r="AS161" i="16"/>
  <c r="BH161" i="16"/>
  <c r="AT161" i="16"/>
  <c r="BI161" i="16"/>
  <c r="AV161" i="16"/>
  <c r="BM161" i="16"/>
  <c r="AX161" i="16"/>
  <c r="AY161" i="16"/>
  <c r="AZ161" i="16"/>
  <c r="BB147" i="16"/>
  <c r="AW147" i="16"/>
  <c r="BL147" i="16"/>
  <c r="AX147" i="16"/>
  <c r="BM147" i="16"/>
  <c r="BE147" i="16"/>
  <c r="BG147" i="16"/>
  <c r="BH147" i="16"/>
  <c r="AR147" i="16"/>
  <c r="BI147" i="16"/>
  <c r="AX133" i="16"/>
  <c r="BL133" i="16"/>
  <c r="BB133" i="16"/>
  <c r="BC133" i="16"/>
  <c r="BD133" i="16"/>
  <c r="AW133" i="16"/>
  <c r="AZ133" i="16"/>
  <c r="BA133" i="16"/>
  <c r="BE133" i="16"/>
  <c r="AX119" i="16"/>
  <c r="BL119" i="16"/>
  <c r="BF119" i="16"/>
  <c r="AW119" i="16"/>
  <c r="BN119" i="16"/>
  <c r="AY119" i="16"/>
  <c r="BB119" i="16"/>
  <c r="BD119" i="16"/>
  <c r="BE119" i="16"/>
  <c r="BG119" i="16"/>
  <c r="CG181" i="16"/>
  <c r="CJ178" i="16"/>
  <c r="CH177" i="16"/>
  <c r="BL176" i="16"/>
  <c r="BL175" i="16"/>
  <c r="BR168" i="16"/>
  <c r="CN168" i="16" s="1"/>
  <c r="BN161" i="16"/>
  <c r="CF153" i="16"/>
  <c r="CB150" i="16"/>
  <c r="BG148" i="16"/>
  <c r="BC147" i="16"/>
  <c r="BY136" i="16"/>
  <c r="BW135" i="16"/>
  <c r="AT134" i="16"/>
  <c r="AS133" i="16"/>
  <c r="BD120" i="16"/>
  <c r="AZ119" i="16"/>
  <c r="BE108" i="16"/>
  <c r="CD108" i="16" s="1"/>
  <c r="BL103" i="16"/>
  <c r="CK103" i="16" s="1"/>
  <c r="AX90" i="16"/>
  <c r="BR179" i="16"/>
  <c r="BV168" i="16"/>
  <c r="AT111" i="16"/>
  <c r="BS111" i="16" s="1"/>
  <c r="BH111" i="16"/>
  <c r="CG111" i="16" s="1"/>
  <c r="BB111" i="16"/>
  <c r="CA111" i="16" s="1"/>
  <c r="AU111" i="16"/>
  <c r="BT111" i="16" s="1"/>
  <c r="BK111" i="16"/>
  <c r="CJ111" i="16" s="1"/>
  <c r="AV111" i="16"/>
  <c r="BU111" i="16" s="1"/>
  <c r="BL111" i="16"/>
  <c r="CK111" i="16" s="1"/>
  <c r="AT97" i="16"/>
  <c r="BH97" i="16"/>
  <c r="BF97" i="16"/>
  <c r="BE97" i="16"/>
  <c r="BG97" i="16"/>
  <c r="CA168" i="16"/>
  <c r="BT180" i="16"/>
  <c r="CI178" i="16"/>
  <c r="BH150" i="16"/>
  <c r="BT138" i="16"/>
  <c r="BG136" i="16"/>
  <c r="BK122" i="16"/>
  <c r="BJ111" i="16"/>
  <c r="CI111" i="16" s="1"/>
  <c r="AY107" i="16"/>
  <c r="BX107" i="16" s="1"/>
  <c r="BM97" i="16"/>
  <c r="AU97" i="16"/>
  <c r="AX93" i="16"/>
  <c r="BW182" i="16"/>
  <c r="CB140" i="16"/>
  <c r="BD110" i="16"/>
  <c r="CC110" i="16" s="1"/>
  <c r="AV110" i="16"/>
  <c r="BU110" i="16" s="1"/>
  <c r="BK110" i="16"/>
  <c r="CJ110" i="16" s="1"/>
  <c r="BB110" i="16"/>
  <c r="CA110" i="16" s="1"/>
  <c r="BC110" i="16"/>
  <c r="CB110" i="16" s="1"/>
  <c r="BD96" i="16"/>
  <c r="AZ96" i="16"/>
  <c r="AW96" i="16"/>
  <c r="BM96" i="16"/>
  <c r="AX96" i="16"/>
  <c r="BN96" i="16"/>
  <c r="AX181" i="16"/>
  <c r="BL181" i="16"/>
  <c r="AU181" i="16"/>
  <c r="BJ181" i="16"/>
  <c r="AV181" i="16"/>
  <c r="BK181" i="16"/>
  <c r="AX167" i="16"/>
  <c r="BL167" i="16"/>
  <c r="AZ167" i="16"/>
  <c r="BA167" i="16"/>
  <c r="AX153" i="16"/>
  <c r="BL153" i="16"/>
  <c r="BD153" i="16"/>
  <c r="BE153" i="16"/>
  <c r="AT139" i="16"/>
  <c r="BH139" i="16"/>
  <c r="AS139" i="16"/>
  <c r="BI139" i="16"/>
  <c r="BD139" i="16"/>
  <c r="BE139" i="16"/>
  <c r="AT125" i="16"/>
  <c r="BH125" i="16"/>
  <c r="AX125" i="16"/>
  <c r="BM125" i="16"/>
  <c r="AZ125" i="16"/>
  <c r="BA125" i="16"/>
  <c r="BD181" i="16"/>
  <c r="BI178" i="16"/>
  <c r="BK167" i="16"/>
  <c r="AT167" i="16"/>
  <c r="AX164" i="16"/>
  <c r="BB153" i="16"/>
  <c r="BG150" i="16"/>
  <c r="BJ139" i="16"/>
  <c r="BF136" i="16"/>
  <c r="BJ125" i="16"/>
  <c r="BV124" i="16"/>
  <c r="BH122" i="16"/>
  <c r="BI111" i="16"/>
  <c r="CH111" i="16" s="1"/>
  <c r="BN110" i="16"/>
  <c r="CL110" i="16" s="1"/>
  <c r="AU110" i="16"/>
  <c r="BT110" i="16" s="1"/>
  <c r="AX107" i="16"/>
  <c r="BW107" i="16" s="1"/>
  <c r="BL97" i="16"/>
  <c r="AS97" i="16"/>
  <c r="AV96" i="16"/>
  <c r="AV93" i="16"/>
  <c r="BV182" i="16"/>
  <c r="BR165" i="16"/>
  <c r="CB126" i="16"/>
  <c r="BC181" i="16"/>
  <c r="BJ167" i="16"/>
  <c r="AS167" i="16"/>
  <c r="BA153" i="16"/>
  <c r="BG139" i="16"/>
  <c r="BR138" i="16"/>
  <c r="BI125" i="16"/>
  <c r="BU124" i="16"/>
  <c r="BG111" i="16"/>
  <c r="CF111" i="16" s="1"/>
  <c r="CN111" i="16" s="1"/>
  <c r="BM110" i="16"/>
  <c r="AT110" i="16"/>
  <c r="BS110" i="16" s="1"/>
  <c r="BK97" i="16"/>
  <c r="AR97" i="16"/>
  <c r="AU96" i="16"/>
  <c r="BN93" i="16"/>
  <c r="AU93" i="16"/>
  <c r="BQ165" i="16"/>
  <c r="BQ152" i="16"/>
  <c r="CB139" i="16"/>
  <c r="CA137" i="16"/>
  <c r="BJ97" i="16"/>
  <c r="BM93" i="16"/>
  <c r="CA179" i="16"/>
  <c r="CI152" i="16"/>
  <c r="BU151" i="16"/>
  <c r="BV123" i="16"/>
  <c r="AR107" i="16"/>
  <c r="BQ107" i="16" s="1"/>
  <c r="BF107" i="16"/>
  <c r="CE107" i="16" s="1"/>
  <c r="AS107" i="16"/>
  <c r="BR107" i="16" s="1"/>
  <c r="BH107" i="16"/>
  <c r="CG107" i="16" s="1"/>
  <c r="AT107" i="16"/>
  <c r="BS107" i="16" s="1"/>
  <c r="BJ107" i="16"/>
  <c r="CI107" i="16" s="1"/>
  <c r="AU107" i="16"/>
  <c r="BT107" i="16" s="1"/>
  <c r="BK107" i="16"/>
  <c r="CJ107" i="16" s="1"/>
  <c r="AR93" i="16"/>
  <c r="BF93" i="16"/>
  <c r="AW93" i="16"/>
  <c r="BL93" i="16"/>
  <c r="BD93" i="16"/>
  <c r="BE93" i="16"/>
  <c r="AZ178" i="16"/>
  <c r="BN178" i="16"/>
  <c r="AR178" i="16"/>
  <c r="BG178" i="16"/>
  <c r="AS178" i="16"/>
  <c r="BH178" i="16"/>
  <c r="AZ164" i="16"/>
  <c r="BN164" i="16"/>
  <c r="AV164" i="16"/>
  <c r="BK164" i="16"/>
  <c r="AW164" i="16"/>
  <c r="BL164" i="16"/>
  <c r="AZ150" i="16"/>
  <c r="BN150" i="16"/>
  <c r="BA150" i="16"/>
  <c r="BB150" i="16"/>
  <c r="AV136" i="16"/>
  <c r="BJ136" i="16"/>
  <c r="BE136" i="16"/>
  <c r="AU136" i="16"/>
  <c r="BL136" i="16"/>
  <c r="AW136" i="16"/>
  <c r="BM136" i="16"/>
  <c r="AV122" i="16"/>
  <c r="BJ122" i="16"/>
  <c r="AT122" i="16"/>
  <c r="BI122" i="16"/>
  <c r="BF122" i="16"/>
  <c r="BG122" i="16"/>
  <c r="BD178" i="16"/>
  <c r="BJ164" i="16"/>
  <c r="AS164" i="16"/>
  <c r="BD150" i="16"/>
  <c r="CH138" i="16"/>
  <c r="BB136" i="16"/>
  <c r="BX126" i="16"/>
  <c r="CE125" i="16"/>
  <c r="BS124" i="16"/>
  <c r="BC122" i="16"/>
  <c r="BE111" i="16"/>
  <c r="CD111" i="16" s="1"/>
  <c r="BM107" i="16"/>
  <c r="BI97" i="16"/>
  <c r="BK93" i="16"/>
  <c r="AS93" i="16"/>
  <c r="BS182" i="16"/>
  <c r="CK151" i="16"/>
  <c r="BB113" i="16"/>
  <c r="CA113" i="16" s="1"/>
  <c r="AY113" i="16"/>
  <c r="BX113" i="16" s="1"/>
  <c r="BN113" i="16"/>
  <c r="CL113" i="16" s="1"/>
  <c r="BB99" i="16"/>
  <c r="BD99" i="16"/>
  <c r="AT180" i="16"/>
  <c r="BH180" i="16"/>
  <c r="AT166" i="16"/>
  <c r="BH166" i="16"/>
  <c r="AT152" i="16"/>
  <c r="BH152" i="16"/>
  <c r="BD138" i="16"/>
  <c r="BB138" i="16"/>
  <c r="BD124" i="16"/>
  <c r="AR124" i="16"/>
  <c r="BG124" i="16"/>
  <c r="BE180" i="16"/>
  <c r="BJ166" i="16"/>
  <c r="AU166" i="16"/>
  <c r="BN152" i="16"/>
  <c r="AY152" i="16"/>
  <c r="BM138" i="16"/>
  <c r="AW138" i="16"/>
  <c r="BR126" i="16"/>
  <c r="BI124" i="16"/>
  <c r="AS124" i="16"/>
  <c r="BL113" i="16"/>
  <c r="CK113" i="16" s="1"/>
  <c r="AV113" i="16"/>
  <c r="BU113" i="16" s="1"/>
  <c r="BH99" i="16"/>
  <c r="AR99" i="16"/>
  <c r="BX123" i="16"/>
  <c r="AX112" i="16"/>
  <c r="BW112" i="16" s="1"/>
  <c r="BL112" i="16"/>
  <c r="CK112" i="16" s="1"/>
  <c r="AS112" i="16"/>
  <c r="BR112" i="16" s="1"/>
  <c r="BH112" i="16"/>
  <c r="CG112" i="16" s="1"/>
  <c r="AX98" i="16"/>
  <c r="BL98" i="16"/>
  <c r="AW98" i="16"/>
  <c r="BM98" i="16"/>
  <c r="AZ137" i="16"/>
  <c r="BN137" i="16"/>
  <c r="AV137" i="16"/>
  <c r="BK137" i="16"/>
  <c r="AZ123" i="16"/>
  <c r="BN123" i="16"/>
  <c r="BA123" i="16"/>
  <c r="BD180" i="16"/>
  <c r="BM179" i="16"/>
  <c r="AX179" i="16"/>
  <c r="BI166" i="16"/>
  <c r="AS166" i="16"/>
  <c r="BB165" i="16"/>
  <c r="BM152" i="16"/>
  <c r="AX152" i="16"/>
  <c r="BG151" i="16"/>
  <c r="AR151" i="16"/>
  <c r="BL138" i="16"/>
  <c r="AV138" i="16"/>
  <c r="BD137" i="16"/>
  <c r="BH124" i="16"/>
  <c r="AX123" i="16"/>
  <c r="BK113" i="16"/>
  <c r="CJ113" i="16" s="1"/>
  <c r="AU113" i="16"/>
  <c r="BT113" i="16" s="1"/>
  <c r="BC112" i="16"/>
  <c r="CB112" i="16" s="1"/>
  <c r="BG99" i="16"/>
  <c r="AY98" i="16"/>
  <c r="CC179" i="16"/>
  <c r="CC165" i="16"/>
  <c r="AZ109" i="16"/>
  <c r="BY109" i="16" s="1"/>
  <c r="CN109" i="16" s="1"/>
  <c r="BN109" i="16"/>
  <c r="CL109" i="16" s="1"/>
  <c r="AZ95" i="16"/>
  <c r="BN95" i="16"/>
  <c r="AX140" i="16"/>
  <c r="BL140" i="16"/>
  <c r="AX126" i="16"/>
  <c r="BL126" i="16"/>
  <c r="AZ140" i="16"/>
  <c r="BD126" i="16"/>
  <c r="BE109" i="16"/>
  <c r="CD109" i="16" s="1"/>
  <c r="BI95" i="16"/>
  <c r="AT95" i="16"/>
  <c r="BU138" i="16" l="1"/>
  <c r="CN138" i="16" s="1"/>
  <c r="BY123" i="16"/>
  <c r="CI166" i="16"/>
  <c r="CK164" i="16"/>
  <c r="CI167" i="16"/>
  <c r="BY125" i="16"/>
  <c r="BZ133" i="16"/>
  <c r="BT176" i="16"/>
  <c r="CD134" i="16"/>
  <c r="BZ128" i="16"/>
  <c r="CC184" i="16"/>
  <c r="CF115" i="16"/>
  <c r="BU129" i="16"/>
  <c r="CC143" i="16"/>
  <c r="CE157" i="16"/>
  <c r="CC185" i="16"/>
  <c r="BY185" i="16"/>
  <c r="BX155" i="16"/>
  <c r="BS127" i="16"/>
  <c r="BR155" i="16"/>
  <c r="BW183" i="16"/>
  <c r="BW116" i="16"/>
  <c r="BU130" i="16"/>
  <c r="BW130" i="16"/>
  <c r="CE144" i="16"/>
  <c r="CH172" i="16"/>
  <c r="CA186" i="16"/>
  <c r="CC186" i="16"/>
  <c r="BV128" i="16"/>
  <c r="CC171" i="16"/>
  <c r="BX117" i="16"/>
  <c r="BW131" i="16"/>
  <c r="BZ145" i="16"/>
  <c r="BQ159" i="16"/>
  <c r="CK173" i="16"/>
  <c r="BY187" i="16"/>
  <c r="BS187" i="16"/>
  <c r="CI118" i="16"/>
  <c r="CF132" i="16"/>
  <c r="CH146" i="16"/>
  <c r="BW146" i="16"/>
  <c r="CB160" i="16"/>
  <c r="BS174" i="16"/>
  <c r="BV188" i="16"/>
  <c r="CB128" i="16"/>
  <c r="CN163" i="16"/>
  <c r="CI141" i="16"/>
  <c r="CF141" i="16"/>
  <c r="CK138" i="16"/>
  <c r="CI122" i="16"/>
  <c r="CK147" i="16"/>
  <c r="CF162" i="16"/>
  <c r="BQ148" i="16"/>
  <c r="CN148" i="16" s="1"/>
  <c r="CL149" i="16"/>
  <c r="CI177" i="16"/>
  <c r="CL128" i="16"/>
  <c r="CE128" i="16"/>
  <c r="BT156" i="16"/>
  <c r="BS170" i="16"/>
  <c r="BU184" i="16"/>
  <c r="CL129" i="16"/>
  <c r="CB143" i="16"/>
  <c r="BZ171" i="16"/>
  <c r="BV183" i="16"/>
  <c r="BQ130" i="16"/>
  <c r="CI144" i="16"/>
  <c r="BY186" i="16"/>
  <c r="CI173" i="16"/>
  <c r="BV131" i="16"/>
  <c r="BY145" i="16"/>
  <c r="CF187" i="16"/>
  <c r="CE132" i="16"/>
  <c r="CJ188" i="16"/>
  <c r="BQ151" i="16"/>
  <c r="CN151" i="16" s="1"/>
  <c r="CF124" i="16"/>
  <c r="BU122" i="16"/>
  <c r="CJ164" i="16"/>
  <c r="BW125" i="16"/>
  <c r="BV133" i="16"/>
  <c r="BV147" i="16"/>
  <c r="BQ134" i="16"/>
  <c r="BQ176" i="16"/>
  <c r="CG121" i="16"/>
  <c r="CK135" i="16"/>
  <c r="BQ128" i="16"/>
  <c r="CJ156" i="16"/>
  <c r="BV184" i="16"/>
  <c r="CJ143" i="16"/>
  <c r="CL143" i="16"/>
  <c r="BX157" i="16"/>
  <c r="BV185" i="16"/>
  <c r="CH156" i="16"/>
  <c r="CG155" i="16"/>
  <c r="CK155" i="16"/>
  <c r="CH132" i="16"/>
  <c r="CA130" i="16"/>
  <c r="BY130" i="16"/>
  <c r="BT144" i="16"/>
  <c r="BY158" i="16"/>
  <c r="BX186" i="16"/>
  <c r="BT117" i="16"/>
  <c r="BU131" i="16"/>
  <c r="CG145" i="16"/>
  <c r="CK159" i="16"/>
  <c r="CE187" i="16"/>
  <c r="CE118" i="16"/>
  <c r="CD146" i="16"/>
  <c r="CK160" i="16"/>
  <c r="BQ188" i="16"/>
  <c r="CK114" i="16"/>
  <c r="BW169" i="16"/>
  <c r="CF151" i="16"/>
  <c r="BU164" i="16"/>
  <c r="CI125" i="16"/>
  <c r="CC133" i="16"/>
  <c r="CN103" i="16"/>
  <c r="CL162" i="16"/>
  <c r="CJ148" i="16"/>
  <c r="BU128" i="16"/>
  <c r="CG156" i="16"/>
  <c r="BS184" i="16"/>
  <c r="CK129" i="16"/>
  <c r="BY143" i="16"/>
  <c r="BU185" i="16"/>
  <c r="CH127" i="16"/>
  <c r="CJ155" i="16"/>
  <c r="BZ183" i="16"/>
  <c r="BR145" i="16"/>
  <c r="BS116" i="16"/>
  <c r="CN116" i="16" s="1"/>
  <c r="CK130" i="16"/>
  <c r="CL144" i="16"/>
  <c r="BX158" i="16"/>
  <c r="BT172" i="16"/>
  <c r="BW186" i="16"/>
  <c r="CJ117" i="16"/>
  <c r="CK145" i="16"/>
  <c r="BS145" i="16"/>
  <c r="BV159" i="16"/>
  <c r="CC173" i="16"/>
  <c r="BU187" i="16"/>
  <c r="CH118" i="16"/>
  <c r="CD118" i="16"/>
  <c r="CB132" i="16"/>
  <c r="BV160" i="16"/>
  <c r="BW160" i="16"/>
  <c r="CI188" i="16"/>
  <c r="CC169" i="16"/>
  <c r="BS114" i="16"/>
  <c r="CJ183" i="16"/>
  <c r="CB141" i="16"/>
  <c r="CA141" i="16"/>
  <c r="CK169" i="16"/>
  <c r="BY137" i="16"/>
  <c r="CC124" i="16"/>
  <c r="CA136" i="16"/>
  <c r="BW167" i="16"/>
  <c r="CN167" i="16" s="1"/>
  <c r="CB133" i="16"/>
  <c r="CH175" i="16"/>
  <c r="BU134" i="16"/>
  <c r="BU121" i="16"/>
  <c r="CI142" i="16"/>
  <c r="CG170" i="16"/>
  <c r="CH129" i="16"/>
  <c r="CL115" i="16"/>
  <c r="CJ129" i="16"/>
  <c r="CH143" i="16"/>
  <c r="BW157" i="16"/>
  <c r="CI171" i="16"/>
  <c r="CK185" i="16"/>
  <c r="BX141" i="16"/>
  <c r="BZ127" i="16"/>
  <c r="CC155" i="16"/>
  <c r="BU183" i="16"/>
  <c r="BR116" i="16"/>
  <c r="CJ130" i="16"/>
  <c r="BS144" i="16"/>
  <c r="CL158" i="16"/>
  <c r="CJ172" i="16"/>
  <c r="BT186" i="16"/>
  <c r="CN186" i="16" s="1"/>
  <c r="CJ160" i="16"/>
  <c r="BQ117" i="16"/>
  <c r="CJ145" i="16"/>
  <c r="CA159" i="16"/>
  <c r="CJ159" i="16"/>
  <c r="CB173" i="16"/>
  <c r="CC118" i="16"/>
  <c r="BY118" i="16"/>
  <c r="CK132" i="16"/>
  <c r="BX146" i="16"/>
  <c r="BU160" i="16"/>
  <c r="BV174" i="16"/>
  <c r="CF188" i="16"/>
  <c r="CH184" i="16"/>
  <c r="BW141" i="16"/>
  <c r="CJ114" i="16"/>
  <c r="CL141" i="16"/>
  <c r="BR169" i="16"/>
  <c r="BV169" i="16"/>
  <c r="BY164" i="16"/>
  <c r="CD139" i="16"/>
  <c r="BX161" i="16"/>
  <c r="CE162" i="16"/>
  <c r="CG149" i="16"/>
  <c r="CI120" i="16"/>
  <c r="BU142" i="16"/>
  <c r="CG143" i="16"/>
  <c r="BS172" i="16"/>
  <c r="BY159" i="16"/>
  <c r="BV146" i="16"/>
  <c r="CE169" i="16"/>
  <c r="CC126" i="16"/>
  <c r="CH124" i="16"/>
  <c r="CF150" i="16"/>
  <c r="BY119" i="16"/>
  <c r="CA119" i="16"/>
  <c r="CF175" i="16"/>
  <c r="BT134" i="16"/>
  <c r="BQ162" i="16"/>
  <c r="BT121" i="16"/>
  <c r="CI135" i="16"/>
  <c r="BW177" i="16"/>
  <c r="CN177" i="16" s="1"/>
  <c r="CJ128" i="16"/>
  <c r="BX156" i="16"/>
  <c r="BQ156" i="16"/>
  <c r="CA184" i="16"/>
  <c r="CC129" i="16"/>
  <c r="CF143" i="16"/>
  <c r="BU157" i="16"/>
  <c r="CH171" i="16"/>
  <c r="CJ185" i="16"/>
  <c r="CI127" i="16"/>
  <c r="BY155" i="16"/>
  <c r="BZ116" i="16"/>
  <c r="BX130" i="16"/>
  <c r="CD144" i="16"/>
  <c r="CE158" i="16"/>
  <c r="CI172" i="16"/>
  <c r="CE186" i="16"/>
  <c r="CE117" i="16"/>
  <c r="BW117" i="16"/>
  <c r="CH145" i="16"/>
  <c r="BX159" i="16"/>
  <c r="CG159" i="16"/>
  <c r="CF173" i="16"/>
  <c r="BS118" i="16"/>
  <c r="CI132" i="16"/>
  <c r="CL146" i="16"/>
  <c r="CI174" i="16"/>
  <c r="CD136" i="16"/>
  <c r="CA153" i="16"/>
  <c r="CH139" i="16"/>
  <c r="BX119" i="16"/>
  <c r="BW133" i="16"/>
  <c r="CD175" i="16"/>
  <c r="CF120" i="16"/>
  <c r="CC176" i="16"/>
  <c r="BT163" i="16"/>
  <c r="CK121" i="16"/>
  <c r="BT149" i="16"/>
  <c r="CL177" i="16"/>
  <c r="CN105" i="16"/>
  <c r="CJ120" i="16"/>
  <c r="CN123" i="16"/>
  <c r="CF114" i="16"/>
  <c r="CF142" i="16"/>
  <c r="BT157" i="16"/>
  <c r="CL187" i="16"/>
  <c r="BU146" i="16"/>
  <c r="BS188" i="16"/>
  <c r="CC114" i="16"/>
  <c r="CF169" i="16"/>
  <c r="CH166" i="16"/>
  <c r="BS152" i="16"/>
  <c r="CN152" i="16" s="1"/>
  <c r="CI136" i="16"/>
  <c r="CF178" i="16"/>
  <c r="BW164" i="16"/>
  <c r="BR139" i="16"/>
  <c r="CN139" i="16" s="1"/>
  <c r="BT181" i="16"/>
  <c r="CG150" i="16"/>
  <c r="BR133" i="16"/>
  <c r="CL119" i="16"/>
  <c r="BU161" i="16"/>
  <c r="CC175" i="16"/>
  <c r="CE120" i="16"/>
  <c r="BR134" i="16"/>
  <c r="CB176" i="16"/>
  <c r="CN104" i="16"/>
  <c r="CA148" i="16"/>
  <c r="CC135" i="16"/>
  <c r="CH149" i="16"/>
  <c r="BV177" i="16"/>
  <c r="CF128" i="16"/>
  <c r="CB142" i="16"/>
  <c r="BZ156" i="16"/>
  <c r="BU156" i="16"/>
  <c r="CC170" i="16"/>
  <c r="BW184" i="16"/>
  <c r="BZ115" i="16"/>
  <c r="CK115" i="16"/>
  <c r="BX129" i="16"/>
  <c r="CD143" i="16"/>
  <c r="BS157" i="16"/>
  <c r="BQ171" i="16"/>
  <c r="CN171" i="16" s="1"/>
  <c r="CL171" i="16"/>
  <c r="CI185" i="16"/>
  <c r="CN101" i="16"/>
  <c r="CF127" i="16"/>
  <c r="CA127" i="16"/>
  <c r="CA155" i="16"/>
  <c r="CC183" i="16"/>
  <c r="CA156" i="16"/>
  <c r="BV116" i="16"/>
  <c r="BT130" i="16"/>
  <c r="CA144" i="16"/>
  <c r="BT158" i="16"/>
  <c r="CC158" i="16"/>
  <c r="CG172" i="16"/>
  <c r="CB186" i="16"/>
  <c r="CL114" i="16"/>
  <c r="CB117" i="16"/>
  <c r="BV117" i="16"/>
  <c r="CJ131" i="16"/>
  <c r="CF145" i="16"/>
  <c r="BZ159" i="16"/>
  <c r="BV173" i="16"/>
  <c r="CE173" i="16"/>
  <c r="BV187" i="16"/>
  <c r="CA169" i="16"/>
  <c r="BX118" i="16"/>
  <c r="BY132" i="16"/>
  <c r="CJ132" i="16"/>
  <c r="CJ146" i="16"/>
  <c r="CL160" i="16"/>
  <c r="CH174" i="16"/>
  <c r="CC188" i="16"/>
  <c r="CG188" i="16"/>
  <c r="CB114" i="16"/>
  <c r="BT141" i="16"/>
  <c r="CD169" i="16"/>
  <c r="BW126" i="16"/>
  <c r="CN113" i="16"/>
  <c r="BW179" i="16"/>
  <c r="CN179" i="16" s="1"/>
  <c r="BV138" i="16"/>
  <c r="CG166" i="16"/>
  <c r="CI164" i="16"/>
  <c r="CN164" i="16" s="1"/>
  <c r="BU136" i="16"/>
  <c r="BQ178" i="16"/>
  <c r="BS167" i="16"/>
  <c r="CG139" i="16"/>
  <c r="CK181" i="16"/>
  <c r="BS134" i="16"/>
  <c r="CK175" i="16"/>
  <c r="BV119" i="16"/>
  <c r="BQ147" i="16"/>
  <c r="CH161" i="16"/>
  <c r="CA175" i="16"/>
  <c r="CK120" i="16"/>
  <c r="CA134" i="16"/>
  <c r="CA176" i="16"/>
  <c r="BZ148" i="16"/>
  <c r="BZ135" i="16"/>
  <c r="CI121" i="16"/>
  <c r="CB135" i="16"/>
  <c r="BS149" i="16"/>
  <c r="CN149" i="16" s="1"/>
  <c r="BX142" i="16"/>
  <c r="CN142" i="16" s="1"/>
  <c r="CC128" i="16"/>
  <c r="BZ142" i="16"/>
  <c r="BY156" i="16"/>
  <c r="BR170" i="16"/>
  <c r="CB170" i="16"/>
  <c r="CI155" i="16"/>
  <c r="BY115" i="16"/>
  <c r="BV115" i="16"/>
  <c r="CA129" i="16"/>
  <c r="BX143" i="16"/>
  <c r="BR157" i="16"/>
  <c r="BY171" i="16"/>
  <c r="BR185" i="16"/>
  <c r="CN185" i="16" s="1"/>
  <c r="CE127" i="16"/>
  <c r="BV155" i="16"/>
  <c r="BZ155" i="16"/>
  <c r="CA183" i="16"/>
  <c r="CI114" i="16"/>
  <c r="CG158" i="16"/>
  <c r="CE116" i="16"/>
  <c r="CI130" i="16"/>
  <c r="CK144" i="16"/>
  <c r="BS158" i="16"/>
  <c r="BQ172" i="16"/>
  <c r="BZ172" i="16"/>
  <c r="BZ186" i="16"/>
  <c r="CG117" i="16"/>
  <c r="CA117" i="16"/>
  <c r="CH117" i="16"/>
  <c r="BR131" i="16"/>
  <c r="CE145" i="16"/>
  <c r="CL159" i="16"/>
  <c r="BT173" i="16"/>
  <c r="CG173" i="16"/>
  <c r="CK187" i="16"/>
  <c r="CD171" i="16"/>
  <c r="BW118" i="16"/>
  <c r="BX132" i="16"/>
  <c r="BU132" i="16"/>
  <c r="BS146" i="16"/>
  <c r="BQ160" i="16"/>
  <c r="CG174" i="16"/>
  <c r="CB188" i="16"/>
  <c r="BR188" i="16"/>
  <c r="BX114" i="16"/>
  <c r="CD114" i="16"/>
  <c r="CK141" i="16"/>
  <c r="BU169" i="16"/>
  <c r="CK140" i="16"/>
  <c r="BS166" i="16"/>
  <c r="CC178" i="16"/>
  <c r="CA150" i="16"/>
  <c r="CL178" i="16"/>
  <c r="CJ167" i="16"/>
  <c r="BS139" i="16"/>
  <c r="BW181" i="16"/>
  <c r="CK176" i="16"/>
  <c r="CE119" i="16"/>
  <c r="CG147" i="16"/>
  <c r="BS161" i="16"/>
  <c r="BV120" i="16"/>
  <c r="CJ162" i="16"/>
  <c r="BY176" i="16"/>
  <c r="BY148" i="16"/>
  <c r="BX121" i="16"/>
  <c r="CL135" i="16"/>
  <c r="CI149" i="16"/>
  <c r="BT177" i="16"/>
  <c r="BX133" i="16"/>
  <c r="CI128" i="16"/>
  <c r="CE142" i="16"/>
  <c r="CK156" i="16"/>
  <c r="CL170" i="16"/>
  <c r="CI170" i="16"/>
  <c r="BT184" i="16"/>
  <c r="BX115" i="16"/>
  <c r="CI115" i="16"/>
  <c r="BZ129" i="16"/>
  <c r="BW143" i="16"/>
  <c r="BQ157" i="16"/>
  <c r="CN157" i="16" s="1"/>
  <c r="CK171" i="16"/>
  <c r="CA185" i="16"/>
  <c r="CG185" i="16"/>
  <c r="CD127" i="16"/>
  <c r="BU155" i="16"/>
  <c r="CE155" i="16"/>
  <c r="CH183" i="16"/>
  <c r="CI160" i="16"/>
  <c r="CI186" i="16"/>
  <c r="CD116" i="16"/>
  <c r="BS130" i="16"/>
  <c r="BR144" i="16"/>
  <c r="BR158" i="16"/>
  <c r="CL172" i="16"/>
  <c r="BY172" i="16"/>
  <c r="CK186" i="16"/>
  <c r="BZ117" i="16"/>
  <c r="BS117" i="16"/>
  <c r="CH131" i="16"/>
  <c r="CD145" i="16"/>
  <c r="BT159" i="16"/>
  <c r="BR173" i="16"/>
  <c r="BS173" i="16"/>
  <c r="BT187" i="16"/>
  <c r="CC156" i="16"/>
  <c r="CA174" i="16"/>
  <c r="CK118" i="16"/>
  <c r="BW132" i="16"/>
  <c r="CG132" i="16"/>
  <c r="CF146" i="16"/>
  <c r="CF160" i="16"/>
  <c r="BZ174" i="16"/>
  <c r="CA188" i="16"/>
  <c r="CK188" i="16"/>
  <c r="BX128" i="16"/>
  <c r="BW114" i="16"/>
  <c r="CE114" i="16"/>
  <c r="BS141" i="16"/>
  <c r="CL169" i="16"/>
  <c r="BW140" i="16"/>
  <c r="CN140" i="16" s="1"/>
  <c r="BW123" i="16"/>
  <c r="CC180" i="16"/>
  <c r="BX152" i="16"/>
  <c r="CG180" i="16"/>
  <c r="CB122" i="16"/>
  <c r="CN122" i="16" s="1"/>
  <c r="CF122" i="16"/>
  <c r="BZ150" i="16"/>
  <c r="CN150" i="16" s="1"/>
  <c r="BY178" i="16"/>
  <c r="CN107" i="16"/>
  <c r="CF139" i="16"/>
  <c r="CH178" i="16"/>
  <c r="CD153" i="16"/>
  <c r="CK119" i="16"/>
  <c r="CF147" i="16"/>
  <c r="CG161" i="16"/>
  <c r="CN161" i="16" s="1"/>
  <c r="CD120" i="16"/>
  <c r="CA120" i="16"/>
  <c r="BS162" i="16"/>
  <c r="CJ176" i="16"/>
  <c r="BW148" i="16"/>
  <c r="CL121" i="16"/>
  <c r="BX135" i="16"/>
  <c r="BU149" i="16"/>
  <c r="CJ177" i="16"/>
  <c r="CG119" i="16"/>
  <c r="CI147" i="16"/>
  <c r="CC134" i="16"/>
  <c r="CK148" i="16"/>
  <c r="BS128" i="16"/>
  <c r="CD142" i="16"/>
  <c r="BW156" i="16"/>
  <c r="BQ170" i="16"/>
  <c r="BU170" i="16"/>
  <c r="BY184" i="16"/>
  <c r="BS115" i="16"/>
  <c r="BU115" i="16"/>
  <c r="CF129" i="16"/>
  <c r="BV143" i="16"/>
  <c r="CK157" i="16"/>
  <c r="CJ171" i="16"/>
  <c r="BZ185" i="16"/>
  <c r="CE185" i="16"/>
  <c r="BW127" i="16"/>
  <c r="CL127" i="16"/>
  <c r="BT155" i="16"/>
  <c r="BQ155" i="16"/>
  <c r="BS183" i="16"/>
  <c r="CG116" i="16"/>
  <c r="CB116" i="16"/>
  <c r="CH130" i="16"/>
  <c r="CJ144" i="16"/>
  <c r="CA158" i="16"/>
  <c r="CC172" i="16"/>
  <c r="BV186" i="16"/>
  <c r="CF117" i="16"/>
  <c r="CC117" i="16"/>
  <c r="CA131" i="16"/>
  <c r="CC145" i="16"/>
  <c r="CL173" i="16"/>
  <c r="CD187" i="16"/>
  <c r="CB187" i="16"/>
  <c r="BR118" i="16"/>
  <c r="BV132" i="16"/>
  <c r="BS132" i="16"/>
  <c r="BQ146" i="16"/>
  <c r="CE160" i="16"/>
  <c r="BY174" i="16"/>
  <c r="BZ188" i="16"/>
  <c r="BW188" i="16"/>
  <c r="CB169" i="16"/>
  <c r="BV114" i="16"/>
  <c r="CJ141" i="16"/>
  <c r="BT169" i="16"/>
  <c r="CE141" i="16"/>
  <c r="CI169" i="16"/>
  <c r="CC163" i="16"/>
  <c r="CJ186" i="16"/>
  <c r="BU114" i="16"/>
  <c r="BX170" i="16"/>
  <c r="BQ127" i="16"/>
  <c r="BR141" i="16"/>
  <c r="CJ169" i="16"/>
  <c r="BS122" i="16"/>
  <c r="CG122" i="16"/>
  <c r="BW153" i="16"/>
  <c r="CN153" i="16" s="1"/>
  <c r="CB147" i="16"/>
  <c r="BW147" i="16"/>
  <c r="CJ175" i="16"/>
  <c r="BV134" i="16"/>
  <c r="CH162" i="16"/>
  <c r="CE148" i="16"/>
  <c r="CE149" i="16"/>
  <c r="CE121" i="16"/>
  <c r="BW149" i="16"/>
  <c r="CA163" i="16"/>
  <c r="BZ177" i="16"/>
  <c r="BT128" i="16"/>
  <c r="BT170" i="16"/>
  <c r="CI184" i="16"/>
  <c r="BR129" i="16"/>
  <c r="CA171" i="16"/>
  <c r="CE183" i="16"/>
  <c r="CK158" i="16"/>
  <c r="CC131" i="16"/>
  <c r="CH169" i="16"/>
  <c r="CJ137" i="16"/>
  <c r="CD180" i="16"/>
  <c r="BV164" i="16"/>
  <c r="CB181" i="16"/>
  <c r="BZ167" i="16"/>
  <c r="CF148" i="16"/>
  <c r="BY133" i="16"/>
  <c r="BS175" i="16"/>
  <c r="CE176" i="16"/>
  <c r="BQ121" i="16"/>
  <c r="BY163" i="16"/>
  <c r="BW142" i="16"/>
  <c r="CB184" i="16"/>
  <c r="CE115" i="16"/>
  <c r="CC157" i="16"/>
  <c r="CB185" i="16"/>
  <c r="CK127" i="16"/>
  <c r="BQ183" i="16"/>
  <c r="BU116" i="16"/>
  <c r="CL130" i="16"/>
  <c r="BZ158" i="16"/>
  <c r="CF172" i="16"/>
  <c r="CB156" i="16"/>
  <c r="BU117" i="16"/>
  <c r="CL145" i="16"/>
  <c r="CF159" i="16"/>
  <c r="CJ173" i="16"/>
  <c r="CF118" i="16"/>
  <c r="CG146" i="16"/>
  <c r="BY160" i="16"/>
  <c r="CA160" i="16"/>
  <c r="CL174" i="16"/>
  <c r="BW170" i="16"/>
  <c r="BT114" i="16"/>
  <c r="CG141" i="16"/>
  <c r="CD141" i="16"/>
  <c r="BU137" i="16"/>
  <c r="CN137" i="16" s="1"/>
  <c r="BY167" i="16"/>
  <c r="CI175" i="16"/>
  <c r="BY134" i="16"/>
  <c r="BY162" i="16"/>
  <c r="BV149" i="16"/>
  <c r="CE163" i="16"/>
  <c r="BU177" i="16"/>
  <c r="CJ147" i="16"/>
  <c r="CK142" i="16"/>
  <c r="CJ170" i="16"/>
  <c r="CD115" i="16"/>
  <c r="BX171" i="16"/>
  <c r="BR127" i="16"/>
  <c r="CB183" i="16"/>
  <c r="BT116" i="16"/>
  <c r="CK172" i="16"/>
  <c r="CD173" i="16"/>
  <c r="CL132" i="16"/>
  <c r="CD132" i="16"/>
  <c r="BX160" i="16"/>
  <c r="BX174" i="16"/>
  <c r="CD156" i="16"/>
  <c r="BY128" i="16"/>
  <c r="BV127" i="16"/>
  <c r="CC141" i="16"/>
  <c r="CL137" i="16"/>
  <c r="BQ124" i="16"/>
  <c r="CN124" i="16" s="1"/>
  <c r="CG125" i="16"/>
  <c r="CK167" i="16"/>
  <c r="CJ122" i="16"/>
  <c r="CF119" i="16"/>
  <c r="CA147" i="16"/>
  <c r="BR175" i="16"/>
  <c r="BZ120" i="16"/>
  <c r="CK134" i="16"/>
  <c r="BS135" i="16"/>
  <c r="CD163" i="16"/>
  <c r="BU133" i="16"/>
  <c r="CL142" i="16"/>
  <c r="BV142" i="16"/>
  <c r="CH170" i="16"/>
  <c r="CB127" i="16"/>
  <c r="CB115" i="16"/>
  <c r="CI143" i="16"/>
  <c r="BV171" i="16"/>
  <c r="CH144" i="16"/>
  <c r="BQ131" i="16"/>
  <c r="CC146" i="16"/>
  <c r="BW152" i="16"/>
  <c r="BV136" i="16"/>
  <c r="CL164" i="16"/>
  <c r="CE136" i="16"/>
  <c r="BS125" i="16"/>
  <c r="CD119" i="16"/>
  <c r="BY161" i="16"/>
  <c r="BY120" i="16"/>
  <c r="BX162" i="16"/>
  <c r="CJ135" i="16"/>
  <c r="BR149" i="16"/>
  <c r="CI163" i="16"/>
  <c r="CB134" i="16"/>
  <c r="CH119" i="16"/>
  <c r="BT175" i="16"/>
  <c r="BZ162" i="16"/>
  <c r="CK128" i="16"/>
  <c r="CJ142" i="16"/>
  <c r="BR156" i="16"/>
  <c r="BR184" i="16"/>
  <c r="BZ157" i="16"/>
  <c r="BT145" i="16"/>
  <c r="BR187" i="16"/>
  <c r="CN187" i="16" s="1"/>
  <c r="BR174" i="16"/>
  <c r="BR124" i="16"/>
  <c r="CA138" i="16"/>
  <c r="CK136" i="16"/>
  <c r="CI139" i="16"/>
  <c r="CJ181" i="16"/>
  <c r="CF136" i="16"/>
  <c r="CC119" i="16"/>
  <c r="CA133" i="16"/>
  <c r="BQ175" i="16"/>
  <c r="BX120" i="16"/>
  <c r="CN120" i="16" s="1"/>
  <c r="CJ134" i="16"/>
  <c r="BR135" i="16"/>
  <c r="BU163" i="16"/>
  <c r="BT161" i="16"/>
  <c r="BR176" i="16"/>
  <c r="CD128" i="16"/>
  <c r="CH142" i="16"/>
  <c r="CF156" i="16"/>
  <c r="CF170" i="16"/>
  <c r="BQ184" i="16"/>
  <c r="BW115" i="16"/>
  <c r="CD129" i="16"/>
  <c r="BV157" i="16"/>
  <c r="CL157" i="16"/>
  <c r="BT171" i="16"/>
  <c r="BT185" i="16"/>
  <c r="CK183" i="16"/>
  <c r="BY127" i="16"/>
  <c r="CB155" i="16"/>
  <c r="BT183" i="16"/>
  <c r="BY169" i="16"/>
  <c r="CA116" i="16"/>
  <c r="BZ130" i="16"/>
  <c r="CF144" i="16"/>
  <c r="CC144" i="16"/>
  <c r="BV158" i="16"/>
  <c r="BS186" i="16"/>
  <c r="CF184" i="16"/>
  <c r="CL117" i="16"/>
  <c r="BT131" i="16"/>
  <c r="CI145" i="16"/>
  <c r="BU159" i="16"/>
  <c r="BZ173" i="16"/>
  <c r="BX187" i="16"/>
  <c r="CB118" i="16"/>
  <c r="CG118" i="16"/>
  <c r="BT132" i="16"/>
  <c r="BT160" i="16"/>
  <c r="BQ174" i="16"/>
  <c r="CK174" i="16"/>
  <c r="CD188" i="16"/>
  <c r="BU141" i="16"/>
  <c r="CK184" i="16"/>
  <c r="BR114" i="16"/>
  <c r="CN114" i="16" s="1"/>
  <c r="CN102" i="16"/>
  <c r="BZ141" i="16"/>
  <c r="CA165" i="16"/>
  <c r="CN165" i="16" s="1"/>
  <c r="CC138" i="16"/>
  <c r="BT136" i="16"/>
  <c r="CG178" i="16"/>
  <c r="CC139" i="16"/>
  <c r="BU181" i="16"/>
  <c r="CL161" i="16"/>
  <c r="CK133" i="16"/>
  <c r="BW161" i="16"/>
  <c r="BU120" i="16"/>
  <c r="CJ149" i="16"/>
  <c r="BV162" i="16"/>
  <c r="BX127" i="16"/>
  <c r="CG142" i="16"/>
  <c r="CE170" i="16"/>
  <c r="CL183" i="16"/>
  <c r="BY157" i="16"/>
  <c r="CJ127" i="16"/>
  <c r="CF183" i="16"/>
  <c r="CH173" i="16"/>
  <c r="BW158" i="16"/>
  <c r="CK131" i="16"/>
  <c r="BW187" i="16"/>
  <c r="CA118" i="16"/>
  <c r="BS160" i="16"/>
  <c r="BW174" i="16"/>
  <c r="CH188" i="16"/>
  <c r="CH114" i="16"/>
  <c r="BY141" i="16"/>
  <c r="CG169" i="16"/>
  <c r="BQ169" i="16"/>
  <c r="BY140" i="16"/>
  <c r="BR166" i="16"/>
  <c r="CN166" i="16" s="1"/>
  <c r="CG152" i="16"/>
  <c r="CC150" i="16"/>
  <c r="BR178" i="16"/>
  <c r="CI181" i="16"/>
  <c r="CC120" i="16"/>
  <c r="BT162" i="16"/>
  <c r="CG134" i="16"/>
  <c r="CG135" i="16"/>
  <c r="CG128" i="16"/>
  <c r="BS156" i="16"/>
  <c r="CI156" i="16"/>
  <c r="CA170" i="16"/>
  <c r="BZ184" i="16"/>
  <c r="CA115" i="16"/>
  <c r="BT115" i="16"/>
  <c r="CB129" i="16"/>
  <c r="CE143" i="16"/>
  <c r="BR171" i="16"/>
  <c r="BS171" i="16"/>
  <c r="BS185" i="16"/>
  <c r="CG127" i="16"/>
  <c r="BT127" i="16"/>
  <c r="BW155" i="16"/>
  <c r="CD183" i="16"/>
  <c r="BX116" i="16"/>
  <c r="BV130" i="16"/>
  <c r="CB144" i="16"/>
  <c r="BU158" i="16"/>
  <c r="CD158" i="16"/>
  <c r="BR172" i="16"/>
  <c r="CD186" i="16"/>
  <c r="CD117" i="16"/>
  <c r="BS131" i="16"/>
  <c r="BQ145" i="16"/>
  <c r="BW159" i="16"/>
  <c r="BS159" i="16"/>
  <c r="BQ173" i="16"/>
  <c r="BZ118" i="16"/>
  <c r="BZ132" i="16"/>
  <c r="BR132" i="16"/>
  <c r="BR160" i="16"/>
  <c r="BT174" i="16"/>
  <c r="CE188" i="16"/>
  <c r="CK126" i="16"/>
  <c r="BR164" i="16"/>
  <c r="CH125" i="16"/>
  <c r="CH147" i="16"/>
  <c r="BS121" i="16"/>
  <c r="CN108" i="16"/>
  <c r="CG124" i="16"/>
  <c r="BZ123" i="16"/>
  <c r="CL152" i="16"/>
  <c r="BS180" i="16"/>
  <c r="CE122" i="16"/>
  <c r="CL150" i="16"/>
  <c r="BZ153" i="16"/>
  <c r="CC181" i="16"/>
  <c r="CC153" i="16"/>
  <c r="BW119" i="16"/>
  <c r="CN119" i="16" s="1"/>
  <c r="CD147" i="16"/>
  <c r="BR161" i="16"/>
  <c r="CG148" i="16"/>
  <c r="BX134" i="16"/>
  <c r="CI162" i="16"/>
  <c r="BU176" i="16"/>
  <c r="CC148" i="16"/>
  <c r="BW121" i="16"/>
  <c r="CE135" i="16"/>
  <c r="BR177" i="16"/>
  <c r="CH120" i="16"/>
  <c r="CI148" i="16"/>
  <c r="BV161" i="16"/>
  <c r="CH155" i="16"/>
  <c r="CH128" i="16"/>
  <c r="CC142" i="16"/>
  <c r="CL156" i="16"/>
  <c r="CE184" i="16"/>
  <c r="CL184" i="16"/>
  <c r="CG114" i="16"/>
  <c r="BX169" i="16"/>
  <c r="BR115" i="16"/>
  <c r="BT129" i="16"/>
  <c r="BQ129" i="16"/>
  <c r="CN129" i="16" s="1"/>
  <c r="CK143" i="16"/>
  <c r="CG157" i="16"/>
  <c r="CG171" i="16"/>
  <c r="BX185" i="16"/>
  <c r="CD185" i="16"/>
  <c r="CD155" i="16"/>
  <c r="BU127" i="16"/>
  <c r="BS155" i="16"/>
  <c r="BY183" i="16"/>
  <c r="CG183" i="16"/>
  <c r="CF116" i="16"/>
  <c r="CL116" i="16"/>
  <c r="BR130" i="16"/>
  <c r="BQ144" i="16"/>
  <c r="BV172" i="16"/>
  <c r="CG186" i="16"/>
  <c r="BY117" i="16"/>
  <c r="BY131" i="16"/>
  <c r="BZ131" i="16"/>
  <c r="CB145" i="16"/>
  <c r="BR159" i="16"/>
  <c r="CC187" i="16"/>
  <c r="CA187" i="16"/>
  <c r="BQ141" i="16"/>
  <c r="CJ118" i="16"/>
  <c r="CA132" i="16"/>
  <c r="CE146" i="16"/>
  <c r="CD160" i="16"/>
  <c r="BU174" i="16"/>
  <c r="BY188" i="16"/>
  <c r="BV141" i="16"/>
  <c r="CC137" i="16"/>
  <c r="CL123" i="16"/>
  <c r="BT166" i="16"/>
  <c r="CH122" i="16"/>
  <c r="BY150" i="16"/>
  <c r="BR167" i="16"/>
  <c r="BZ125" i="16"/>
  <c r="CK153" i="16"/>
  <c r="CD133" i="16"/>
  <c r="CA161" i="16"/>
  <c r="BW134" i="16"/>
  <c r="BR162" i="16"/>
  <c r="CI176" i="16"/>
  <c r="CB148" i="16"/>
  <c r="CB121" i="16"/>
  <c r="BQ135" i="16"/>
  <c r="CB163" i="16"/>
  <c r="CA177" i="16"/>
  <c r="BW162" i="16"/>
  <c r="BS176" i="16"/>
  <c r="BR128" i="16"/>
  <c r="CA142" i="16"/>
  <c r="BV156" i="16"/>
  <c r="CK170" i="16"/>
  <c r="CD184" i="16"/>
  <c r="BX184" i="16"/>
  <c r="BW171" i="16"/>
  <c r="BQ115" i="16"/>
  <c r="BS129" i="16"/>
  <c r="CI129" i="16"/>
  <c r="BT143" i="16"/>
  <c r="CF157" i="16"/>
  <c r="CF171" i="16"/>
  <c r="BW185" i="16"/>
  <c r="CL185" i="16"/>
  <c r="CF155" i="16"/>
  <c r="CL155" i="16"/>
  <c r="BX183" i="16"/>
  <c r="BR183" i="16"/>
  <c r="CC116" i="16"/>
  <c r="BY116" i="16"/>
  <c r="CG144" i="16"/>
  <c r="BQ158" i="16"/>
  <c r="BU172" i="16"/>
  <c r="CF186" i="16"/>
  <c r="BU186" i="16"/>
  <c r="BZ169" i="16"/>
  <c r="BR117" i="16"/>
  <c r="BX131" i="16"/>
  <c r="CD131" i="16"/>
  <c r="BX145" i="16"/>
  <c r="CI159" i="16"/>
  <c r="BU173" i="16"/>
  <c r="BZ187" i="16"/>
  <c r="CG187" i="16"/>
  <c r="BW128" i="16"/>
  <c r="BR143" i="16"/>
  <c r="CN143" i="16" s="1"/>
  <c r="CG184" i="16"/>
  <c r="BQ118" i="16"/>
  <c r="CN118" i="16" s="1"/>
  <c r="BQ132" i="16"/>
  <c r="CI146" i="16"/>
  <c r="CK146" i="16"/>
  <c r="BZ160" i="16"/>
  <c r="CJ174" i="16"/>
  <c r="BX188" i="16"/>
  <c r="CN136" i="16"/>
  <c r="BY114" i="16"/>
  <c r="CH141" i="16"/>
  <c r="BS169" i="16"/>
  <c r="CN188" i="16" l="1"/>
  <c r="CN134" i="16"/>
  <c r="CN183" i="16"/>
  <c r="CN180" i="16"/>
  <c r="CN169" i="16"/>
  <c r="CN127" i="16"/>
  <c r="CN133" i="16"/>
  <c r="CN162" i="16"/>
  <c r="CN173" i="16"/>
  <c r="CN147" i="16"/>
  <c r="CN178" i="16"/>
  <c r="CN156" i="16"/>
  <c r="CN170" i="16"/>
  <c r="CN132" i="16"/>
  <c r="CN181" i="16"/>
  <c r="CN176" i="16"/>
  <c r="CN160" i="16"/>
  <c r="CN184" i="16"/>
  <c r="CN144" i="16"/>
  <c r="CN145" i="16"/>
  <c r="CN121" i="16"/>
  <c r="CN158" i="16"/>
  <c r="CN135" i="16"/>
  <c r="CN130" i="16"/>
  <c r="CN131" i="16"/>
  <c r="CN172" i="16"/>
  <c r="CN128" i="16"/>
  <c r="CN115" i="16"/>
  <c r="CN141" i="16"/>
  <c r="CN175" i="16"/>
  <c r="CN125" i="16"/>
  <c r="CN126" i="16"/>
  <c r="CN155" i="16"/>
  <c r="CN117" i="16"/>
  <c r="CN159" i="16"/>
  <c r="CN146" i="16"/>
  <c r="CN174" i="16"/>
  <c r="M6" i="15" l="1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M32" i="15"/>
  <c r="M33" i="15"/>
  <c r="M34" i="15"/>
  <c r="M35" i="15"/>
  <c r="M36" i="15"/>
  <c r="M37" i="15"/>
  <c r="M38" i="15"/>
  <c r="M39" i="15"/>
  <c r="M40" i="15"/>
  <c r="M41" i="15"/>
  <c r="M42" i="15"/>
  <c r="M43" i="15"/>
  <c r="M44" i="15"/>
  <c r="M45" i="15"/>
  <c r="M46" i="15"/>
  <c r="M47" i="15"/>
  <c r="M48" i="15"/>
  <c r="M49" i="15"/>
  <c r="M50" i="15"/>
  <c r="M51" i="15"/>
  <c r="M52" i="15"/>
  <c r="M53" i="15"/>
  <c r="M54" i="15"/>
  <c r="M55" i="15"/>
  <c r="M56" i="15"/>
  <c r="M57" i="15"/>
  <c r="M58" i="15"/>
  <c r="M59" i="15"/>
  <c r="M60" i="15"/>
  <c r="M61" i="15"/>
  <c r="M62" i="15"/>
  <c r="M63" i="15"/>
  <c r="M64" i="15"/>
  <c r="M65" i="15"/>
  <c r="M66" i="15"/>
  <c r="M67" i="15"/>
  <c r="M68" i="15"/>
  <c r="M69" i="15"/>
  <c r="M70" i="15"/>
  <c r="M71" i="15"/>
  <c r="M72" i="15"/>
  <c r="M73" i="15"/>
  <c r="M74" i="15"/>
  <c r="M75" i="15"/>
  <c r="M76" i="15"/>
  <c r="M77" i="15"/>
  <c r="M78" i="15"/>
  <c r="M79" i="15"/>
  <c r="M80" i="15"/>
  <c r="M81" i="15"/>
  <c r="M82" i="15"/>
  <c r="M83" i="15"/>
  <c r="M84" i="15"/>
  <c r="M85" i="15"/>
  <c r="M86" i="15"/>
  <c r="M87" i="15"/>
  <c r="M88" i="15"/>
  <c r="M89" i="15"/>
  <c r="M90" i="15"/>
  <c r="M91" i="15"/>
  <c r="M92" i="15"/>
  <c r="M93" i="15"/>
  <c r="M94" i="15"/>
  <c r="M95" i="15"/>
  <c r="M96" i="15"/>
  <c r="M97" i="15"/>
  <c r="M98" i="15"/>
  <c r="M99" i="15"/>
  <c r="M100" i="15"/>
  <c r="M101" i="15"/>
  <c r="M102" i="15"/>
  <c r="M103" i="15"/>
  <c r="M104" i="15"/>
  <c r="M105" i="15"/>
  <c r="M106" i="15"/>
  <c r="M107" i="15"/>
  <c r="M108" i="15"/>
  <c r="M109" i="15"/>
  <c r="M110" i="15"/>
  <c r="M111" i="15"/>
  <c r="M112" i="15"/>
  <c r="M113" i="15"/>
  <c r="M114" i="15"/>
  <c r="M115" i="15"/>
  <c r="M116" i="15"/>
  <c r="M117" i="15"/>
  <c r="M118" i="15"/>
  <c r="M119" i="15"/>
  <c r="M120" i="15"/>
  <c r="M121" i="15"/>
  <c r="M122" i="15"/>
  <c r="M123" i="15"/>
  <c r="M124" i="15"/>
  <c r="M125" i="15"/>
  <c r="M126" i="15"/>
  <c r="M127" i="15"/>
  <c r="M128" i="15"/>
  <c r="M129" i="15"/>
  <c r="M130" i="15"/>
  <c r="M131" i="15"/>
  <c r="M132" i="15"/>
  <c r="M133" i="15"/>
  <c r="M134" i="15"/>
  <c r="M135" i="15"/>
  <c r="M136" i="15"/>
  <c r="M137" i="15"/>
  <c r="M138" i="15"/>
  <c r="M139" i="15"/>
  <c r="M140" i="15"/>
  <c r="M141" i="15"/>
  <c r="M142" i="15"/>
  <c r="M143" i="15"/>
  <c r="M144" i="15"/>
  <c r="M145" i="15"/>
  <c r="M146" i="15"/>
  <c r="BC61" i="16"/>
  <c r="AX62" i="16"/>
  <c r="BA63" i="16"/>
  <c r="AZ64" i="16"/>
  <c r="AT66" i="16"/>
  <c r="AW67" i="16"/>
  <c r="AV68" i="16"/>
  <c r="BG69" i="16"/>
  <c r="BF70" i="16"/>
  <c r="AS71" i="16"/>
  <c r="AV72" i="16"/>
  <c r="AU73" i="16"/>
  <c r="AT74" i="16"/>
  <c r="AS75" i="16"/>
  <c r="AV76" i="16"/>
  <c r="AU77" i="16"/>
  <c r="AT78" i="16"/>
  <c r="AS79" i="16"/>
  <c r="AV80" i="16"/>
  <c r="AM61" i="16"/>
  <c r="AM62" i="16"/>
  <c r="AM63" i="16"/>
  <c r="AM64" i="16"/>
  <c r="AM65" i="16"/>
  <c r="AM66" i="16"/>
  <c r="AM67" i="16"/>
  <c r="AM68" i="16"/>
  <c r="AM69" i="16"/>
  <c r="AM70" i="16"/>
  <c r="AM71" i="16"/>
  <c r="AM72" i="16"/>
  <c r="AM73" i="16"/>
  <c r="AM74" i="16"/>
  <c r="AM75" i="16"/>
  <c r="AM76" i="16"/>
  <c r="AM77" i="16"/>
  <c r="AM78" i="16"/>
  <c r="AM79" i="16"/>
  <c r="AM80" i="16"/>
  <c r="O61" i="16"/>
  <c r="AQ61" i="16" s="1"/>
  <c r="O62" i="16"/>
  <c r="AQ62" i="16" s="1"/>
  <c r="O63" i="16"/>
  <c r="AQ63" i="16" s="1"/>
  <c r="O64" i="16"/>
  <c r="AQ64" i="16" s="1"/>
  <c r="O65" i="16"/>
  <c r="AQ65" i="16" s="1"/>
  <c r="O66" i="16"/>
  <c r="AQ66" i="16" s="1"/>
  <c r="O67" i="16"/>
  <c r="AQ67" i="16" s="1"/>
  <c r="O68" i="16"/>
  <c r="AQ68" i="16" s="1"/>
  <c r="O69" i="16"/>
  <c r="AQ69" i="16" s="1"/>
  <c r="O70" i="16"/>
  <c r="AQ70" i="16" s="1"/>
  <c r="O71" i="16"/>
  <c r="AQ71" i="16" s="1"/>
  <c r="O72" i="16"/>
  <c r="AQ72" i="16" s="1"/>
  <c r="O73" i="16"/>
  <c r="AQ73" i="16" s="1"/>
  <c r="O74" i="16"/>
  <c r="AQ74" i="16" s="1"/>
  <c r="O75" i="16"/>
  <c r="AQ75" i="16" s="1"/>
  <c r="O76" i="16"/>
  <c r="AQ76" i="16" s="1"/>
  <c r="O77" i="16"/>
  <c r="AQ77" i="16" s="1"/>
  <c r="O78" i="16"/>
  <c r="AQ78" i="16" s="1"/>
  <c r="O79" i="16"/>
  <c r="AQ79" i="16" s="1"/>
  <c r="O80" i="16"/>
  <c r="AQ80" i="16" s="1"/>
  <c r="AR75" i="16" l="1"/>
  <c r="BN80" i="16"/>
  <c r="CL80" i="16" s="1"/>
  <c r="AW80" i="16"/>
  <c r="BV80" i="16" s="1"/>
  <c r="BB79" i="16"/>
  <c r="CZ79" i="16" s="1"/>
  <c r="BG78" i="16"/>
  <c r="DE78" i="16" s="1"/>
  <c r="BN76" i="16"/>
  <c r="CL76" i="16" s="1"/>
  <c r="AW76" i="16"/>
  <c r="CU76" i="16" s="1"/>
  <c r="BB75" i="16"/>
  <c r="CZ75" i="16" s="1"/>
  <c r="BG74" i="16"/>
  <c r="CF74" i="16" s="1"/>
  <c r="BN72" i="16"/>
  <c r="CL72" i="16" s="1"/>
  <c r="AW72" i="16"/>
  <c r="CU72" i="16" s="1"/>
  <c r="BB71" i="16"/>
  <c r="CZ71" i="16" s="1"/>
  <c r="AX70" i="16"/>
  <c r="CV70" i="16" s="1"/>
  <c r="BB66" i="16"/>
  <c r="CA66" i="16" s="1"/>
  <c r="BF62" i="16"/>
  <c r="AR71" i="16"/>
  <c r="CP71" i="16" s="1"/>
  <c r="BI80" i="16"/>
  <c r="AS80" i="16"/>
  <c r="BR80" i="16" s="1"/>
  <c r="AX79" i="16"/>
  <c r="CV79" i="16" s="1"/>
  <c r="BC78" i="16"/>
  <c r="CB78" i="16" s="1"/>
  <c r="BI76" i="16"/>
  <c r="CH76" i="16" s="1"/>
  <c r="AS76" i="16"/>
  <c r="BR76" i="16" s="1"/>
  <c r="AX75" i="16"/>
  <c r="CV75" i="16" s="1"/>
  <c r="BC74" i="16"/>
  <c r="CB74" i="16" s="1"/>
  <c r="BI72" i="16"/>
  <c r="CH72" i="16" s="1"/>
  <c r="AS72" i="16"/>
  <c r="BR72" i="16" s="1"/>
  <c r="AX71" i="16"/>
  <c r="CV71" i="16" s="1"/>
  <c r="BH68" i="16"/>
  <c r="DF68" i="16" s="1"/>
  <c r="BL64" i="16"/>
  <c r="AR67" i="16"/>
  <c r="BQ67" i="16" s="1"/>
  <c r="BE80" i="16"/>
  <c r="BJ79" i="16"/>
  <c r="DH79" i="16" s="1"/>
  <c r="AT79" i="16"/>
  <c r="CR79" i="16" s="1"/>
  <c r="AY78" i="16"/>
  <c r="BX78" i="16" s="1"/>
  <c r="BE76" i="16"/>
  <c r="BJ75" i="16"/>
  <c r="DH75" i="16" s="1"/>
  <c r="AT75" i="16"/>
  <c r="CR75" i="16" s="1"/>
  <c r="AY74" i="16"/>
  <c r="CW74" i="16" s="1"/>
  <c r="BE72" i="16"/>
  <c r="DC72" i="16" s="1"/>
  <c r="BJ71" i="16"/>
  <c r="DH71" i="16" s="1"/>
  <c r="AT71" i="16"/>
  <c r="CR71" i="16" s="1"/>
  <c r="BN67" i="16"/>
  <c r="CL67" i="16" s="1"/>
  <c r="AV64" i="16"/>
  <c r="BU64" i="16" s="1"/>
  <c r="AR79" i="16"/>
  <c r="CP79" i="16" s="1"/>
  <c r="AR63" i="16"/>
  <c r="BQ63" i="16" s="1"/>
  <c r="BA80" i="16"/>
  <c r="BF79" i="16"/>
  <c r="DD79" i="16" s="1"/>
  <c r="BK78" i="16"/>
  <c r="CJ78" i="16" s="1"/>
  <c r="AU78" i="16"/>
  <c r="BT78" i="16" s="1"/>
  <c r="BA76" i="16"/>
  <c r="BZ76" i="16" s="1"/>
  <c r="BF75" i="16"/>
  <c r="DD75" i="16" s="1"/>
  <c r="BK74" i="16"/>
  <c r="CJ74" i="16" s="1"/>
  <c r="AU74" i="16"/>
  <c r="CS74" i="16" s="1"/>
  <c r="BA72" i="16"/>
  <c r="CY72" i="16" s="1"/>
  <c r="BF71" i="16"/>
  <c r="DD71" i="16" s="1"/>
  <c r="BJ70" i="16"/>
  <c r="DH70" i="16" s="1"/>
  <c r="CS73" i="16"/>
  <c r="BT73" i="16"/>
  <c r="CR78" i="16"/>
  <c r="BS78" i="16"/>
  <c r="CR74" i="16"/>
  <c r="BS74" i="16"/>
  <c r="DD70" i="16"/>
  <c r="CE70" i="16"/>
  <c r="CR66" i="16"/>
  <c r="BS66" i="16"/>
  <c r="CV62" i="16"/>
  <c r="BW62" i="16"/>
  <c r="DA61" i="16"/>
  <c r="CB61" i="16"/>
  <c r="CT80" i="16"/>
  <c r="BU80" i="16"/>
  <c r="CT76" i="16"/>
  <c r="BU76" i="16"/>
  <c r="CT72" i="16"/>
  <c r="BU72" i="16"/>
  <c r="CT68" i="16"/>
  <c r="BU68" i="16"/>
  <c r="CX64" i="16"/>
  <c r="BY64" i="16"/>
  <c r="CS77" i="16"/>
  <c r="BT77" i="16"/>
  <c r="DE69" i="16"/>
  <c r="CF69" i="16"/>
  <c r="CQ79" i="16"/>
  <c r="BR79" i="16"/>
  <c r="CQ75" i="16"/>
  <c r="BR75" i="16"/>
  <c r="CQ71" i="16"/>
  <c r="BR71" i="16"/>
  <c r="AT65" i="16"/>
  <c r="AX65" i="16"/>
  <c r="BB65" i="16"/>
  <c r="BF65" i="16"/>
  <c r="BJ65" i="16"/>
  <c r="AV65" i="16"/>
  <c r="AZ65" i="16"/>
  <c r="BD65" i="16"/>
  <c r="BH65" i="16"/>
  <c r="BL65" i="16"/>
  <c r="AS65" i="16"/>
  <c r="AW65" i="16"/>
  <c r="BA65" i="16"/>
  <c r="BE65" i="16"/>
  <c r="BI65" i="16"/>
  <c r="BN65" i="16"/>
  <c r="CP67" i="16"/>
  <c r="DG80" i="16"/>
  <c r="CH80" i="16"/>
  <c r="BD77" i="16"/>
  <c r="BT74" i="16"/>
  <c r="BD73" i="16"/>
  <c r="BG65" i="16"/>
  <c r="CY63" i="16"/>
  <c r="BZ63" i="16"/>
  <c r="BK61" i="16"/>
  <c r="AV67" i="16"/>
  <c r="AZ67" i="16"/>
  <c r="BD67" i="16"/>
  <c r="BH67" i="16"/>
  <c r="BL67" i="16"/>
  <c r="AT67" i="16"/>
  <c r="AX67" i="16"/>
  <c r="BB67" i="16"/>
  <c r="BF67" i="16"/>
  <c r="BJ67" i="16"/>
  <c r="AU67" i="16"/>
  <c r="AY67" i="16"/>
  <c r="BC67" i="16"/>
  <c r="BG67" i="16"/>
  <c r="BK67" i="16"/>
  <c r="AV63" i="16"/>
  <c r="AZ63" i="16"/>
  <c r="BD63" i="16"/>
  <c r="BH63" i="16"/>
  <c r="BL63" i="16"/>
  <c r="AT63" i="16"/>
  <c r="AX63" i="16"/>
  <c r="BB63" i="16"/>
  <c r="BF63" i="16"/>
  <c r="BJ63" i="16"/>
  <c r="AU63" i="16"/>
  <c r="AY63" i="16"/>
  <c r="BC63" i="16"/>
  <c r="BG63" i="16"/>
  <c r="BK63" i="16"/>
  <c r="AR77" i="16"/>
  <c r="AR73" i="16"/>
  <c r="AR69" i="16"/>
  <c r="AR65" i="16"/>
  <c r="AR61" i="16"/>
  <c r="BK80" i="16"/>
  <c r="BG80" i="16"/>
  <c r="BC80" i="16"/>
  <c r="AY80" i="16"/>
  <c r="AU80" i="16"/>
  <c r="BL79" i="16"/>
  <c r="BH79" i="16"/>
  <c r="BD79" i="16"/>
  <c r="AZ79" i="16"/>
  <c r="AV79" i="16"/>
  <c r="BN78" i="16"/>
  <c r="BI78" i="16"/>
  <c r="BE78" i="16"/>
  <c r="BA78" i="16"/>
  <c r="AW78" i="16"/>
  <c r="AS78" i="16"/>
  <c r="BJ77" i="16"/>
  <c r="BF77" i="16"/>
  <c r="BB77" i="16"/>
  <c r="AX77" i="16"/>
  <c r="AT77" i="16"/>
  <c r="BK76" i="16"/>
  <c r="BG76" i="16"/>
  <c r="BC76" i="16"/>
  <c r="AY76" i="16"/>
  <c r="AU76" i="16"/>
  <c r="BL75" i="16"/>
  <c r="BH75" i="16"/>
  <c r="BD75" i="16"/>
  <c r="AZ75" i="16"/>
  <c r="AV75" i="16"/>
  <c r="BN74" i="16"/>
  <c r="BI74" i="16"/>
  <c r="BE74" i="16"/>
  <c r="BA74" i="16"/>
  <c r="AW74" i="16"/>
  <c r="AS74" i="16"/>
  <c r="BJ73" i="16"/>
  <c r="BF73" i="16"/>
  <c r="BB73" i="16"/>
  <c r="AX73" i="16"/>
  <c r="AT73" i="16"/>
  <c r="BK72" i="16"/>
  <c r="BG72" i="16"/>
  <c r="BC72" i="16"/>
  <c r="AY72" i="16"/>
  <c r="AU72" i="16"/>
  <c r="BL71" i="16"/>
  <c r="BH71" i="16"/>
  <c r="BD71" i="16"/>
  <c r="AZ71" i="16"/>
  <c r="AV71" i="16"/>
  <c r="BN70" i="16"/>
  <c r="BK69" i="16"/>
  <c r="AU69" i="16"/>
  <c r="AZ68" i="16"/>
  <c r="BE67" i="16"/>
  <c r="BJ66" i="16"/>
  <c r="AY65" i="16"/>
  <c r="BD64" i="16"/>
  <c r="BI63" i="16"/>
  <c r="AS63" i="16"/>
  <c r="AT61" i="16"/>
  <c r="AX61" i="16"/>
  <c r="BB61" i="16"/>
  <c r="BF61" i="16"/>
  <c r="BJ61" i="16"/>
  <c r="AV61" i="16"/>
  <c r="AZ61" i="16"/>
  <c r="BD61" i="16"/>
  <c r="BH61" i="16"/>
  <c r="BL61" i="16"/>
  <c r="AS61" i="16"/>
  <c r="AW61" i="16"/>
  <c r="BA61" i="16"/>
  <c r="BE61" i="16"/>
  <c r="BI61" i="16"/>
  <c r="BN61" i="16"/>
  <c r="CP75" i="16"/>
  <c r="BQ75" i="16"/>
  <c r="CD80" i="16"/>
  <c r="DC80" i="16"/>
  <c r="CQ80" i="16"/>
  <c r="BL77" i="16"/>
  <c r="AZ77" i="16"/>
  <c r="BH73" i="16"/>
  <c r="AZ73" i="16"/>
  <c r="CT64" i="16"/>
  <c r="AU61" i="16"/>
  <c r="AS70" i="16"/>
  <c r="AW70" i="16"/>
  <c r="BA70" i="16"/>
  <c r="BE70" i="16"/>
  <c r="AU70" i="16"/>
  <c r="AY70" i="16"/>
  <c r="BC70" i="16"/>
  <c r="BG70" i="16"/>
  <c r="BK70" i="16"/>
  <c r="AV70" i="16"/>
  <c r="AZ70" i="16"/>
  <c r="BD70" i="16"/>
  <c r="BH70" i="16"/>
  <c r="AS66" i="16"/>
  <c r="AW66" i="16"/>
  <c r="BA66" i="16"/>
  <c r="BE66" i="16"/>
  <c r="BI66" i="16"/>
  <c r="BN66" i="16"/>
  <c r="AU66" i="16"/>
  <c r="AY66" i="16"/>
  <c r="BC66" i="16"/>
  <c r="BG66" i="16"/>
  <c r="BK66" i="16"/>
  <c r="AV66" i="16"/>
  <c r="AZ66" i="16"/>
  <c r="BD66" i="16"/>
  <c r="BH66" i="16"/>
  <c r="BL66" i="16"/>
  <c r="AS62" i="16"/>
  <c r="AW62" i="16"/>
  <c r="BA62" i="16"/>
  <c r="BE62" i="16"/>
  <c r="BI62" i="16"/>
  <c r="BN62" i="16"/>
  <c r="AU62" i="16"/>
  <c r="AY62" i="16"/>
  <c r="BC62" i="16"/>
  <c r="BG62" i="16"/>
  <c r="BK62" i="16"/>
  <c r="AV62" i="16"/>
  <c r="AZ62" i="16"/>
  <c r="BD62" i="16"/>
  <c r="BH62" i="16"/>
  <c r="BL62" i="16"/>
  <c r="AR80" i="16"/>
  <c r="AR76" i="16"/>
  <c r="AR72" i="16"/>
  <c r="AR68" i="16"/>
  <c r="AR64" i="16"/>
  <c r="BJ80" i="16"/>
  <c r="BF80" i="16"/>
  <c r="BB80" i="16"/>
  <c r="AX80" i="16"/>
  <c r="AT80" i="16"/>
  <c r="BK79" i="16"/>
  <c r="BG79" i="16"/>
  <c r="BC79" i="16"/>
  <c r="AY79" i="16"/>
  <c r="AU79" i="16"/>
  <c r="BL78" i="16"/>
  <c r="BH78" i="16"/>
  <c r="BD78" i="16"/>
  <c r="AZ78" i="16"/>
  <c r="AV78" i="16"/>
  <c r="BN77" i="16"/>
  <c r="BI77" i="16"/>
  <c r="BE77" i="16"/>
  <c r="BA77" i="16"/>
  <c r="AW77" i="16"/>
  <c r="AS77" i="16"/>
  <c r="BJ76" i="16"/>
  <c r="BF76" i="16"/>
  <c r="BB76" i="16"/>
  <c r="AX76" i="16"/>
  <c r="AT76" i="16"/>
  <c r="BK75" i="16"/>
  <c r="BG75" i="16"/>
  <c r="BC75" i="16"/>
  <c r="AY75" i="16"/>
  <c r="AU75" i="16"/>
  <c r="BL74" i="16"/>
  <c r="BH74" i="16"/>
  <c r="BD74" i="16"/>
  <c r="AZ74" i="16"/>
  <c r="AV74" i="16"/>
  <c r="BN73" i="16"/>
  <c r="BI73" i="16"/>
  <c r="BE73" i="16"/>
  <c r="BA73" i="16"/>
  <c r="AW73" i="16"/>
  <c r="AS73" i="16"/>
  <c r="BJ72" i="16"/>
  <c r="BF72" i="16"/>
  <c r="BB72" i="16"/>
  <c r="AX72" i="16"/>
  <c r="AT72" i="16"/>
  <c r="BK71" i="16"/>
  <c r="BG71" i="16"/>
  <c r="BC71" i="16"/>
  <c r="AY71" i="16"/>
  <c r="AU71" i="16"/>
  <c r="BL70" i="16"/>
  <c r="BB70" i="16"/>
  <c r="BL68" i="16"/>
  <c r="BA67" i="16"/>
  <c r="BF66" i="16"/>
  <c r="BK65" i="16"/>
  <c r="AU65" i="16"/>
  <c r="BE63" i="16"/>
  <c r="BJ62" i="16"/>
  <c r="AT62" i="16"/>
  <c r="AY61" i="16"/>
  <c r="AT69" i="16"/>
  <c r="AX69" i="16"/>
  <c r="BB69" i="16"/>
  <c r="BF69" i="16"/>
  <c r="BJ69" i="16"/>
  <c r="AV69" i="16"/>
  <c r="AZ69" i="16"/>
  <c r="BD69" i="16"/>
  <c r="BH69" i="16"/>
  <c r="BL69" i="16"/>
  <c r="AS69" i="16"/>
  <c r="AW69" i="16"/>
  <c r="BA69" i="16"/>
  <c r="BE69" i="16"/>
  <c r="BI69" i="16"/>
  <c r="BN69" i="16"/>
  <c r="CY80" i="16"/>
  <c r="BZ80" i="16"/>
  <c r="CW78" i="16"/>
  <c r="BH77" i="16"/>
  <c r="AV77" i="16"/>
  <c r="DC76" i="16"/>
  <c r="CD76" i="16"/>
  <c r="BL73" i="16"/>
  <c r="AV73" i="16"/>
  <c r="BC69" i="16"/>
  <c r="CU67" i="16"/>
  <c r="BV67" i="16"/>
  <c r="DJ64" i="16"/>
  <c r="CK64" i="16"/>
  <c r="DD62" i="16"/>
  <c r="CE62" i="16"/>
  <c r="DE74" i="16"/>
  <c r="AU68" i="16"/>
  <c r="AY68" i="16"/>
  <c r="BC68" i="16"/>
  <c r="BG68" i="16"/>
  <c r="BK68" i="16"/>
  <c r="AS68" i="16"/>
  <c r="AW68" i="16"/>
  <c r="BA68" i="16"/>
  <c r="BE68" i="16"/>
  <c r="BI68" i="16"/>
  <c r="BN68" i="16"/>
  <c r="AT68" i="16"/>
  <c r="AX68" i="16"/>
  <c r="BB68" i="16"/>
  <c r="BF68" i="16"/>
  <c r="BJ68" i="16"/>
  <c r="AU64" i="16"/>
  <c r="AY64" i="16"/>
  <c r="BC64" i="16"/>
  <c r="BG64" i="16"/>
  <c r="BK64" i="16"/>
  <c r="AS64" i="16"/>
  <c r="AW64" i="16"/>
  <c r="BA64" i="16"/>
  <c r="BE64" i="16"/>
  <c r="BI64" i="16"/>
  <c r="BN64" i="16"/>
  <c r="AT64" i="16"/>
  <c r="AX64" i="16"/>
  <c r="BB64" i="16"/>
  <c r="BF64" i="16"/>
  <c r="BJ64" i="16"/>
  <c r="AR78" i="16"/>
  <c r="AR74" i="16"/>
  <c r="AR70" i="16"/>
  <c r="AR66" i="16"/>
  <c r="AR62" i="16"/>
  <c r="BL80" i="16"/>
  <c r="BH80" i="16"/>
  <c r="BD80" i="16"/>
  <c r="AZ80" i="16"/>
  <c r="BN79" i="16"/>
  <c r="BI79" i="16"/>
  <c r="BE79" i="16"/>
  <c r="BA79" i="16"/>
  <c r="AW79" i="16"/>
  <c r="BJ78" i="16"/>
  <c r="BF78" i="16"/>
  <c r="BB78" i="16"/>
  <c r="AX78" i="16"/>
  <c r="BK77" i="16"/>
  <c r="BG77" i="16"/>
  <c r="BC77" i="16"/>
  <c r="AY77" i="16"/>
  <c r="BL76" i="16"/>
  <c r="BH76" i="16"/>
  <c r="BD76" i="16"/>
  <c r="AZ76" i="16"/>
  <c r="BN75" i="16"/>
  <c r="BI75" i="16"/>
  <c r="BE75" i="16"/>
  <c r="BA75" i="16"/>
  <c r="AW75" i="16"/>
  <c r="BJ74" i="16"/>
  <c r="BF74" i="16"/>
  <c r="BB74" i="16"/>
  <c r="AX74" i="16"/>
  <c r="BK73" i="16"/>
  <c r="BG73" i="16"/>
  <c r="BC73" i="16"/>
  <c r="AY73" i="16"/>
  <c r="BL72" i="16"/>
  <c r="BH72" i="16"/>
  <c r="BD72" i="16"/>
  <c r="AZ72" i="16"/>
  <c r="BN71" i="16"/>
  <c r="BI71" i="16"/>
  <c r="BE71" i="16"/>
  <c r="BA71" i="16"/>
  <c r="AW71" i="16"/>
  <c r="BI70" i="16"/>
  <c r="AT70" i="16"/>
  <c r="AY69" i="16"/>
  <c r="BD68" i="16"/>
  <c r="BI67" i="16"/>
  <c r="AS67" i="16"/>
  <c r="AX66" i="16"/>
  <c r="BC65" i="16"/>
  <c r="BH64" i="16"/>
  <c r="BN63" i="16"/>
  <c r="AW63" i="16"/>
  <c r="BB62" i="16"/>
  <c r="BG61" i="16"/>
  <c r="K61" i="16"/>
  <c r="K62" i="16"/>
  <c r="K63" i="16"/>
  <c r="K64" i="16"/>
  <c r="K65" i="16"/>
  <c r="K66" i="16"/>
  <c r="K67" i="16"/>
  <c r="K68" i="16"/>
  <c r="K69" i="16"/>
  <c r="K70" i="16"/>
  <c r="K71" i="16"/>
  <c r="K72" i="16"/>
  <c r="K73" i="16"/>
  <c r="K74" i="16"/>
  <c r="K75" i="16"/>
  <c r="K76" i="16"/>
  <c r="K77" i="16"/>
  <c r="K78" i="16"/>
  <c r="K79" i="16"/>
  <c r="K80" i="16"/>
  <c r="J61" i="16"/>
  <c r="J62" i="16"/>
  <c r="J63" i="16"/>
  <c r="J64" i="16"/>
  <c r="J65" i="16"/>
  <c r="J66" i="16"/>
  <c r="J67" i="16"/>
  <c r="J68" i="16"/>
  <c r="J69" i="16"/>
  <c r="J70" i="16"/>
  <c r="J71" i="16"/>
  <c r="J72" i="16"/>
  <c r="J73" i="16"/>
  <c r="J74" i="16"/>
  <c r="J75" i="16"/>
  <c r="J76" i="16"/>
  <c r="J77" i="16"/>
  <c r="J78" i="16"/>
  <c r="J79" i="16"/>
  <c r="J80" i="16"/>
  <c r="M5" i="15"/>
  <c r="J16" i="16"/>
  <c r="AM81" i="16"/>
  <c r="AM82" i="16"/>
  <c r="AM83" i="16"/>
  <c r="AM84" i="16"/>
  <c r="AM85" i="16"/>
  <c r="AM86" i="16"/>
  <c r="O6" i="16"/>
  <c r="AQ6" i="16" s="1"/>
  <c r="O7" i="16"/>
  <c r="AQ7" i="16" s="1"/>
  <c r="O8" i="16"/>
  <c r="AQ8" i="16" s="1"/>
  <c r="O9" i="16"/>
  <c r="AQ9" i="16" s="1"/>
  <c r="O10" i="16"/>
  <c r="AQ10" i="16" s="1"/>
  <c r="O11" i="16"/>
  <c r="AQ11" i="16" s="1"/>
  <c r="O12" i="16"/>
  <c r="AQ12" i="16" s="1"/>
  <c r="O13" i="16"/>
  <c r="AQ13" i="16" s="1"/>
  <c r="O14" i="16"/>
  <c r="AQ14" i="16" s="1"/>
  <c r="O15" i="16"/>
  <c r="AQ15" i="16" s="1"/>
  <c r="O16" i="16"/>
  <c r="AQ16" i="16" s="1"/>
  <c r="O17" i="16"/>
  <c r="AQ17" i="16" s="1"/>
  <c r="O18" i="16"/>
  <c r="AQ18" i="16" s="1"/>
  <c r="O19" i="16"/>
  <c r="AQ19" i="16" s="1"/>
  <c r="O20" i="16"/>
  <c r="AQ20" i="16" s="1"/>
  <c r="O21" i="16"/>
  <c r="AQ21" i="16" s="1"/>
  <c r="O22" i="16"/>
  <c r="AQ22" i="16" s="1"/>
  <c r="O23" i="16"/>
  <c r="AQ23" i="16" s="1"/>
  <c r="O24" i="16"/>
  <c r="AQ24" i="16" s="1"/>
  <c r="O25" i="16"/>
  <c r="AQ25" i="16" s="1"/>
  <c r="O26" i="16"/>
  <c r="AQ26" i="16" s="1"/>
  <c r="O27" i="16"/>
  <c r="AQ27" i="16" s="1"/>
  <c r="O28" i="16"/>
  <c r="AQ28" i="16" s="1"/>
  <c r="O29" i="16"/>
  <c r="AQ29" i="16" s="1"/>
  <c r="O30" i="16"/>
  <c r="AQ30" i="16" s="1"/>
  <c r="O31" i="16"/>
  <c r="AQ31" i="16" s="1"/>
  <c r="O32" i="16"/>
  <c r="AQ32" i="16" s="1"/>
  <c r="O33" i="16"/>
  <c r="AQ33" i="16" s="1"/>
  <c r="O34" i="16"/>
  <c r="AQ34" i="16" s="1"/>
  <c r="O35" i="16"/>
  <c r="AQ35" i="16" s="1"/>
  <c r="O36" i="16"/>
  <c r="AQ36" i="16" s="1"/>
  <c r="O37" i="16"/>
  <c r="AQ37" i="16" s="1"/>
  <c r="O38" i="16"/>
  <c r="AQ38" i="16" s="1"/>
  <c r="O39" i="16"/>
  <c r="AQ39" i="16" s="1"/>
  <c r="O40" i="16"/>
  <c r="AQ40" i="16" s="1"/>
  <c r="O41" i="16"/>
  <c r="AQ41" i="16" s="1"/>
  <c r="O42" i="16"/>
  <c r="AQ42" i="16" s="1"/>
  <c r="O43" i="16"/>
  <c r="AQ43" i="16" s="1"/>
  <c r="O44" i="16"/>
  <c r="AQ44" i="16" s="1"/>
  <c r="O45" i="16"/>
  <c r="AQ45" i="16" s="1"/>
  <c r="O46" i="16"/>
  <c r="AQ46" i="16" s="1"/>
  <c r="O47" i="16"/>
  <c r="AQ47" i="16" s="1"/>
  <c r="O48" i="16"/>
  <c r="AQ48" i="16" s="1"/>
  <c r="O49" i="16"/>
  <c r="AQ49" i="16" s="1"/>
  <c r="O50" i="16"/>
  <c r="AQ50" i="16" s="1"/>
  <c r="O51" i="16"/>
  <c r="AQ51" i="16" s="1"/>
  <c r="O52" i="16"/>
  <c r="AQ52" i="16" s="1"/>
  <c r="O53" i="16"/>
  <c r="AQ53" i="16" s="1"/>
  <c r="O54" i="16"/>
  <c r="AQ54" i="16" s="1"/>
  <c r="O55" i="16"/>
  <c r="AQ55" i="16" s="1"/>
  <c r="O56" i="16"/>
  <c r="AQ56" i="16" s="1"/>
  <c r="O57" i="16"/>
  <c r="AQ57" i="16" s="1"/>
  <c r="O58" i="16"/>
  <c r="AQ58" i="16" s="1"/>
  <c r="O59" i="16"/>
  <c r="AQ59" i="16" s="1"/>
  <c r="O60" i="16"/>
  <c r="AQ60" i="16" s="1"/>
  <c r="O81" i="16"/>
  <c r="AQ81" i="16" s="1"/>
  <c r="O82" i="16"/>
  <c r="AQ82" i="16" s="1"/>
  <c r="O83" i="16"/>
  <c r="AQ83" i="16" s="1"/>
  <c r="O84" i="16"/>
  <c r="AQ84" i="16" s="1"/>
  <c r="O85" i="16"/>
  <c r="AQ85" i="16" s="1"/>
  <c r="O86" i="16"/>
  <c r="AQ86" i="16" s="1"/>
  <c r="O5" i="16"/>
  <c r="AQ5" i="16" s="1"/>
  <c r="K81" i="16"/>
  <c r="K82" i="16"/>
  <c r="K83" i="16"/>
  <c r="K84" i="16"/>
  <c r="K85" i="16"/>
  <c r="K86" i="16"/>
  <c r="J81" i="16"/>
  <c r="J82" i="16"/>
  <c r="J83" i="16"/>
  <c r="J84" i="16"/>
  <c r="J85" i="16"/>
  <c r="J86" i="16"/>
  <c r="G2" i="16"/>
  <c r="K6" i="16"/>
  <c r="K7" i="16"/>
  <c r="K8" i="16"/>
  <c r="K9" i="16"/>
  <c r="K10" i="16"/>
  <c r="K11" i="16"/>
  <c r="K12" i="16"/>
  <c r="K13" i="16"/>
  <c r="K14" i="16"/>
  <c r="K15" i="16"/>
  <c r="K16" i="16"/>
  <c r="K17" i="16"/>
  <c r="K18" i="16"/>
  <c r="K19" i="16"/>
  <c r="K20" i="16"/>
  <c r="K21" i="16"/>
  <c r="K22" i="16"/>
  <c r="K23" i="16"/>
  <c r="K24" i="16"/>
  <c r="K25" i="16"/>
  <c r="K26" i="16"/>
  <c r="K27" i="16"/>
  <c r="K28" i="16"/>
  <c r="K29" i="16"/>
  <c r="K30" i="16"/>
  <c r="K31" i="16"/>
  <c r="K32" i="16"/>
  <c r="K33" i="16"/>
  <c r="K34" i="16"/>
  <c r="K35" i="16"/>
  <c r="K36" i="16"/>
  <c r="K37" i="16"/>
  <c r="K38" i="16"/>
  <c r="K39" i="16"/>
  <c r="K40" i="16"/>
  <c r="K41" i="16"/>
  <c r="K42" i="16"/>
  <c r="K43" i="16"/>
  <c r="K44" i="16"/>
  <c r="K45" i="16"/>
  <c r="K46" i="16"/>
  <c r="K47" i="16"/>
  <c r="K48" i="16"/>
  <c r="K49" i="16"/>
  <c r="K50" i="16"/>
  <c r="K51" i="16"/>
  <c r="K52" i="16"/>
  <c r="K53" i="16"/>
  <c r="K54" i="16"/>
  <c r="K55" i="16"/>
  <c r="K56" i="16"/>
  <c r="K57" i="16"/>
  <c r="K58" i="16"/>
  <c r="K59" i="16"/>
  <c r="K60" i="16"/>
  <c r="J6" i="16"/>
  <c r="J7" i="16"/>
  <c r="J8" i="16"/>
  <c r="J9" i="16"/>
  <c r="J10" i="16"/>
  <c r="J11" i="16"/>
  <c r="J12" i="16"/>
  <c r="J13" i="16"/>
  <c r="J14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32" i="16"/>
  <c r="J33" i="16"/>
  <c r="J34" i="16"/>
  <c r="J35" i="16"/>
  <c r="J36" i="16"/>
  <c r="J37" i="16"/>
  <c r="J38" i="16"/>
  <c r="J39" i="16"/>
  <c r="J40" i="16"/>
  <c r="J41" i="16"/>
  <c r="J42" i="16"/>
  <c r="J43" i="16"/>
  <c r="J44" i="16"/>
  <c r="J45" i="16"/>
  <c r="J46" i="16"/>
  <c r="J47" i="16"/>
  <c r="J48" i="16"/>
  <c r="J49" i="16"/>
  <c r="J50" i="16"/>
  <c r="J51" i="16"/>
  <c r="J52" i="16"/>
  <c r="J53" i="16"/>
  <c r="J54" i="16"/>
  <c r="J55" i="16"/>
  <c r="J56" i="16"/>
  <c r="J57" i="16"/>
  <c r="J58" i="16"/>
  <c r="J59" i="16"/>
  <c r="J60" i="16"/>
  <c r="C2" i="16"/>
  <c r="CQ86" i="16"/>
  <c r="CR86" i="16"/>
  <c r="CS86" i="16"/>
  <c r="CT86" i="16"/>
  <c r="CU86" i="16"/>
  <c r="CV86" i="16"/>
  <c r="CW86" i="16"/>
  <c r="CX86" i="16"/>
  <c r="CY86" i="16"/>
  <c r="CZ86" i="16"/>
  <c r="DA86" i="16"/>
  <c r="DB86" i="16"/>
  <c r="DD86" i="16"/>
  <c r="DE86" i="16"/>
  <c r="DF86" i="16"/>
  <c r="DG86" i="16"/>
  <c r="DH86" i="16"/>
  <c r="DI86" i="16"/>
  <c r="DJ86" i="16"/>
  <c r="DK86" i="16"/>
  <c r="CP87" i="16"/>
  <c r="CQ87" i="16"/>
  <c r="CR87" i="16"/>
  <c r="CS87" i="16"/>
  <c r="CT87" i="16"/>
  <c r="CU87" i="16"/>
  <c r="CV87" i="16"/>
  <c r="CW87" i="16"/>
  <c r="CX87" i="16"/>
  <c r="CY87" i="16"/>
  <c r="CZ87" i="16"/>
  <c r="DA87" i="16"/>
  <c r="DB87" i="16"/>
  <c r="DC87" i="16"/>
  <c r="DD87" i="16"/>
  <c r="DE87" i="16"/>
  <c r="DF87" i="16"/>
  <c r="DG87" i="16"/>
  <c r="DH87" i="16"/>
  <c r="DI87" i="16"/>
  <c r="DJ87" i="16"/>
  <c r="DK87" i="16"/>
  <c r="CP88" i="16"/>
  <c r="CQ88" i="16"/>
  <c r="CR88" i="16"/>
  <c r="CS88" i="16"/>
  <c r="CT88" i="16"/>
  <c r="CU88" i="16"/>
  <c r="CV88" i="16"/>
  <c r="CW88" i="16"/>
  <c r="CX88" i="16"/>
  <c r="CY88" i="16"/>
  <c r="CZ88" i="16"/>
  <c r="DA88" i="16"/>
  <c r="DB88" i="16"/>
  <c r="DC88" i="16"/>
  <c r="DD88" i="16"/>
  <c r="DE88" i="16"/>
  <c r="DF88" i="16"/>
  <c r="DG88" i="16"/>
  <c r="DH88" i="16"/>
  <c r="DI88" i="16"/>
  <c r="DJ88" i="16"/>
  <c r="DK88" i="16"/>
  <c r="CP89" i="16"/>
  <c r="CQ89" i="16"/>
  <c r="CR89" i="16"/>
  <c r="CS89" i="16"/>
  <c r="CT89" i="16"/>
  <c r="CU89" i="16"/>
  <c r="CV89" i="16"/>
  <c r="CW89" i="16"/>
  <c r="CX89" i="16"/>
  <c r="CY89" i="16"/>
  <c r="CZ89" i="16"/>
  <c r="DA89" i="16"/>
  <c r="DB89" i="16"/>
  <c r="DC89" i="16"/>
  <c r="DD89" i="16"/>
  <c r="DE89" i="16"/>
  <c r="DF89" i="16"/>
  <c r="DG89" i="16"/>
  <c r="DH89" i="16"/>
  <c r="DI89" i="16"/>
  <c r="DJ89" i="16"/>
  <c r="DK89" i="16"/>
  <c r="CP90" i="16"/>
  <c r="CQ90" i="16"/>
  <c r="CR90" i="16"/>
  <c r="CS90" i="16"/>
  <c r="CT90" i="16"/>
  <c r="CU90" i="16"/>
  <c r="CV90" i="16"/>
  <c r="CW90" i="16"/>
  <c r="CX90" i="16"/>
  <c r="CY90" i="16"/>
  <c r="CZ90" i="16"/>
  <c r="DA90" i="16"/>
  <c r="DB90" i="16"/>
  <c r="DC90" i="16"/>
  <c r="DD90" i="16"/>
  <c r="DE90" i="16"/>
  <c r="DF90" i="16"/>
  <c r="DG90" i="16"/>
  <c r="DH90" i="16"/>
  <c r="DI90" i="16"/>
  <c r="DJ90" i="16"/>
  <c r="DK90" i="16"/>
  <c r="CP91" i="16"/>
  <c r="CQ91" i="16"/>
  <c r="CR91" i="16"/>
  <c r="CS91" i="16"/>
  <c r="CT91" i="16"/>
  <c r="CU91" i="16"/>
  <c r="CV91" i="16"/>
  <c r="CW91" i="16"/>
  <c r="CX91" i="16"/>
  <c r="CY91" i="16"/>
  <c r="CZ91" i="16"/>
  <c r="DA91" i="16"/>
  <c r="DB91" i="16"/>
  <c r="DC91" i="16"/>
  <c r="DD91" i="16"/>
  <c r="DE91" i="16"/>
  <c r="DF91" i="16"/>
  <c r="DG91" i="16"/>
  <c r="DH91" i="16"/>
  <c r="DI91" i="16"/>
  <c r="DJ91" i="16"/>
  <c r="DK91" i="16"/>
  <c r="CP92" i="16"/>
  <c r="CQ92" i="16"/>
  <c r="CR92" i="16"/>
  <c r="CS92" i="16"/>
  <c r="CT92" i="16"/>
  <c r="CU92" i="16"/>
  <c r="CV92" i="16"/>
  <c r="CW92" i="16"/>
  <c r="CX92" i="16"/>
  <c r="CY92" i="16"/>
  <c r="CZ92" i="16"/>
  <c r="DA92" i="16"/>
  <c r="DB92" i="16"/>
  <c r="DC92" i="16"/>
  <c r="DD92" i="16"/>
  <c r="DE92" i="16"/>
  <c r="DF92" i="16"/>
  <c r="DG92" i="16"/>
  <c r="DH92" i="16"/>
  <c r="DI92" i="16"/>
  <c r="DJ92" i="16"/>
  <c r="DK92" i="16"/>
  <c r="CP93" i="16"/>
  <c r="CQ93" i="16"/>
  <c r="CR93" i="16"/>
  <c r="CS93" i="16"/>
  <c r="CT93" i="16"/>
  <c r="CU93" i="16"/>
  <c r="CV93" i="16"/>
  <c r="CW93" i="16"/>
  <c r="CX93" i="16"/>
  <c r="CY93" i="16"/>
  <c r="CZ93" i="16"/>
  <c r="DA93" i="16"/>
  <c r="DB93" i="16"/>
  <c r="DC93" i="16"/>
  <c r="DD93" i="16"/>
  <c r="DE93" i="16"/>
  <c r="DF93" i="16"/>
  <c r="DG93" i="16"/>
  <c r="DH93" i="16"/>
  <c r="DI93" i="16"/>
  <c r="DJ93" i="16"/>
  <c r="DK93" i="16"/>
  <c r="CP94" i="16"/>
  <c r="CQ94" i="16"/>
  <c r="CR94" i="16"/>
  <c r="CS94" i="16"/>
  <c r="CT94" i="16"/>
  <c r="CU94" i="16"/>
  <c r="CV94" i="16"/>
  <c r="CW94" i="16"/>
  <c r="CX94" i="16"/>
  <c r="CY94" i="16"/>
  <c r="CZ94" i="16"/>
  <c r="DA94" i="16"/>
  <c r="DB94" i="16"/>
  <c r="DC94" i="16"/>
  <c r="DD94" i="16"/>
  <c r="DE94" i="16"/>
  <c r="DF94" i="16"/>
  <c r="DG94" i="16"/>
  <c r="DH94" i="16"/>
  <c r="DI94" i="16"/>
  <c r="DJ94" i="16"/>
  <c r="DK94" i="16"/>
  <c r="CP95" i="16"/>
  <c r="CQ95" i="16"/>
  <c r="CR95" i="16"/>
  <c r="CS95" i="16"/>
  <c r="CT95" i="16"/>
  <c r="CU95" i="16"/>
  <c r="CV95" i="16"/>
  <c r="CW95" i="16"/>
  <c r="CX95" i="16"/>
  <c r="CY95" i="16"/>
  <c r="CZ95" i="16"/>
  <c r="DA95" i="16"/>
  <c r="DB95" i="16"/>
  <c r="DC95" i="16"/>
  <c r="DD95" i="16"/>
  <c r="DE95" i="16"/>
  <c r="DF95" i="16"/>
  <c r="DG95" i="16"/>
  <c r="DH95" i="16"/>
  <c r="DI95" i="16"/>
  <c r="DJ95" i="16"/>
  <c r="DK95" i="16"/>
  <c r="CP96" i="16"/>
  <c r="CQ96" i="16"/>
  <c r="CR96" i="16"/>
  <c r="CS96" i="16"/>
  <c r="CT96" i="16"/>
  <c r="CU96" i="16"/>
  <c r="CV96" i="16"/>
  <c r="CW96" i="16"/>
  <c r="CX96" i="16"/>
  <c r="CY96" i="16"/>
  <c r="CZ96" i="16"/>
  <c r="DA96" i="16"/>
  <c r="DB96" i="16"/>
  <c r="DC96" i="16"/>
  <c r="DD96" i="16"/>
  <c r="DE96" i="16"/>
  <c r="DF96" i="16"/>
  <c r="DG96" i="16"/>
  <c r="DH96" i="16"/>
  <c r="DI96" i="16"/>
  <c r="DJ96" i="16"/>
  <c r="DK96" i="16"/>
  <c r="CP97" i="16"/>
  <c r="CQ97" i="16"/>
  <c r="CR97" i="16"/>
  <c r="CS97" i="16"/>
  <c r="CT97" i="16"/>
  <c r="CU97" i="16"/>
  <c r="CV97" i="16"/>
  <c r="CW97" i="16"/>
  <c r="CX97" i="16"/>
  <c r="CY97" i="16"/>
  <c r="CZ97" i="16"/>
  <c r="DA97" i="16"/>
  <c r="DB97" i="16"/>
  <c r="DC97" i="16"/>
  <c r="DD97" i="16"/>
  <c r="DE97" i="16"/>
  <c r="DF97" i="16"/>
  <c r="DG97" i="16"/>
  <c r="DH97" i="16"/>
  <c r="DI97" i="16"/>
  <c r="DJ97" i="16"/>
  <c r="DK97" i="16"/>
  <c r="CP98" i="16"/>
  <c r="CQ98" i="16"/>
  <c r="CR98" i="16"/>
  <c r="CS98" i="16"/>
  <c r="CT98" i="16"/>
  <c r="CU98" i="16"/>
  <c r="CV98" i="16"/>
  <c r="CW98" i="16"/>
  <c r="CX98" i="16"/>
  <c r="CY98" i="16"/>
  <c r="CZ98" i="16"/>
  <c r="DA98" i="16"/>
  <c r="DB98" i="16"/>
  <c r="DC98" i="16"/>
  <c r="DD98" i="16"/>
  <c r="DE98" i="16"/>
  <c r="DF98" i="16"/>
  <c r="DG98" i="16"/>
  <c r="DH98" i="16"/>
  <c r="DI98" i="16"/>
  <c r="DJ98" i="16"/>
  <c r="DK98" i="16"/>
  <c r="CP99" i="16"/>
  <c r="CQ99" i="16"/>
  <c r="CR99" i="16"/>
  <c r="CS99" i="16"/>
  <c r="CT99" i="16"/>
  <c r="CU99" i="16"/>
  <c r="CV99" i="16"/>
  <c r="CW99" i="16"/>
  <c r="CX99" i="16"/>
  <c r="CY99" i="16"/>
  <c r="CZ99" i="16"/>
  <c r="DA99" i="16"/>
  <c r="DB99" i="16"/>
  <c r="DC99" i="16"/>
  <c r="DD99" i="16"/>
  <c r="DE99" i="16"/>
  <c r="DF99" i="16"/>
  <c r="DG99" i="16"/>
  <c r="DH99" i="16"/>
  <c r="DI99" i="16"/>
  <c r="DJ99" i="16"/>
  <c r="DK99" i="16"/>
  <c r="CP100" i="16"/>
  <c r="CQ100" i="16"/>
  <c r="CR100" i="16"/>
  <c r="CS100" i="16"/>
  <c r="CT100" i="16"/>
  <c r="CU100" i="16"/>
  <c r="CV100" i="16"/>
  <c r="CW100" i="16"/>
  <c r="CX100" i="16"/>
  <c r="CY100" i="16"/>
  <c r="CZ100" i="16"/>
  <c r="DA100" i="16"/>
  <c r="DB100" i="16"/>
  <c r="DC100" i="16"/>
  <c r="DD100" i="16"/>
  <c r="DE100" i="16"/>
  <c r="DF100" i="16"/>
  <c r="DG100" i="16"/>
  <c r="DH100" i="16"/>
  <c r="DI100" i="16"/>
  <c r="DJ100" i="16"/>
  <c r="DK100" i="16"/>
  <c r="CP101" i="16"/>
  <c r="CQ101" i="16"/>
  <c r="CR101" i="16"/>
  <c r="CS101" i="16"/>
  <c r="CT101" i="16"/>
  <c r="CU101" i="16"/>
  <c r="CV101" i="16"/>
  <c r="CW101" i="16"/>
  <c r="CX101" i="16"/>
  <c r="CY101" i="16"/>
  <c r="CZ101" i="16"/>
  <c r="DA101" i="16"/>
  <c r="DB101" i="16"/>
  <c r="DC101" i="16"/>
  <c r="DD101" i="16"/>
  <c r="DE101" i="16"/>
  <c r="DF101" i="16"/>
  <c r="DG101" i="16"/>
  <c r="DH101" i="16"/>
  <c r="DI101" i="16"/>
  <c r="DJ101" i="16"/>
  <c r="DK101" i="16"/>
  <c r="CP102" i="16"/>
  <c r="CQ102" i="16"/>
  <c r="CR102" i="16"/>
  <c r="CS102" i="16"/>
  <c r="CT102" i="16"/>
  <c r="CU102" i="16"/>
  <c r="CV102" i="16"/>
  <c r="CW102" i="16"/>
  <c r="CX102" i="16"/>
  <c r="CY102" i="16"/>
  <c r="CZ102" i="16"/>
  <c r="DA102" i="16"/>
  <c r="DB102" i="16"/>
  <c r="DC102" i="16"/>
  <c r="DD102" i="16"/>
  <c r="DE102" i="16"/>
  <c r="DF102" i="16"/>
  <c r="DG102" i="16"/>
  <c r="DH102" i="16"/>
  <c r="DI102" i="16"/>
  <c r="DJ102" i="16"/>
  <c r="DK102" i="16"/>
  <c r="CP103" i="16"/>
  <c r="CQ103" i="16"/>
  <c r="CR103" i="16"/>
  <c r="CS103" i="16"/>
  <c r="CT103" i="16"/>
  <c r="CU103" i="16"/>
  <c r="CV103" i="16"/>
  <c r="CW103" i="16"/>
  <c r="CX103" i="16"/>
  <c r="CY103" i="16"/>
  <c r="CZ103" i="16"/>
  <c r="DA103" i="16"/>
  <c r="DB103" i="16"/>
  <c r="DC103" i="16"/>
  <c r="DD103" i="16"/>
  <c r="DE103" i="16"/>
  <c r="DF103" i="16"/>
  <c r="DG103" i="16"/>
  <c r="DH103" i="16"/>
  <c r="DI103" i="16"/>
  <c r="DJ103" i="16"/>
  <c r="DK103" i="16"/>
  <c r="CP104" i="16"/>
  <c r="CQ104" i="16"/>
  <c r="CR104" i="16"/>
  <c r="CS104" i="16"/>
  <c r="CT104" i="16"/>
  <c r="CU104" i="16"/>
  <c r="CV104" i="16"/>
  <c r="CW104" i="16"/>
  <c r="CX104" i="16"/>
  <c r="CY104" i="16"/>
  <c r="CZ104" i="16"/>
  <c r="DA104" i="16"/>
  <c r="DB104" i="16"/>
  <c r="DC104" i="16"/>
  <c r="DD104" i="16"/>
  <c r="DE104" i="16"/>
  <c r="DF104" i="16"/>
  <c r="DG104" i="16"/>
  <c r="DH104" i="16"/>
  <c r="DI104" i="16"/>
  <c r="DJ104" i="16"/>
  <c r="DK104" i="16"/>
  <c r="CP105" i="16"/>
  <c r="CQ105" i="16"/>
  <c r="CR105" i="16"/>
  <c r="CS105" i="16"/>
  <c r="CT105" i="16"/>
  <c r="CU105" i="16"/>
  <c r="CV105" i="16"/>
  <c r="CW105" i="16"/>
  <c r="CX105" i="16"/>
  <c r="CY105" i="16"/>
  <c r="CZ105" i="16"/>
  <c r="DA105" i="16"/>
  <c r="DB105" i="16"/>
  <c r="DC105" i="16"/>
  <c r="DD105" i="16"/>
  <c r="DE105" i="16"/>
  <c r="DF105" i="16"/>
  <c r="DG105" i="16"/>
  <c r="DH105" i="16"/>
  <c r="DI105" i="16"/>
  <c r="DJ105" i="16"/>
  <c r="DK105" i="16"/>
  <c r="CP106" i="16"/>
  <c r="CQ106" i="16"/>
  <c r="CR106" i="16"/>
  <c r="CS106" i="16"/>
  <c r="CT106" i="16"/>
  <c r="CU106" i="16"/>
  <c r="CV106" i="16"/>
  <c r="CW106" i="16"/>
  <c r="CX106" i="16"/>
  <c r="CY106" i="16"/>
  <c r="CZ106" i="16"/>
  <c r="DA106" i="16"/>
  <c r="DB106" i="16"/>
  <c r="DC106" i="16"/>
  <c r="DD106" i="16"/>
  <c r="DE106" i="16"/>
  <c r="DF106" i="16"/>
  <c r="DG106" i="16"/>
  <c r="DH106" i="16"/>
  <c r="DI106" i="16"/>
  <c r="DJ106" i="16"/>
  <c r="DK106" i="16"/>
  <c r="CP107" i="16"/>
  <c r="CQ107" i="16"/>
  <c r="CR107" i="16"/>
  <c r="CS107" i="16"/>
  <c r="CT107" i="16"/>
  <c r="CU107" i="16"/>
  <c r="CV107" i="16"/>
  <c r="CW107" i="16"/>
  <c r="CX107" i="16"/>
  <c r="CY107" i="16"/>
  <c r="CZ107" i="16"/>
  <c r="DA107" i="16"/>
  <c r="DB107" i="16"/>
  <c r="DC107" i="16"/>
  <c r="DD107" i="16"/>
  <c r="DE107" i="16"/>
  <c r="DF107" i="16"/>
  <c r="DG107" i="16"/>
  <c r="DH107" i="16"/>
  <c r="DI107" i="16"/>
  <c r="DJ107" i="16"/>
  <c r="DK107" i="16"/>
  <c r="CP108" i="16"/>
  <c r="CQ108" i="16"/>
  <c r="CR108" i="16"/>
  <c r="CS108" i="16"/>
  <c r="CT108" i="16"/>
  <c r="CU108" i="16"/>
  <c r="CV108" i="16"/>
  <c r="CW108" i="16"/>
  <c r="CX108" i="16"/>
  <c r="CY108" i="16"/>
  <c r="CZ108" i="16"/>
  <c r="DA108" i="16"/>
  <c r="DB108" i="16"/>
  <c r="DC108" i="16"/>
  <c r="DD108" i="16"/>
  <c r="DE108" i="16"/>
  <c r="DF108" i="16"/>
  <c r="DG108" i="16"/>
  <c r="DH108" i="16"/>
  <c r="DI108" i="16"/>
  <c r="DJ108" i="16"/>
  <c r="DK108" i="16"/>
  <c r="CP109" i="16"/>
  <c r="CQ109" i="16"/>
  <c r="CR109" i="16"/>
  <c r="CS109" i="16"/>
  <c r="CT109" i="16"/>
  <c r="CU109" i="16"/>
  <c r="CV109" i="16"/>
  <c r="CW109" i="16"/>
  <c r="CX109" i="16"/>
  <c r="CY109" i="16"/>
  <c r="CZ109" i="16"/>
  <c r="DA109" i="16"/>
  <c r="DB109" i="16"/>
  <c r="DC109" i="16"/>
  <c r="DD109" i="16"/>
  <c r="DE109" i="16"/>
  <c r="DF109" i="16"/>
  <c r="DG109" i="16"/>
  <c r="DH109" i="16"/>
  <c r="DI109" i="16"/>
  <c r="DJ109" i="16"/>
  <c r="DK109" i="16"/>
  <c r="CP110" i="16"/>
  <c r="CQ110" i="16"/>
  <c r="CR110" i="16"/>
  <c r="CS110" i="16"/>
  <c r="CT110" i="16"/>
  <c r="CU110" i="16"/>
  <c r="CV110" i="16"/>
  <c r="CW110" i="16"/>
  <c r="CX110" i="16"/>
  <c r="CY110" i="16"/>
  <c r="CZ110" i="16"/>
  <c r="DA110" i="16"/>
  <c r="DB110" i="16"/>
  <c r="DC110" i="16"/>
  <c r="DD110" i="16"/>
  <c r="DE110" i="16"/>
  <c r="DF110" i="16"/>
  <c r="DG110" i="16"/>
  <c r="DH110" i="16"/>
  <c r="DI110" i="16"/>
  <c r="DJ110" i="16"/>
  <c r="DK110" i="16"/>
  <c r="CP111" i="16"/>
  <c r="CQ111" i="16"/>
  <c r="CR111" i="16"/>
  <c r="CS111" i="16"/>
  <c r="CT111" i="16"/>
  <c r="CU111" i="16"/>
  <c r="CV111" i="16"/>
  <c r="CW111" i="16"/>
  <c r="CX111" i="16"/>
  <c r="CY111" i="16"/>
  <c r="CZ111" i="16"/>
  <c r="DA111" i="16"/>
  <c r="DB111" i="16"/>
  <c r="DC111" i="16"/>
  <c r="DD111" i="16"/>
  <c r="DE111" i="16"/>
  <c r="DF111" i="16"/>
  <c r="DG111" i="16"/>
  <c r="DH111" i="16"/>
  <c r="DI111" i="16"/>
  <c r="DJ111" i="16"/>
  <c r="DK111" i="16"/>
  <c r="CP112" i="16"/>
  <c r="CQ112" i="16"/>
  <c r="CR112" i="16"/>
  <c r="CS112" i="16"/>
  <c r="CT112" i="16"/>
  <c r="CU112" i="16"/>
  <c r="CV112" i="16"/>
  <c r="CW112" i="16"/>
  <c r="CX112" i="16"/>
  <c r="CY112" i="16"/>
  <c r="CZ112" i="16"/>
  <c r="DA112" i="16"/>
  <c r="DB112" i="16"/>
  <c r="DC112" i="16"/>
  <c r="DD112" i="16"/>
  <c r="DE112" i="16"/>
  <c r="DF112" i="16"/>
  <c r="DG112" i="16"/>
  <c r="DH112" i="16"/>
  <c r="DI112" i="16"/>
  <c r="DJ112" i="16"/>
  <c r="DK112" i="16"/>
  <c r="CQ113" i="16"/>
  <c r="CR113" i="16"/>
  <c r="CS113" i="16"/>
  <c r="CT113" i="16"/>
  <c r="CU113" i="16"/>
  <c r="CV113" i="16"/>
  <c r="CW113" i="16"/>
  <c r="CX113" i="16"/>
  <c r="CY113" i="16"/>
  <c r="CZ113" i="16"/>
  <c r="DA113" i="16"/>
  <c r="DB113" i="16"/>
  <c r="DC113" i="16"/>
  <c r="DD113" i="16"/>
  <c r="DE113" i="16"/>
  <c r="DF113" i="16"/>
  <c r="DG113" i="16"/>
  <c r="DH113" i="16"/>
  <c r="DI113" i="16"/>
  <c r="DJ113" i="16"/>
  <c r="DK113" i="16"/>
  <c r="BQ87" i="16"/>
  <c r="BQ88" i="16"/>
  <c r="BQ89" i="16"/>
  <c r="BQ90" i="16"/>
  <c r="BQ91" i="16"/>
  <c r="BQ92" i="16"/>
  <c r="BQ93" i="16"/>
  <c r="BQ94" i="16"/>
  <c r="BQ95" i="16"/>
  <c r="BQ96" i="16"/>
  <c r="BQ97" i="16"/>
  <c r="BQ98" i="16"/>
  <c r="BQ99" i="16"/>
  <c r="BQ100" i="16"/>
  <c r="BR86" i="16"/>
  <c r="BS86" i="16"/>
  <c r="BT86" i="16"/>
  <c r="BU86" i="16"/>
  <c r="BV86" i="16"/>
  <c r="BW86" i="16"/>
  <c r="BX86" i="16"/>
  <c r="BY86" i="16"/>
  <c r="BZ86" i="16"/>
  <c r="CA86" i="16"/>
  <c r="CB86" i="16"/>
  <c r="CC86" i="16"/>
  <c r="CE86" i="16"/>
  <c r="CF86" i="16"/>
  <c r="CG86" i="16"/>
  <c r="CH86" i="16"/>
  <c r="CI86" i="16"/>
  <c r="CJ86" i="16"/>
  <c r="CK86" i="16"/>
  <c r="CL86" i="16"/>
  <c r="BR87" i="16"/>
  <c r="BS87" i="16"/>
  <c r="BT87" i="16"/>
  <c r="BU87" i="16"/>
  <c r="BV87" i="16"/>
  <c r="BW87" i="16"/>
  <c r="BX87" i="16"/>
  <c r="BY87" i="16"/>
  <c r="BZ87" i="16"/>
  <c r="CA87" i="16"/>
  <c r="CB87" i="16"/>
  <c r="CC87" i="16"/>
  <c r="CD87" i="16"/>
  <c r="CE87" i="16"/>
  <c r="CF87" i="16"/>
  <c r="CG87" i="16"/>
  <c r="CH87" i="16"/>
  <c r="CI87" i="16"/>
  <c r="CJ87" i="16"/>
  <c r="CK87" i="16"/>
  <c r="CL87" i="16"/>
  <c r="BR88" i="16"/>
  <c r="BS88" i="16"/>
  <c r="BT88" i="16"/>
  <c r="BU88" i="16"/>
  <c r="BV88" i="16"/>
  <c r="BW88" i="16"/>
  <c r="BX88" i="16"/>
  <c r="BY88" i="16"/>
  <c r="BZ88" i="16"/>
  <c r="CA88" i="16"/>
  <c r="CB88" i="16"/>
  <c r="CC88" i="16"/>
  <c r="CD88" i="16"/>
  <c r="CE88" i="16"/>
  <c r="CF88" i="16"/>
  <c r="CG88" i="16"/>
  <c r="CH88" i="16"/>
  <c r="CI88" i="16"/>
  <c r="CJ88" i="16"/>
  <c r="CK88" i="16"/>
  <c r="CL88" i="16"/>
  <c r="BR89" i="16"/>
  <c r="BS89" i="16"/>
  <c r="BT89" i="16"/>
  <c r="BU89" i="16"/>
  <c r="BV89" i="16"/>
  <c r="BW89" i="16"/>
  <c r="BX89" i="16"/>
  <c r="BY89" i="16"/>
  <c r="BZ89" i="16"/>
  <c r="CA89" i="16"/>
  <c r="CB89" i="16"/>
  <c r="CC89" i="16"/>
  <c r="CD89" i="16"/>
  <c r="CE89" i="16"/>
  <c r="CF89" i="16"/>
  <c r="CG89" i="16"/>
  <c r="CH89" i="16"/>
  <c r="CI89" i="16"/>
  <c r="CJ89" i="16"/>
  <c r="CK89" i="16"/>
  <c r="CL89" i="16"/>
  <c r="BR90" i="16"/>
  <c r="BS90" i="16"/>
  <c r="BT90" i="16"/>
  <c r="BU90" i="16"/>
  <c r="BV90" i="16"/>
  <c r="BW90" i="16"/>
  <c r="BX90" i="16"/>
  <c r="BY90" i="16"/>
  <c r="BZ90" i="16"/>
  <c r="CA90" i="16"/>
  <c r="CB90" i="16"/>
  <c r="CC90" i="16"/>
  <c r="CD90" i="16"/>
  <c r="CE90" i="16"/>
  <c r="CF90" i="16"/>
  <c r="CG90" i="16"/>
  <c r="CH90" i="16"/>
  <c r="CI90" i="16"/>
  <c r="CJ90" i="16"/>
  <c r="CK90" i="16"/>
  <c r="CL90" i="16"/>
  <c r="BR91" i="16"/>
  <c r="BS91" i="16"/>
  <c r="BT91" i="16"/>
  <c r="BU91" i="16"/>
  <c r="BV91" i="16"/>
  <c r="BW91" i="16"/>
  <c r="BX91" i="16"/>
  <c r="BY91" i="16"/>
  <c r="BZ91" i="16"/>
  <c r="CA91" i="16"/>
  <c r="CB91" i="16"/>
  <c r="CC91" i="16"/>
  <c r="CD91" i="16"/>
  <c r="CE91" i="16"/>
  <c r="CF91" i="16"/>
  <c r="CG91" i="16"/>
  <c r="CH91" i="16"/>
  <c r="CI91" i="16"/>
  <c r="CJ91" i="16"/>
  <c r="CK91" i="16"/>
  <c r="CL91" i="16"/>
  <c r="BR92" i="16"/>
  <c r="BS92" i="16"/>
  <c r="BT92" i="16"/>
  <c r="BU92" i="16"/>
  <c r="BV92" i="16"/>
  <c r="BW92" i="16"/>
  <c r="BX92" i="16"/>
  <c r="BY92" i="16"/>
  <c r="BZ92" i="16"/>
  <c r="CA92" i="16"/>
  <c r="CB92" i="16"/>
  <c r="CC92" i="16"/>
  <c r="CD92" i="16"/>
  <c r="CE92" i="16"/>
  <c r="CF92" i="16"/>
  <c r="CG92" i="16"/>
  <c r="CH92" i="16"/>
  <c r="CI92" i="16"/>
  <c r="CJ92" i="16"/>
  <c r="CK92" i="16"/>
  <c r="CL92" i="16"/>
  <c r="BR93" i="16"/>
  <c r="BS93" i="16"/>
  <c r="BT93" i="16"/>
  <c r="BU93" i="16"/>
  <c r="BV93" i="16"/>
  <c r="BW93" i="16"/>
  <c r="BX93" i="16"/>
  <c r="BY93" i="16"/>
  <c r="BZ93" i="16"/>
  <c r="CA93" i="16"/>
  <c r="CB93" i="16"/>
  <c r="CC93" i="16"/>
  <c r="CD93" i="16"/>
  <c r="CE93" i="16"/>
  <c r="CF93" i="16"/>
  <c r="CG93" i="16"/>
  <c r="CH93" i="16"/>
  <c r="CI93" i="16"/>
  <c r="CJ93" i="16"/>
  <c r="CK93" i="16"/>
  <c r="CL93" i="16"/>
  <c r="BR94" i="16"/>
  <c r="BS94" i="16"/>
  <c r="BT94" i="16"/>
  <c r="BU94" i="16"/>
  <c r="BV94" i="16"/>
  <c r="BW94" i="16"/>
  <c r="BX94" i="16"/>
  <c r="BY94" i="16"/>
  <c r="BZ94" i="16"/>
  <c r="CA94" i="16"/>
  <c r="CB94" i="16"/>
  <c r="CC94" i="16"/>
  <c r="CD94" i="16"/>
  <c r="CE94" i="16"/>
  <c r="CF94" i="16"/>
  <c r="CG94" i="16"/>
  <c r="CH94" i="16"/>
  <c r="CI94" i="16"/>
  <c r="CJ94" i="16"/>
  <c r="CK94" i="16"/>
  <c r="CL94" i="16"/>
  <c r="BR95" i="16"/>
  <c r="BS95" i="16"/>
  <c r="BT95" i="16"/>
  <c r="BU95" i="16"/>
  <c r="BV95" i="16"/>
  <c r="BW95" i="16"/>
  <c r="BX95" i="16"/>
  <c r="BY95" i="16"/>
  <c r="BZ95" i="16"/>
  <c r="CA95" i="16"/>
  <c r="CB95" i="16"/>
  <c r="CC95" i="16"/>
  <c r="CD95" i="16"/>
  <c r="CE95" i="16"/>
  <c r="CF95" i="16"/>
  <c r="CG95" i="16"/>
  <c r="CH95" i="16"/>
  <c r="CI95" i="16"/>
  <c r="CJ95" i="16"/>
  <c r="CK95" i="16"/>
  <c r="CL95" i="16"/>
  <c r="BR96" i="16"/>
  <c r="BS96" i="16"/>
  <c r="BT96" i="16"/>
  <c r="BU96" i="16"/>
  <c r="BV96" i="16"/>
  <c r="BW96" i="16"/>
  <c r="BX96" i="16"/>
  <c r="BY96" i="16"/>
  <c r="BZ96" i="16"/>
  <c r="CA96" i="16"/>
  <c r="CB96" i="16"/>
  <c r="CC96" i="16"/>
  <c r="CD96" i="16"/>
  <c r="CE96" i="16"/>
  <c r="CF96" i="16"/>
  <c r="CG96" i="16"/>
  <c r="CH96" i="16"/>
  <c r="CI96" i="16"/>
  <c r="CJ96" i="16"/>
  <c r="CK96" i="16"/>
  <c r="CL96" i="16"/>
  <c r="BR97" i="16"/>
  <c r="BS97" i="16"/>
  <c r="BT97" i="16"/>
  <c r="BU97" i="16"/>
  <c r="BV97" i="16"/>
  <c r="BW97" i="16"/>
  <c r="BX97" i="16"/>
  <c r="BY97" i="16"/>
  <c r="BZ97" i="16"/>
  <c r="CA97" i="16"/>
  <c r="CB97" i="16"/>
  <c r="CC97" i="16"/>
  <c r="CD97" i="16"/>
  <c r="CE97" i="16"/>
  <c r="CF97" i="16"/>
  <c r="CG97" i="16"/>
  <c r="CH97" i="16"/>
  <c r="CI97" i="16"/>
  <c r="CJ97" i="16"/>
  <c r="CK97" i="16"/>
  <c r="CL97" i="16"/>
  <c r="BR98" i="16"/>
  <c r="BS98" i="16"/>
  <c r="BT98" i="16"/>
  <c r="BU98" i="16"/>
  <c r="BV98" i="16"/>
  <c r="BW98" i="16"/>
  <c r="BX98" i="16"/>
  <c r="BY98" i="16"/>
  <c r="BZ98" i="16"/>
  <c r="CA98" i="16"/>
  <c r="CB98" i="16"/>
  <c r="CC98" i="16"/>
  <c r="CD98" i="16"/>
  <c r="CE98" i="16"/>
  <c r="CF98" i="16"/>
  <c r="CG98" i="16"/>
  <c r="CH98" i="16"/>
  <c r="CI98" i="16"/>
  <c r="CJ98" i="16"/>
  <c r="CK98" i="16"/>
  <c r="CL98" i="16"/>
  <c r="BR99" i="16"/>
  <c r="BS99" i="16"/>
  <c r="BT99" i="16"/>
  <c r="BU99" i="16"/>
  <c r="BV99" i="16"/>
  <c r="BW99" i="16"/>
  <c r="BX99" i="16"/>
  <c r="BY99" i="16"/>
  <c r="BZ99" i="16"/>
  <c r="CA99" i="16"/>
  <c r="CB99" i="16"/>
  <c r="CC99" i="16"/>
  <c r="CD99" i="16"/>
  <c r="CE99" i="16"/>
  <c r="CF99" i="16"/>
  <c r="CG99" i="16"/>
  <c r="CH99" i="16"/>
  <c r="CI99" i="16"/>
  <c r="CJ99" i="16"/>
  <c r="CK99" i="16"/>
  <c r="CL99" i="16"/>
  <c r="BR100" i="16"/>
  <c r="BS100" i="16"/>
  <c r="BT100" i="16"/>
  <c r="BU100" i="16"/>
  <c r="BV100" i="16"/>
  <c r="BW100" i="16"/>
  <c r="BX100" i="16"/>
  <c r="BY100" i="16"/>
  <c r="BZ100" i="16"/>
  <c r="CA100" i="16"/>
  <c r="CB100" i="16"/>
  <c r="CC100" i="16"/>
  <c r="CD100" i="16"/>
  <c r="CE100" i="16"/>
  <c r="CF100" i="16"/>
  <c r="CG100" i="16"/>
  <c r="CH100" i="16"/>
  <c r="CI100" i="16"/>
  <c r="CJ100" i="16"/>
  <c r="CK100" i="16"/>
  <c r="CL100" i="16"/>
  <c r="CN100" i="16" l="1"/>
  <c r="CN99" i="16"/>
  <c r="H99" i="16" s="1"/>
  <c r="L99" i="16" s="1"/>
  <c r="CN98" i="16"/>
  <c r="DM112" i="16"/>
  <c r="DM110" i="16"/>
  <c r="DM108" i="16"/>
  <c r="I108" i="16" s="1"/>
  <c r="M108" i="16" s="1"/>
  <c r="DM106" i="16"/>
  <c r="DG76" i="16"/>
  <c r="DM111" i="16"/>
  <c r="DM109" i="16"/>
  <c r="I109" i="16" s="1"/>
  <c r="M109" i="16" s="1"/>
  <c r="DM107" i="16"/>
  <c r="I107" i="16" s="1"/>
  <c r="M107" i="16" s="1"/>
  <c r="DM105" i="16"/>
  <c r="I105" i="16" s="1"/>
  <c r="M105" i="16" s="1"/>
  <c r="H192" i="16"/>
  <c r="L192" i="16" s="1"/>
  <c r="I193" i="16"/>
  <c r="M193" i="16" s="1"/>
  <c r="H191" i="16"/>
  <c r="L191" i="16" s="1"/>
  <c r="H193" i="16"/>
  <c r="L193" i="16" s="1"/>
  <c r="I195" i="16"/>
  <c r="M195" i="16" s="1"/>
  <c r="H190" i="16"/>
  <c r="L190" i="16" s="1"/>
  <c r="I196" i="16"/>
  <c r="M196" i="16" s="1"/>
  <c r="H195" i="16"/>
  <c r="L195" i="16" s="1"/>
  <c r="I198" i="16"/>
  <c r="M198" i="16" s="1"/>
  <c r="H194" i="16"/>
  <c r="L194" i="16" s="1"/>
  <c r="H197" i="16"/>
  <c r="L197" i="16" s="1"/>
  <c r="H196" i="16"/>
  <c r="L196" i="16" s="1"/>
  <c r="H198" i="16"/>
  <c r="L198" i="16" s="1"/>
  <c r="H199" i="16"/>
  <c r="L199" i="16" s="1"/>
  <c r="H201" i="16"/>
  <c r="L201" i="16" s="1"/>
  <c r="I189" i="16"/>
  <c r="M189" i="16" s="1"/>
  <c r="H200" i="16"/>
  <c r="L200" i="16" s="1"/>
  <c r="I191" i="16"/>
  <c r="M191" i="16" s="1"/>
  <c r="I192" i="16"/>
  <c r="M192" i="16" s="1"/>
  <c r="I194" i="16"/>
  <c r="M194" i="16" s="1"/>
  <c r="I190" i="16"/>
  <c r="M190" i="16" s="1"/>
  <c r="I197" i="16"/>
  <c r="M197" i="16" s="1"/>
  <c r="I199" i="16"/>
  <c r="M199" i="16" s="1"/>
  <c r="I200" i="16"/>
  <c r="M200" i="16" s="1"/>
  <c r="I201" i="16"/>
  <c r="M201" i="16" s="1"/>
  <c r="H189" i="16"/>
  <c r="L189" i="16" s="1"/>
  <c r="BS79" i="16"/>
  <c r="BW79" i="16"/>
  <c r="BV76" i="16"/>
  <c r="I112" i="16"/>
  <c r="M112" i="16" s="1"/>
  <c r="I126" i="16"/>
  <c r="M126" i="16" s="1"/>
  <c r="I140" i="16"/>
  <c r="M140" i="16" s="1"/>
  <c r="I154" i="16"/>
  <c r="M154" i="16" s="1"/>
  <c r="I168" i="16"/>
  <c r="M168" i="16" s="1"/>
  <c r="I182" i="16"/>
  <c r="M182" i="16" s="1"/>
  <c r="H108" i="16"/>
  <c r="L108" i="16" s="1"/>
  <c r="H122" i="16"/>
  <c r="L122" i="16" s="1"/>
  <c r="H136" i="16"/>
  <c r="L136" i="16" s="1"/>
  <c r="H150" i="16"/>
  <c r="L150" i="16" s="1"/>
  <c r="H164" i="16"/>
  <c r="L164" i="16" s="1"/>
  <c r="H178" i="16"/>
  <c r="L178" i="16" s="1"/>
  <c r="I113" i="16"/>
  <c r="M113" i="16" s="1"/>
  <c r="I127" i="16"/>
  <c r="M127" i="16" s="1"/>
  <c r="I141" i="16"/>
  <c r="M141" i="16" s="1"/>
  <c r="I155" i="16"/>
  <c r="M155" i="16" s="1"/>
  <c r="I169" i="16"/>
  <c r="M169" i="16" s="1"/>
  <c r="I183" i="16"/>
  <c r="M183" i="16" s="1"/>
  <c r="H109" i="16"/>
  <c r="L109" i="16" s="1"/>
  <c r="H123" i="16"/>
  <c r="L123" i="16" s="1"/>
  <c r="H137" i="16"/>
  <c r="L137" i="16" s="1"/>
  <c r="H151" i="16"/>
  <c r="L151" i="16" s="1"/>
  <c r="H165" i="16"/>
  <c r="L165" i="16" s="1"/>
  <c r="H179" i="16"/>
  <c r="L179" i="16" s="1"/>
  <c r="I114" i="16"/>
  <c r="M114" i="16" s="1"/>
  <c r="I128" i="16"/>
  <c r="M128" i="16" s="1"/>
  <c r="I142" i="16"/>
  <c r="M142" i="16" s="1"/>
  <c r="I156" i="16"/>
  <c r="M156" i="16" s="1"/>
  <c r="I170" i="16"/>
  <c r="M170" i="16" s="1"/>
  <c r="I184" i="16"/>
  <c r="M184" i="16" s="1"/>
  <c r="H110" i="16"/>
  <c r="L110" i="16" s="1"/>
  <c r="H124" i="16"/>
  <c r="L124" i="16" s="1"/>
  <c r="H138" i="16"/>
  <c r="L138" i="16" s="1"/>
  <c r="H152" i="16"/>
  <c r="L152" i="16" s="1"/>
  <c r="H166" i="16"/>
  <c r="L166" i="16" s="1"/>
  <c r="I121" i="16"/>
  <c r="M121" i="16" s="1"/>
  <c r="I138" i="16"/>
  <c r="M138" i="16" s="1"/>
  <c r="I158" i="16"/>
  <c r="M158" i="16" s="1"/>
  <c r="I175" i="16"/>
  <c r="M175" i="16" s="1"/>
  <c r="H90" i="16"/>
  <c r="L90" i="16" s="1"/>
  <c r="H107" i="16"/>
  <c r="L107" i="16" s="1"/>
  <c r="H127" i="16"/>
  <c r="L127" i="16" s="1"/>
  <c r="H144" i="16"/>
  <c r="L144" i="16" s="1"/>
  <c r="H161" i="16"/>
  <c r="L161" i="16" s="1"/>
  <c r="H180" i="16"/>
  <c r="L180" i="16" s="1"/>
  <c r="I122" i="16"/>
  <c r="M122" i="16" s="1"/>
  <c r="I139" i="16"/>
  <c r="M139" i="16" s="1"/>
  <c r="I159" i="16"/>
  <c r="M159" i="16" s="1"/>
  <c r="I176" i="16"/>
  <c r="M176" i="16" s="1"/>
  <c r="H111" i="16"/>
  <c r="L111" i="16" s="1"/>
  <c r="H128" i="16"/>
  <c r="L128" i="16" s="1"/>
  <c r="H145" i="16"/>
  <c r="L145" i="16" s="1"/>
  <c r="H162" i="16"/>
  <c r="L162" i="16" s="1"/>
  <c r="H181" i="16"/>
  <c r="L181" i="16" s="1"/>
  <c r="I106" i="16"/>
  <c r="M106" i="16" s="1"/>
  <c r="I123" i="16"/>
  <c r="M123" i="16" s="1"/>
  <c r="I143" i="16"/>
  <c r="M143" i="16" s="1"/>
  <c r="I160" i="16"/>
  <c r="M160" i="16" s="1"/>
  <c r="I177" i="16"/>
  <c r="M177" i="16" s="1"/>
  <c r="H112" i="16"/>
  <c r="L112" i="16" s="1"/>
  <c r="H129" i="16"/>
  <c r="L129" i="16" s="1"/>
  <c r="H146" i="16"/>
  <c r="L146" i="16" s="1"/>
  <c r="H163" i="16"/>
  <c r="L163" i="16" s="1"/>
  <c r="I119" i="16"/>
  <c r="M119" i="16" s="1"/>
  <c r="I145" i="16"/>
  <c r="M145" i="16" s="1"/>
  <c r="I165" i="16"/>
  <c r="M165" i="16" s="1"/>
  <c r="I188" i="16"/>
  <c r="M188" i="16" s="1"/>
  <c r="H106" i="16"/>
  <c r="L106" i="16" s="1"/>
  <c r="H132" i="16"/>
  <c r="L132" i="16" s="1"/>
  <c r="H155" i="16"/>
  <c r="L155" i="16" s="1"/>
  <c r="H175" i="16"/>
  <c r="L175" i="16" s="1"/>
  <c r="I120" i="16"/>
  <c r="M120" i="16" s="1"/>
  <c r="I146" i="16"/>
  <c r="M146" i="16" s="1"/>
  <c r="I166" i="16"/>
  <c r="M166" i="16" s="1"/>
  <c r="H113" i="16"/>
  <c r="L113" i="16" s="1"/>
  <c r="H133" i="16"/>
  <c r="L133" i="16" s="1"/>
  <c r="H156" i="16"/>
  <c r="L156" i="16" s="1"/>
  <c r="H176" i="16"/>
  <c r="L176" i="16" s="1"/>
  <c r="I124" i="16"/>
  <c r="M124" i="16" s="1"/>
  <c r="I147" i="16"/>
  <c r="M147" i="16" s="1"/>
  <c r="I167" i="16"/>
  <c r="M167" i="16" s="1"/>
  <c r="H114" i="16"/>
  <c r="L114" i="16" s="1"/>
  <c r="H134" i="16"/>
  <c r="L134" i="16" s="1"/>
  <c r="H157" i="16"/>
  <c r="L157" i="16" s="1"/>
  <c r="H177" i="16"/>
  <c r="L177" i="16" s="1"/>
  <c r="I125" i="16"/>
  <c r="M125" i="16" s="1"/>
  <c r="I148" i="16"/>
  <c r="M148" i="16" s="1"/>
  <c r="I171" i="16"/>
  <c r="M171" i="16" s="1"/>
  <c r="I116" i="16"/>
  <c r="M116" i="16" s="1"/>
  <c r="I150" i="16"/>
  <c r="M150" i="16" s="1"/>
  <c r="I180" i="16"/>
  <c r="M180" i="16" s="1"/>
  <c r="H104" i="16"/>
  <c r="L104" i="16" s="1"/>
  <c r="H139" i="16"/>
  <c r="L139" i="16" s="1"/>
  <c r="H168" i="16"/>
  <c r="L168" i="16" s="1"/>
  <c r="I117" i="16"/>
  <c r="M117" i="16" s="1"/>
  <c r="I151" i="16"/>
  <c r="M151" i="16" s="1"/>
  <c r="I181" i="16"/>
  <c r="M181" i="16" s="1"/>
  <c r="H105" i="16"/>
  <c r="L105" i="16" s="1"/>
  <c r="H140" i="16"/>
  <c r="L140" i="16" s="1"/>
  <c r="H169" i="16"/>
  <c r="L169" i="16" s="1"/>
  <c r="I118" i="16"/>
  <c r="M118" i="16" s="1"/>
  <c r="I152" i="16"/>
  <c r="M152" i="16" s="1"/>
  <c r="I185" i="16"/>
  <c r="M185" i="16" s="1"/>
  <c r="H115" i="16"/>
  <c r="L115" i="16" s="1"/>
  <c r="H141" i="16"/>
  <c r="L141" i="16" s="1"/>
  <c r="H170" i="16"/>
  <c r="L170" i="16" s="1"/>
  <c r="I129" i="16"/>
  <c r="M129" i="16" s="1"/>
  <c r="I153" i="16"/>
  <c r="M153" i="16" s="1"/>
  <c r="I186" i="16"/>
  <c r="M186" i="16" s="1"/>
  <c r="H116" i="16"/>
  <c r="L116" i="16" s="1"/>
  <c r="H142" i="16"/>
  <c r="L142" i="16" s="1"/>
  <c r="H171" i="16"/>
  <c r="L171" i="16" s="1"/>
  <c r="I130" i="16"/>
  <c r="M130" i="16" s="1"/>
  <c r="I157" i="16"/>
  <c r="M157" i="16" s="1"/>
  <c r="I187" i="16"/>
  <c r="M187" i="16" s="1"/>
  <c r="H117" i="16"/>
  <c r="L117" i="16" s="1"/>
  <c r="H143" i="16"/>
  <c r="L143" i="16" s="1"/>
  <c r="H172" i="16"/>
  <c r="L172" i="16" s="1"/>
  <c r="I131" i="16"/>
  <c r="M131" i="16" s="1"/>
  <c r="I161" i="16"/>
  <c r="M161" i="16" s="1"/>
  <c r="H118" i="16"/>
  <c r="L118" i="16" s="1"/>
  <c r="H147" i="16"/>
  <c r="L147" i="16" s="1"/>
  <c r="H173" i="16"/>
  <c r="L173" i="16" s="1"/>
  <c r="I132" i="16"/>
  <c r="M132" i="16" s="1"/>
  <c r="I162" i="16"/>
  <c r="M162" i="16" s="1"/>
  <c r="H119" i="16"/>
  <c r="L119" i="16" s="1"/>
  <c r="H148" i="16"/>
  <c r="L148" i="16" s="1"/>
  <c r="H174" i="16"/>
  <c r="L174" i="16" s="1"/>
  <c r="I133" i="16"/>
  <c r="M133" i="16" s="1"/>
  <c r="I163" i="16"/>
  <c r="M163" i="16" s="1"/>
  <c r="H120" i="16"/>
  <c r="L120" i="16" s="1"/>
  <c r="H149" i="16"/>
  <c r="L149" i="16" s="1"/>
  <c r="H182" i="16"/>
  <c r="L182" i="16" s="1"/>
  <c r="I134" i="16"/>
  <c r="M134" i="16" s="1"/>
  <c r="I164" i="16"/>
  <c r="M164" i="16" s="1"/>
  <c r="H98" i="16"/>
  <c r="L98" i="16" s="1"/>
  <c r="H121" i="16"/>
  <c r="L121" i="16" s="1"/>
  <c r="H153" i="16"/>
  <c r="L153" i="16" s="1"/>
  <c r="H183" i="16"/>
  <c r="L183" i="16" s="1"/>
  <c r="I135" i="16"/>
  <c r="M135" i="16" s="1"/>
  <c r="I172" i="16"/>
  <c r="M172" i="16" s="1"/>
  <c r="H125" i="16"/>
  <c r="L125" i="16" s="1"/>
  <c r="H154" i="16"/>
  <c r="L154" i="16" s="1"/>
  <c r="H184" i="16"/>
  <c r="L184" i="16" s="1"/>
  <c r="I136" i="16"/>
  <c r="M136" i="16" s="1"/>
  <c r="I173" i="16"/>
  <c r="M173" i="16" s="1"/>
  <c r="H100" i="16"/>
  <c r="L100" i="16" s="1"/>
  <c r="H126" i="16"/>
  <c r="L126" i="16" s="1"/>
  <c r="H158" i="16"/>
  <c r="L158" i="16" s="1"/>
  <c r="H185" i="16"/>
  <c r="L185" i="16" s="1"/>
  <c r="I178" i="16"/>
  <c r="M178" i="16" s="1"/>
  <c r="I179" i="16"/>
  <c r="M179" i="16" s="1"/>
  <c r="H101" i="16"/>
  <c r="L101" i="16" s="1"/>
  <c r="H102" i="16"/>
  <c r="L102" i="16" s="1"/>
  <c r="H103" i="16"/>
  <c r="L103" i="16" s="1"/>
  <c r="H130" i="16"/>
  <c r="L130" i="16" s="1"/>
  <c r="H131" i="16"/>
  <c r="L131" i="16" s="1"/>
  <c r="I110" i="16"/>
  <c r="M110" i="16" s="1"/>
  <c r="H135" i="16"/>
  <c r="L135" i="16" s="1"/>
  <c r="I111" i="16"/>
  <c r="M111" i="16" s="1"/>
  <c r="H159" i="16"/>
  <c r="L159" i="16" s="1"/>
  <c r="I115" i="16"/>
  <c r="M115" i="16" s="1"/>
  <c r="H160" i="16"/>
  <c r="L160" i="16" s="1"/>
  <c r="I137" i="16"/>
  <c r="M137" i="16" s="1"/>
  <c r="H167" i="16"/>
  <c r="L167" i="16" s="1"/>
  <c r="I144" i="16"/>
  <c r="M144" i="16" s="1"/>
  <c r="H186" i="16"/>
  <c r="L186" i="16" s="1"/>
  <c r="I149" i="16"/>
  <c r="M149" i="16" s="1"/>
  <c r="H187" i="16"/>
  <c r="L187" i="16" s="1"/>
  <c r="I174" i="16"/>
  <c r="M174" i="16" s="1"/>
  <c r="H188" i="16"/>
  <c r="L188" i="16" s="1"/>
  <c r="CU80" i="16"/>
  <c r="DA74" i="16"/>
  <c r="DK72" i="16"/>
  <c r="DG72" i="16"/>
  <c r="CA75" i="16"/>
  <c r="DI74" i="16"/>
  <c r="DI78" i="16"/>
  <c r="BW75" i="16"/>
  <c r="CY76" i="16"/>
  <c r="BS75" i="16"/>
  <c r="CI75" i="16"/>
  <c r="DK76" i="16"/>
  <c r="BS71" i="16"/>
  <c r="BW71" i="16"/>
  <c r="DK67" i="16"/>
  <c r="BW70" i="16"/>
  <c r="CI70" i="16"/>
  <c r="BZ72" i="16"/>
  <c r="BQ71" i="16"/>
  <c r="BV72" i="16"/>
  <c r="CQ72" i="16"/>
  <c r="CD72" i="16"/>
  <c r="CS78" i="16"/>
  <c r="CZ66" i="16"/>
  <c r="BX74" i="16"/>
  <c r="CP63" i="16"/>
  <c r="CQ76" i="16"/>
  <c r="DK80" i="16"/>
  <c r="CA79" i="16"/>
  <c r="DA78" i="16"/>
  <c r="CG68" i="16"/>
  <c r="CI79" i="16"/>
  <c r="CA71" i="16"/>
  <c r="CE71" i="16"/>
  <c r="CI71" i="16"/>
  <c r="CF78" i="16"/>
  <c r="BQ79" i="16"/>
  <c r="CE79" i="16"/>
  <c r="CE75" i="16"/>
  <c r="DE61" i="16"/>
  <c r="CF61" i="16"/>
  <c r="DF64" i="16"/>
  <c r="CG64" i="16"/>
  <c r="DG67" i="16"/>
  <c r="CH67" i="16"/>
  <c r="DG70" i="16"/>
  <c r="CH70" i="16"/>
  <c r="DG71" i="16"/>
  <c r="CH71" i="16"/>
  <c r="DF72" i="16"/>
  <c r="CG72" i="16"/>
  <c r="DE73" i="16"/>
  <c r="CF73" i="16"/>
  <c r="DD74" i="16"/>
  <c r="CE74" i="16"/>
  <c r="DC75" i="16"/>
  <c r="CD75" i="16"/>
  <c r="DB76" i="16"/>
  <c r="CC76" i="16"/>
  <c r="DA77" i="16"/>
  <c r="CB77" i="16"/>
  <c r="CZ78" i="16"/>
  <c r="CA78" i="16"/>
  <c r="CY79" i="16"/>
  <c r="BZ79" i="16"/>
  <c r="CX80" i="16"/>
  <c r="BY80" i="16"/>
  <c r="CP74" i="16"/>
  <c r="BQ74" i="16"/>
  <c r="CZ64" i="16"/>
  <c r="CA64" i="16"/>
  <c r="DG64" i="16"/>
  <c r="CH64" i="16"/>
  <c r="CQ64" i="16"/>
  <c r="BR64" i="16"/>
  <c r="CW64" i="16"/>
  <c r="BX64" i="16"/>
  <c r="CZ68" i="16"/>
  <c r="CA68" i="16"/>
  <c r="CH68" i="16"/>
  <c r="DG68" i="16"/>
  <c r="CQ68" i="16"/>
  <c r="BR68" i="16"/>
  <c r="CW68" i="16"/>
  <c r="BX68" i="16"/>
  <c r="CT73" i="16"/>
  <c r="BU73" i="16"/>
  <c r="CT77" i="16"/>
  <c r="BU77" i="16"/>
  <c r="CY69" i="16"/>
  <c r="BZ69" i="16"/>
  <c r="DF69" i="16"/>
  <c r="CG69" i="16"/>
  <c r="DH69" i="16"/>
  <c r="CI69" i="16"/>
  <c r="CR69" i="16"/>
  <c r="BS69" i="16"/>
  <c r="DH62" i="16"/>
  <c r="CI62" i="16"/>
  <c r="DD66" i="16"/>
  <c r="CE66" i="16"/>
  <c r="DJ70" i="16"/>
  <c r="CK70" i="16"/>
  <c r="DE71" i="16"/>
  <c r="CF71" i="16"/>
  <c r="CZ72" i="16"/>
  <c r="CA72" i="16"/>
  <c r="CU73" i="16"/>
  <c r="BV73" i="16"/>
  <c r="DK73" i="16"/>
  <c r="CL73" i="16"/>
  <c r="DF74" i="16"/>
  <c r="CG74" i="16"/>
  <c r="DA75" i="16"/>
  <c r="CB75" i="16"/>
  <c r="CV76" i="16"/>
  <c r="BW76" i="16"/>
  <c r="CQ77" i="16"/>
  <c r="BR77" i="16"/>
  <c r="DG77" i="16"/>
  <c r="CH77" i="16"/>
  <c r="DB78" i="16"/>
  <c r="CC78" i="16"/>
  <c r="CW79" i="16"/>
  <c r="BX79" i="16"/>
  <c r="CR80" i="16"/>
  <c r="BS80" i="16"/>
  <c r="DH80" i="16"/>
  <c r="CI80" i="16"/>
  <c r="CP68" i="16"/>
  <c r="BQ68" i="16"/>
  <c r="DJ62" i="16"/>
  <c r="CK62" i="16"/>
  <c r="CT62" i="16"/>
  <c r="BU62" i="16"/>
  <c r="CW62" i="16"/>
  <c r="BX62" i="16"/>
  <c r="DC62" i="16"/>
  <c r="CD62" i="16"/>
  <c r="DJ66" i="16"/>
  <c r="CK66" i="16"/>
  <c r="CT66" i="16"/>
  <c r="BU66" i="16"/>
  <c r="CW66" i="16"/>
  <c r="BX66" i="16"/>
  <c r="DC66" i="16"/>
  <c r="CD66" i="16"/>
  <c r="DF70" i="16"/>
  <c r="CG70" i="16"/>
  <c r="CJ70" i="16"/>
  <c r="DI70" i="16"/>
  <c r="BT70" i="16"/>
  <c r="CS70" i="16"/>
  <c r="CQ70" i="16"/>
  <c r="BR70" i="16"/>
  <c r="CX73" i="16"/>
  <c r="BY73" i="16"/>
  <c r="DK61" i="16"/>
  <c r="CL61" i="16"/>
  <c r="CU61" i="16"/>
  <c r="BV61" i="16"/>
  <c r="DB61" i="16"/>
  <c r="CC61" i="16"/>
  <c r="DD61" i="16"/>
  <c r="CE61" i="16"/>
  <c r="DB64" i="16"/>
  <c r="CC64" i="16"/>
  <c r="CX68" i="16"/>
  <c r="BY68" i="16"/>
  <c r="CT71" i="16"/>
  <c r="BU71" i="16"/>
  <c r="DJ71" i="16"/>
  <c r="CK71" i="16"/>
  <c r="DE72" i="16"/>
  <c r="CF72" i="16"/>
  <c r="CZ73" i="16"/>
  <c r="CA73" i="16"/>
  <c r="CU74" i="16"/>
  <c r="BV74" i="16"/>
  <c r="DK74" i="16"/>
  <c r="CL74" i="16"/>
  <c r="DF75" i="16"/>
  <c r="CG75" i="16"/>
  <c r="DA76" i="16"/>
  <c r="CB76" i="16"/>
  <c r="CV77" i="16"/>
  <c r="BW77" i="16"/>
  <c r="CQ78" i="16"/>
  <c r="BR78" i="16"/>
  <c r="DG78" i="16"/>
  <c r="CH78" i="16"/>
  <c r="CC79" i="16"/>
  <c r="DB79" i="16"/>
  <c r="CW80" i="16"/>
  <c r="BX80" i="16"/>
  <c r="CP73" i="16"/>
  <c r="BQ73" i="16"/>
  <c r="DA63" i="16"/>
  <c r="CB63" i="16"/>
  <c r="DD63" i="16"/>
  <c r="CE63" i="16"/>
  <c r="CK63" i="16"/>
  <c r="DJ63" i="16"/>
  <c r="BU63" i="16"/>
  <c r="CT63" i="16"/>
  <c r="CW67" i="16"/>
  <c r="BX67" i="16"/>
  <c r="CZ67" i="16"/>
  <c r="CA67" i="16"/>
  <c r="DF67" i="16"/>
  <c r="CG67" i="16"/>
  <c r="DI61" i="16"/>
  <c r="CJ61" i="16"/>
  <c r="DK65" i="16"/>
  <c r="CL65" i="16"/>
  <c r="CU65" i="16"/>
  <c r="BV65" i="16"/>
  <c r="DB65" i="16"/>
  <c r="CC65" i="16"/>
  <c r="DD65" i="16"/>
  <c r="CE65" i="16"/>
  <c r="CZ62" i="16"/>
  <c r="CA62" i="16"/>
  <c r="DA65" i="16"/>
  <c r="CB65" i="16"/>
  <c r="DB68" i="16"/>
  <c r="CC68" i="16"/>
  <c r="CU71" i="16"/>
  <c r="BV71" i="16"/>
  <c r="DK71" i="16"/>
  <c r="CL71" i="16"/>
  <c r="DJ72" i="16"/>
  <c r="CK72" i="16"/>
  <c r="DI73" i="16"/>
  <c r="CJ73" i="16"/>
  <c r="DH74" i="16"/>
  <c r="CI74" i="16"/>
  <c r="DG75" i="16"/>
  <c r="CH75" i="16"/>
  <c r="DF76" i="16"/>
  <c r="CG76" i="16"/>
  <c r="DE77" i="16"/>
  <c r="CF77" i="16"/>
  <c r="DD78" i="16"/>
  <c r="CE78" i="16"/>
  <c r="DC79" i="16"/>
  <c r="CD79" i="16"/>
  <c r="DB80" i="16"/>
  <c r="CC80" i="16"/>
  <c r="CP62" i="16"/>
  <c r="BQ62" i="16"/>
  <c r="CP78" i="16"/>
  <c r="BQ78" i="16"/>
  <c r="CV64" i="16"/>
  <c r="BW64" i="16"/>
  <c r="DC64" i="16"/>
  <c r="CD64" i="16"/>
  <c r="DI64" i="16"/>
  <c r="CJ64" i="16"/>
  <c r="CS64" i="16"/>
  <c r="BT64" i="16"/>
  <c r="CV68" i="16"/>
  <c r="BW68" i="16"/>
  <c r="DC68" i="16"/>
  <c r="CD68" i="16"/>
  <c r="DI68" i="16"/>
  <c r="CJ68" i="16"/>
  <c r="CS68" i="16"/>
  <c r="BT68" i="16"/>
  <c r="DA69" i="16"/>
  <c r="CB69" i="16"/>
  <c r="DJ73" i="16"/>
  <c r="CK73" i="16"/>
  <c r="DF77" i="16"/>
  <c r="CG77" i="16"/>
  <c r="DK69" i="16"/>
  <c r="CL69" i="16"/>
  <c r="CU69" i="16"/>
  <c r="BV69" i="16"/>
  <c r="DB69" i="16"/>
  <c r="CC69" i="16"/>
  <c r="DD69" i="16"/>
  <c r="CE69" i="16"/>
  <c r="DC63" i="16"/>
  <c r="CD63" i="16"/>
  <c r="CY67" i="16"/>
  <c r="BZ67" i="16"/>
  <c r="CS71" i="16"/>
  <c r="BT71" i="16"/>
  <c r="DI71" i="16"/>
  <c r="CJ71" i="16"/>
  <c r="DD72" i="16"/>
  <c r="CE72" i="16"/>
  <c r="CY73" i="16"/>
  <c r="BZ73" i="16"/>
  <c r="CT74" i="16"/>
  <c r="BU74" i="16"/>
  <c r="DJ74" i="16"/>
  <c r="CK74" i="16"/>
  <c r="DE75" i="16"/>
  <c r="CF75" i="16"/>
  <c r="CZ76" i="16"/>
  <c r="CA76" i="16"/>
  <c r="CU77" i="16"/>
  <c r="BV77" i="16"/>
  <c r="DK77" i="16"/>
  <c r="CL77" i="16"/>
  <c r="DF78" i="16"/>
  <c r="CG78" i="16"/>
  <c r="DA79" i="16"/>
  <c r="CB79" i="16"/>
  <c r="CV80" i="16"/>
  <c r="BW80" i="16"/>
  <c r="CP72" i="16"/>
  <c r="BQ72" i="16"/>
  <c r="DF62" i="16"/>
  <c r="CG62" i="16"/>
  <c r="DI62" i="16"/>
  <c r="CJ62" i="16"/>
  <c r="CS62" i="16"/>
  <c r="BT62" i="16"/>
  <c r="CY62" i="16"/>
  <c r="BZ62" i="16"/>
  <c r="DF66" i="16"/>
  <c r="CG66" i="16"/>
  <c r="DI66" i="16"/>
  <c r="CJ66" i="16"/>
  <c r="CS66" i="16"/>
  <c r="BT66" i="16"/>
  <c r="CY66" i="16"/>
  <c r="BZ66" i="16"/>
  <c r="DB70" i="16"/>
  <c r="CC70" i="16"/>
  <c r="DE70" i="16"/>
  <c r="CF70" i="16"/>
  <c r="DC70" i="16"/>
  <c r="CD70" i="16"/>
  <c r="DF73" i="16"/>
  <c r="CG73" i="16"/>
  <c r="DG61" i="16"/>
  <c r="CH61" i="16"/>
  <c r="CQ61" i="16"/>
  <c r="BR61" i="16"/>
  <c r="CX61" i="16"/>
  <c r="BY61" i="16"/>
  <c r="CA61" i="16"/>
  <c r="CZ61" i="16"/>
  <c r="CW65" i="16"/>
  <c r="BX65" i="16"/>
  <c r="CS69" i="16"/>
  <c r="BT69" i="16"/>
  <c r="CX71" i="16"/>
  <c r="BY71" i="16"/>
  <c r="CS72" i="16"/>
  <c r="BT72" i="16"/>
  <c r="DI72" i="16"/>
  <c r="CJ72" i="16"/>
  <c r="DD73" i="16"/>
  <c r="CE73" i="16"/>
  <c r="CY74" i="16"/>
  <c r="BZ74" i="16"/>
  <c r="CT75" i="16"/>
  <c r="BU75" i="16"/>
  <c r="DJ75" i="16"/>
  <c r="CK75" i="16"/>
  <c r="DE76" i="16"/>
  <c r="CF76" i="16"/>
  <c r="CA77" i="16"/>
  <c r="CZ77" i="16"/>
  <c r="CU78" i="16"/>
  <c r="BV78" i="16"/>
  <c r="DK78" i="16"/>
  <c r="CL78" i="16"/>
  <c r="DF79" i="16"/>
  <c r="CG79" i="16"/>
  <c r="DA80" i="16"/>
  <c r="CB80" i="16"/>
  <c r="CP61" i="16"/>
  <c r="BQ61" i="16"/>
  <c r="CP77" i="16"/>
  <c r="BQ77" i="16"/>
  <c r="CW63" i="16"/>
  <c r="BX63" i="16"/>
  <c r="CZ63" i="16"/>
  <c r="CA63" i="16"/>
  <c r="DF63" i="16"/>
  <c r="CG63" i="16"/>
  <c r="DI67" i="16"/>
  <c r="CJ67" i="16"/>
  <c r="CS67" i="16"/>
  <c r="BT67" i="16"/>
  <c r="CV67" i="16"/>
  <c r="BW67" i="16"/>
  <c r="DB67" i="16"/>
  <c r="CC67" i="16"/>
  <c r="DB77" i="16"/>
  <c r="CC77" i="16"/>
  <c r="DG65" i="16"/>
  <c r="CH65" i="16"/>
  <c r="CQ65" i="16"/>
  <c r="BR65" i="16"/>
  <c r="CX65" i="16"/>
  <c r="BY65" i="16"/>
  <c r="CZ65" i="16"/>
  <c r="CA65" i="16"/>
  <c r="CU63" i="16"/>
  <c r="BV63" i="16"/>
  <c r="CV66" i="16"/>
  <c r="BW66" i="16"/>
  <c r="CW69" i="16"/>
  <c r="BX69" i="16"/>
  <c r="CY71" i="16"/>
  <c r="BZ71" i="16"/>
  <c r="CX72" i="16"/>
  <c r="BY72" i="16"/>
  <c r="CW73" i="16"/>
  <c r="BX73" i="16"/>
  <c r="CV74" i="16"/>
  <c r="BW74" i="16"/>
  <c r="CU75" i="16"/>
  <c r="BV75" i="16"/>
  <c r="DK75" i="16"/>
  <c r="CL75" i="16"/>
  <c r="DJ76" i="16"/>
  <c r="CK76" i="16"/>
  <c r="DI77" i="16"/>
  <c r="CJ77" i="16"/>
  <c r="DH78" i="16"/>
  <c r="CI78" i="16"/>
  <c r="DG79" i="16"/>
  <c r="CH79" i="16"/>
  <c r="DF80" i="16"/>
  <c r="CG80" i="16"/>
  <c r="CP66" i="16"/>
  <c r="BQ66" i="16"/>
  <c r="DH64" i="16"/>
  <c r="CI64" i="16"/>
  <c r="CR64" i="16"/>
  <c r="BS64" i="16"/>
  <c r="CY64" i="16"/>
  <c r="BZ64" i="16"/>
  <c r="DE64" i="16"/>
  <c r="CF64" i="16"/>
  <c r="DH68" i="16"/>
  <c r="CI68" i="16"/>
  <c r="CR68" i="16"/>
  <c r="BS68" i="16"/>
  <c r="CY68" i="16"/>
  <c r="BZ68" i="16"/>
  <c r="DE68" i="16"/>
  <c r="CF68" i="16"/>
  <c r="DG69" i="16"/>
  <c r="CH69" i="16"/>
  <c r="CQ69" i="16"/>
  <c r="BR69" i="16"/>
  <c r="CX69" i="16"/>
  <c r="BY69" i="16"/>
  <c r="CZ69" i="16"/>
  <c r="CA69" i="16"/>
  <c r="CW61" i="16"/>
  <c r="BX61" i="16"/>
  <c r="CS65" i="16"/>
  <c r="BT65" i="16"/>
  <c r="DJ68" i="16"/>
  <c r="CK68" i="16"/>
  <c r="CW71" i="16"/>
  <c r="BX71" i="16"/>
  <c r="CR72" i="16"/>
  <c r="BS72" i="16"/>
  <c r="DH72" i="16"/>
  <c r="CI72" i="16"/>
  <c r="DC73" i="16"/>
  <c r="CD73" i="16"/>
  <c r="CX74" i="16"/>
  <c r="BY74" i="16"/>
  <c r="CS75" i="16"/>
  <c r="BT75" i="16"/>
  <c r="DI75" i="16"/>
  <c r="CJ75" i="16"/>
  <c r="DD76" i="16"/>
  <c r="CE76" i="16"/>
  <c r="CY77" i="16"/>
  <c r="BZ77" i="16"/>
  <c r="CT78" i="16"/>
  <c r="BU78" i="16"/>
  <c r="DJ78" i="16"/>
  <c r="CK78" i="16"/>
  <c r="DE79" i="16"/>
  <c r="CF79" i="16"/>
  <c r="CZ80" i="16"/>
  <c r="CA80" i="16"/>
  <c r="CP76" i="16"/>
  <c r="BQ76" i="16"/>
  <c r="DB62" i="16"/>
  <c r="CC62" i="16"/>
  <c r="DE62" i="16"/>
  <c r="CF62" i="16"/>
  <c r="DK62" i="16"/>
  <c r="CL62" i="16"/>
  <c r="CU62" i="16"/>
  <c r="BV62" i="16"/>
  <c r="DB66" i="16"/>
  <c r="CC66" i="16"/>
  <c r="DE66" i="16"/>
  <c r="CF66" i="16"/>
  <c r="DK66" i="16"/>
  <c r="CL66" i="16"/>
  <c r="CU66" i="16"/>
  <c r="BV66" i="16"/>
  <c r="CX70" i="16"/>
  <c r="BY70" i="16"/>
  <c r="DA70" i="16"/>
  <c r="CB70" i="16"/>
  <c r="CY70" i="16"/>
  <c r="BZ70" i="16"/>
  <c r="CX77" i="16"/>
  <c r="BY77" i="16"/>
  <c r="DC61" i="16"/>
  <c r="CD61" i="16"/>
  <c r="DJ61" i="16"/>
  <c r="CK61" i="16"/>
  <c r="CT61" i="16"/>
  <c r="BU61" i="16"/>
  <c r="BW61" i="16"/>
  <c r="CV61" i="16"/>
  <c r="CQ63" i="16"/>
  <c r="BR63" i="16"/>
  <c r="DH66" i="16"/>
  <c r="CI66" i="16"/>
  <c r="DI69" i="16"/>
  <c r="CJ69" i="16"/>
  <c r="DB71" i="16"/>
  <c r="CC71" i="16"/>
  <c r="CW72" i="16"/>
  <c r="BX72" i="16"/>
  <c r="CR73" i="16"/>
  <c r="BS73" i="16"/>
  <c r="DH73" i="16"/>
  <c r="CI73" i="16"/>
  <c r="DC74" i="16"/>
  <c r="CD74" i="16"/>
  <c r="BY75" i="16"/>
  <c r="CX75" i="16"/>
  <c r="CS76" i="16"/>
  <c r="BT76" i="16"/>
  <c r="DI76" i="16"/>
  <c r="CJ76" i="16"/>
  <c r="DD77" i="16"/>
  <c r="CE77" i="16"/>
  <c r="CY78" i="16"/>
  <c r="BZ78" i="16"/>
  <c r="CT79" i="16"/>
  <c r="BU79" i="16"/>
  <c r="DJ79" i="16"/>
  <c r="CK79" i="16"/>
  <c r="DE80" i="16"/>
  <c r="CF80" i="16"/>
  <c r="CP65" i="16"/>
  <c r="BQ65" i="16"/>
  <c r="DI63" i="16"/>
  <c r="CJ63" i="16"/>
  <c r="CS63" i="16"/>
  <c r="BT63" i="16"/>
  <c r="CV63" i="16"/>
  <c r="BW63" i="16"/>
  <c r="CC63" i="16"/>
  <c r="DB63" i="16"/>
  <c r="DE67" i="16"/>
  <c r="CF67" i="16"/>
  <c r="DH67" i="16"/>
  <c r="CI67" i="16"/>
  <c r="CR67" i="16"/>
  <c r="BS67" i="16"/>
  <c r="BY67" i="16"/>
  <c r="CX67" i="16"/>
  <c r="DB73" i="16"/>
  <c r="CC73" i="16"/>
  <c r="DC65" i="16"/>
  <c r="CD65" i="16"/>
  <c r="DJ65" i="16"/>
  <c r="CK65" i="16"/>
  <c r="CT65" i="16"/>
  <c r="BU65" i="16"/>
  <c r="BW65" i="16"/>
  <c r="CV65" i="16"/>
  <c r="DK63" i="16"/>
  <c r="CL63" i="16"/>
  <c r="CQ67" i="16"/>
  <c r="BR67" i="16"/>
  <c r="CR70" i="16"/>
  <c r="BS70" i="16"/>
  <c r="DC71" i="16"/>
  <c r="CD71" i="16"/>
  <c r="DB72" i="16"/>
  <c r="CC72" i="16"/>
  <c r="DA73" i="16"/>
  <c r="CB73" i="16"/>
  <c r="CZ74" i="16"/>
  <c r="CA74" i="16"/>
  <c r="CY75" i="16"/>
  <c r="BZ75" i="16"/>
  <c r="CX76" i="16"/>
  <c r="BY76" i="16"/>
  <c r="CW77" i="16"/>
  <c r="BX77" i="16"/>
  <c r="CV78" i="16"/>
  <c r="BW78" i="16"/>
  <c r="CU79" i="16"/>
  <c r="BV79" i="16"/>
  <c r="DK79" i="16"/>
  <c r="CL79" i="16"/>
  <c r="DJ80" i="16"/>
  <c r="CK80" i="16"/>
  <c r="CP70" i="16"/>
  <c r="BQ70" i="16"/>
  <c r="DD64" i="16"/>
  <c r="CE64" i="16"/>
  <c r="DK64" i="16"/>
  <c r="CL64" i="16"/>
  <c r="CU64" i="16"/>
  <c r="BV64" i="16"/>
  <c r="DA64" i="16"/>
  <c r="CB64" i="16"/>
  <c r="DD68" i="16"/>
  <c r="CE68" i="16"/>
  <c r="DK68" i="16"/>
  <c r="CL68" i="16"/>
  <c r="CU68" i="16"/>
  <c r="BV68" i="16"/>
  <c r="DA68" i="16"/>
  <c r="CB68" i="16"/>
  <c r="DC69" i="16"/>
  <c r="CD69" i="16"/>
  <c r="DJ69" i="16"/>
  <c r="CK69" i="16"/>
  <c r="CT69" i="16"/>
  <c r="BU69" i="16"/>
  <c r="CV69" i="16"/>
  <c r="BW69" i="16"/>
  <c r="CR62" i="16"/>
  <c r="BS62" i="16"/>
  <c r="DI65" i="16"/>
  <c r="CJ65" i="16"/>
  <c r="CZ70" i="16"/>
  <c r="CA70" i="16"/>
  <c r="DA71" i="16"/>
  <c r="CB71" i="16"/>
  <c r="CV72" i="16"/>
  <c r="BW72" i="16"/>
  <c r="CQ73" i="16"/>
  <c r="BR73" i="16"/>
  <c r="DG73" i="16"/>
  <c r="CH73" i="16"/>
  <c r="DB74" i="16"/>
  <c r="CC74" i="16"/>
  <c r="CW75" i="16"/>
  <c r="BX75" i="16"/>
  <c r="CR76" i="16"/>
  <c r="BS76" i="16"/>
  <c r="DH76" i="16"/>
  <c r="CI76" i="16"/>
  <c r="DC77" i="16"/>
  <c r="CD77" i="16"/>
  <c r="CX78" i="16"/>
  <c r="BY78" i="16"/>
  <c r="CS79" i="16"/>
  <c r="BT79" i="16"/>
  <c r="DI79" i="16"/>
  <c r="CJ79" i="16"/>
  <c r="DD80" i="16"/>
  <c r="CE80" i="16"/>
  <c r="CP64" i="16"/>
  <c r="BQ64" i="16"/>
  <c r="CP80" i="16"/>
  <c r="BQ80" i="16"/>
  <c r="CX62" i="16"/>
  <c r="BY62" i="16"/>
  <c r="CB62" i="16"/>
  <c r="DA62" i="16"/>
  <c r="DG62" i="16"/>
  <c r="CH62" i="16"/>
  <c r="CQ62" i="16"/>
  <c r="BR62" i="16"/>
  <c r="CX66" i="16"/>
  <c r="BY66" i="16"/>
  <c r="DA66" i="16"/>
  <c r="CB66" i="16"/>
  <c r="DG66" i="16"/>
  <c r="CH66" i="16"/>
  <c r="CQ66" i="16"/>
  <c r="BR66" i="16"/>
  <c r="CT70" i="16"/>
  <c r="BU70" i="16"/>
  <c r="CW70" i="16"/>
  <c r="BX70" i="16"/>
  <c r="CU70" i="16"/>
  <c r="BV70" i="16"/>
  <c r="CS61" i="16"/>
  <c r="BT61" i="16"/>
  <c r="DJ77" i="16"/>
  <c r="CK77" i="16"/>
  <c r="CY61" i="16"/>
  <c r="BZ61" i="16"/>
  <c r="DF61" i="16"/>
  <c r="CG61" i="16"/>
  <c r="CI61" i="16"/>
  <c r="DH61" i="16"/>
  <c r="BS61" i="16"/>
  <c r="CR61" i="16"/>
  <c r="DG63" i="16"/>
  <c r="CH63" i="16"/>
  <c r="DC67" i="16"/>
  <c r="CD67" i="16"/>
  <c r="DK70" i="16"/>
  <c r="CL70" i="16"/>
  <c r="DF71" i="16"/>
  <c r="CG71" i="16"/>
  <c r="DA72" i="16"/>
  <c r="CB72" i="16"/>
  <c r="CV73" i="16"/>
  <c r="BW73" i="16"/>
  <c r="CQ74" i="16"/>
  <c r="BR74" i="16"/>
  <c r="DG74" i="16"/>
  <c r="CH74" i="16"/>
  <c r="DB75" i="16"/>
  <c r="CC75" i="16"/>
  <c r="CW76" i="16"/>
  <c r="BX76" i="16"/>
  <c r="CR77" i="16"/>
  <c r="BS77" i="16"/>
  <c r="DH77" i="16"/>
  <c r="CI77" i="16"/>
  <c r="DC78" i="16"/>
  <c r="CD78" i="16"/>
  <c r="CX79" i="16"/>
  <c r="BY79" i="16"/>
  <c r="CS80" i="16"/>
  <c r="BT80" i="16"/>
  <c r="DI80" i="16"/>
  <c r="CJ80" i="16"/>
  <c r="CP69" i="16"/>
  <c r="BQ69" i="16"/>
  <c r="DE63" i="16"/>
  <c r="CF63" i="16"/>
  <c r="DH63" i="16"/>
  <c r="CI63" i="16"/>
  <c r="CR63" i="16"/>
  <c r="BS63" i="16"/>
  <c r="CX63" i="16"/>
  <c r="BY63" i="16"/>
  <c r="DA67" i="16"/>
  <c r="CB67" i="16"/>
  <c r="DD67" i="16"/>
  <c r="CE67" i="16"/>
  <c r="DJ67" i="16"/>
  <c r="CK67" i="16"/>
  <c r="CT67" i="16"/>
  <c r="BU67" i="16"/>
  <c r="DE65" i="16"/>
  <c r="CF65" i="16"/>
  <c r="CY65" i="16"/>
  <c r="BZ65" i="16"/>
  <c r="DF65" i="16"/>
  <c r="CG65" i="16"/>
  <c r="DH65" i="16"/>
  <c r="CI65" i="16"/>
  <c r="CR65" i="16"/>
  <c r="BS65" i="16"/>
  <c r="CN90" i="16"/>
  <c r="I90" i="16" s="1"/>
  <c r="M90" i="16" s="1"/>
  <c r="CN95" i="16"/>
  <c r="H95" i="16" s="1"/>
  <c r="L95" i="16" s="1"/>
  <c r="CN91" i="16"/>
  <c r="H91" i="16" s="1"/>
  <c r="L91" i="16" s="1"/>
  <c r="CN87" i="16"/>
  <c r="H87" i="16" s="1"/>
  <c r="L87" i="16" s="1"/>
  <c r="CN96" i="16"/>
  <c r="CN92" i="16"/>
  <c r="H92" i="16" s="1"/>
  <c r="L92" i="16" s="1"/>
  <c r="CN94" i="16"/>
  <c r="CN88" i="16"/>
  <c r="H88" i="16" s="1"/>
  <c r="L88" i="16" s="1"/>
  <c r="CN97" i="16"/>
  <c r="H97" i="16" s="1"/>
  <c r="L97" i="16" s="1"/>
  <c r="CN93" i="16"/>
  <c r="CN89" i="16"/>
  <c r="DM103" i="16"/>
  <c r="I103" i="16" s="1"/>
  <c r="M103" i="16" s="1"/>
  <c r="DM101" i="16"/>
  <c r="I101" i="16" s="1"/>
  <c r="M101" i="16" s="1"/>
  <c r="DM99" i="16"/>
  <c r="I99" i="16" s="1"/>
  <c r="M99" i="16" s="1"/>
  <c r="DM97" i="16"/>
  <c r="DM95" i="16"/>
  <c r="DM93" i="16"/>
  <c r="DM91" i="16"/>
  <c r="DM89" i="16"/>
  <c r="DM87" i="16"/>
  <c r="DM104" i="16"/>
  <c r="I104" i="16" s="1"/>
  <c r="M104" i="16" s="1"/>
  <c r="DM102" i="16"/>
  <c r="I102" i="16" s="1"/>
  <c r="M102" i="16" s="1"/>
  <c r="DM100" i="16"/>
  <c r="DM98" i="16"/>
  <c r="I98" i="16" s="1"/>
  <c r="M98" i="16" s="1"/>
  <c r="DM96" i="16"/>
  <c r="DM94" i="16"/>
  <c r="DM92" i="16"/>
  <c r="DM90" i="16"/>
  <c r="DM88" i="16"/>
  <c r="I93" i="16" l="1"/>
  <c r="M93" i="16" s="1"/>
  <c r="I100" i="16"/>
  <c r="M100" i="16" s="1"/>
  <c r="I89" i="16"/>
  <c r="M89" i="16" s="1"/>
  <c r="I97" i="16"/>
  <c r="M97" i="16" s="1"/>
  <c r="I87" i="16"/>
  <c r="M87" i="16" s="1"/>
  <c r="I94" i="16"/>
  <c r="M94" i="16" s="1"/>
  <c r="H93" i="16"/>
  <c r="L93" i="16" s="1"/>
  <c r="I96" i="16"/>
  <c r="M96" i="16" s="1"/>
  <c r="I88" i="16"/>
  <c r="M88" i="16" s="1"/>
  <c r="I91" i="16"/>
  <c r="M91" i="16" s="1"/>
  <c r="H89" i="16"/>
  <c r="L89" i="16" s="1"/>
  <c r="I95" i="16"/>
  <c r="M95" i="16" s="1"/>
  <c r="H96" i="16"/>
  <c r="L96" i="16" s="1"/>
  <c r="H94" i="16"/>
  <c r="L94" i="16" s="1"/>
  <c r="I92" i="16"/>
  <c r="M92" i="16" s="1"/>
  <c r="DM69" i="16"/>
  <c r="DM79" i="16"/>
  <c r="DM75" i="16"/>
  <c r="CN75" i="16"/>
  <c r="CN63" i="16"/>
  <c r="DM71" i="16"/>
  <c r="CN64" i="16"/>
  <c r="CN79" i="16"/>
  <c r="CN71" i="16"/>
  <c r="CN67" i="16"/>
  <c r="DM63" i="16"/>
  <c r="CN69" i="16"/>
  <c r="DM64" i="16"/>
  <c r="DM67" i="16"/>
  <c r="CN80" i="16"/>
  <c r="DM70" i="16"/>
  <c r="CN76" i="16"/>
  <c r="CN66" i="16"/>
  <c r="CN61" i="16"/>
  <c r="DM72" i="16"/>
  <c r="DM62" i="16"/>
  <c r="CN68" i="16"/>
  <c r="DM80" i="16"/>
  <c r="CN65" i="16"/>
  <c r="DM76" i="16"/>
  <c r="DM66" i="16"/>
  <c r="DM61" i="16"/>
  <c r="CN78" i="16"/>
  <c r="CN73" i="16"/>
  <c r="DM68" i="16"/>
  <c r="CN74" i="16"/>
  <c r="DM65" i="16"/>
  <c r="CN77" i="16"/>
  <c r="DM78" i="16"/>
  <c r="DM73" i="16"/>
  <c r="DM74" i="16"/>
  <c r="CN70" i="16"/>
  <c r="DM77" i="16"/>
  <c r="CN72" i="16"/>
  <c r="CN62" i="16"/>
  <c r="D5" i="2"/>
  <c r="AX6" i="16"/>
  <c r="AU29" i="16"/>
  <c r="AS30" i="16"/>
  <c r="AU31" i="16"/>
  <c r="AS32" i="16"/>
  <c r="AU33" i="16"/>
  <c r="AS34" i="16"/>
  <c r="AU35" i="16"/>
  <c r="AS36" i="16"/>
  <c r="AU37" i="16"/>
  <c r="AS38" i="16"/>
  <c r="AU39" i="16"/>
  <c r="AS40" i="16"/>
  <c r="AZ41" i="16"/>
  <c r="AX42" i="16"/>
  <c r="BL43" i="16"/>
  <c r="AX44" i="16"/>
  <c r="AR45" i="16"/>
  <c r="BF46" i="16"/>
  <c r="BD47" i="16"/>
  <c r="AZ49" i="16"/>
  <c r="AX50" i="16"/>
  <c r="AV51" i="16"/>
  <c r="BB52" i="16"/>
  <c r="AR53" i="16"/>
  <c r="BF54" i="16"/>
  <c r="BD55" i="16"/>
  <c r="AZ57" i="16"/>
  <c r="AX58" i="16"/>
  <c r="AV59" i="16"/>
  <c r="AX60" i="16"/>
  <c r="AR81" i="16"/>
  <c r="BF82" i="16"/>
  <c r="BD83" i="16"/>
  <c r="AT84" i="16"/>
  <c r="AZ85" i="16"/>
  <c r="AV7" i="16"/>
  <c r="AX8" i="16"/>
  <c r="AR9" i="16"/>
  <c r="BF10" i="16"/>
  <c r="BD11" i="16"/>
  <c r="AR12" i="16"/>
  <c r="AS13" i="16"/>
  <c r="AU14" i="16"/>
  <c r="AS15" i="16"/>
  <c r="AU16" i="16"/>
  <c r="AS17" i="16"/>
  <c r="AU18" i="16"/>
  <c r="AS19" i="16"/>
  <c r="AU20" i="16"/>
  <c r="AS21" i="16"/>
  <c r="AU22" i="16"/>
  <c r="AS23" i="16"/>
  <c r="AU24" i="16"/>
  <c r="AS25" i="16"/>
  <c r="AU26" i="16"/>
  <c r="AR27" i="16"/>
  <c r="AS28" i="16"/>
  <c r="AR5" i="16"/>
  <c r="C30" i="2"/>
  <c r="AE8" i="17"/>
  <c r="AE4" i="17"/>
  <c r="AE5" i="17"/>
  <c r="AE6" i="17"/>
  <c r="AE7" i="17"/>
  <c r="AE9" i="17"/>
  <c r="AE10" i="17"/>
  <c r="AE11" i="17"/>
  <c r="AE12" i="17"/>
  <c r="AE13" i="17"/>
  <c r="AE14" i="17"/>
  <c r="AE15" i="17"/>
  <c r="AE16" i="17"/>
  <c r="AE17" i="17"/>
  <c r="AE18" i="17"/>
  <c r="AE19" i="17"/>
  <c r="AE20" i="17"/>
  <c r="AE21" i="17"/>
  <c r="AE22" i="17"/>
  <c r="AE23" i="17"/>
  <c r="AE24" i="17"/>
  <c r="AE25" i="17"/>
  <c r="AE26" i="17"/>
  <c r="AE27" i="17"/>
  <c r="AE28" i="17"/>
  <c r="AE29" i="17"/>
  <c r="AE30" i="17"/>
  <c r="AE31" i="17"/>
  <c r="AE32" i="17"/>
  <c r="AE33" i="17"/>
  <c r="AE34" i="17"/>
  <c r="AE35" i="17"/>
  <c r="AE36" i="17"/>
  <c r="AE37" i="17"/>
  <c r="AE38" i="17"/>
  <c r="AE39" i="17"/>
  <c r="AE40" i="17"/>
  <c r="AE41" i="17"/>
  <c r="AE42" i="17"/>
  <c r="AE43" i="17"/>
  <c r="AE44" i="17"/>
  <c r="AE45" i="17"/>
  <c r="AE46" i="17"/>
  <c r="AE47" i="17"/>
  <c r="AE48" i="17"/>
  <c r="AE49" i="17"/>
  <c r="AE50" i="17"/>
  <c r="AE51" i="17"/>
  <c r="AE52" i="17"/>
  <c r="AE53" i="17"/>
  <c r="AE54" i="17"/>
  <c r="AE55" i="17"/>
  <c r="AE56" i="17"/>
  <c r="AE57" i="17"/>
  <c r="AE58" i="17"/>
  <c r="AE3" i="17"/>
  <c r="N4" i="17"/>
  <c r="N5" i="17"/>
  <c r="N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0" i="17"/>
  <c r="N31" i="17"/>
  <c r="N32" i="17"/>
  <c r="N33" i="17"/>
  <c r="N34" i="17"/>
  <c r="N35" i="17"/>
  <c r="N36" i="17"/>
  <c r="N37" i="17"/>
  <c r="N38" i="17"/>
  <c r="N39" i="17"/>
  <c r="N40" i="17"/>
  <c r="N41" i="17"/>
  <c r="N42" i="17"/>
  <c r="N43" i="17"/>
  <c r="N44" i="17"/>
  <c r="N45" i="17"/>
  <c r="N46" i="17"/>
  <c r="N47" i="17"/>
  <c r="N48" i="17"/>
  <c r="N49" i="17"/>
  <c r="N50" i="17"/>
  <c r="N51" i="17"/>
  <c r="N52" i="17"/>
  <c r="N53" i="17"/>
  <c r="N54" i="17"/>
  <c r="N55" i="17"/>
  <c r="N56" i="17"/>
  <c r="N57" i="17"/>
  <c r="N58" i="17"/>
  <c r="N3" i="17"/>
  <c r="AM7" i="16"/>
  <c r="AM8" i="16"/>
  <c r="AM9" i="16"/>
  <c r="AM10" i="16"/>
  <c r="AM11" i="16"/>
  <c r="AM12" i="16"/>
  <c r="AM13" i="16"/>
  <c r="AM14" i="16"/>
  <c r="AM15" i="16"/>
  <c r="AM16" i="16"/>
  <c r="AM17" i="16"/>
  <c r="AM18" i="16"/>
  <c r="AM19" i="16"/>
  <c r="AM20" i="16"/>
  <c r="AM21" i="16"/>
  <c r="AM22" i="16"/>
  <c r="AM23" i="16"/>
  <c r="AM24" i="16"/>
  <c r="AM25" i="16"/>
  <c r="AM26" i="16"/>
  <c r="AM27" i="16"/>
  <c r="AM28" i="16"/>
  <c r="AM29" i="16"/>
  <c r="AM30" i="16"/>
  <c r="AM31" i="16"/>
  <c r="AM32" i="16"/>
  <c r="AM33" i="16"/>
  <c r="AM34" i="16"/>
  <c r="AM35" i="16"/>
  <c r="AM36" i="16"/>
  <c r="AM37" i="16"/>
  <c r="AM38" i="16"/>
  <c r="AM39" i="16"/>
  <c r="AM40" i="16"/>
  <c r="AM41" i="16"/>
  <c r="AM42" i="16"/>
  <c r="AM43" i="16"/>
  <c r="AM44" i="16"/>
  <c r="AM45" i="16"/>
  <c r="AM46" i="16"/>
  <c r="AM47" i="16"/>
  <c r="AM48" i="16"/>
  <c r="AM49" i="16"/>
  <c r="AM52" i="16"/>
  <c r="AM53" i="16"/>
  <c r="AM54" i="16"/>
  <c r="AM55" i="16"/>
  <c r="AM56" i="16"/>
  <c r="AM57" i="16"/>
  <c r="AM58" i="16"/>
  <c r="AM59" i="16"/>
  <c r="AM60" i="16"/>
  <c r="H62" i="16" l="1"/>
  <c r="L62" i="16" s="1"/>
  <c r="I62" i="16"/>
  <c r="M62" i="16" s="1"/>
  <c r="H78" i="16"/>
  <c r="L78" i="16" s="1"/>
  <c r="I78" i="16"/>
  <c r="M78" i="16" s="1"/>
  <c r="H65" i="16"/>
  <c r="L65" i="16" s="1"/>
  <c r="I65" i="16"/>
  <c r="M65" i="16" s="1"/>
  <c r="H69" i="16"/>
  <c r="L69" i="16" s="1"/>
  <c r="I69" i="16"/>
  <c r="M69" i="16" s="1"/>
  <c r="H79" i="16"/>
  <c r="L79" i="16" s="1"/>
  <c r="I79" i="16"/>
  <c r="M79" i="16" s="1"/>
  <c r="H75" i="16"/>
  <c r="L75" i="16" s="1"/>
  <c r="I75" i="16"/>
  <c r="M75" i="16" s="1"/>
  <c r="H72" i="16"/>
  <c r="L72" i="16" s="1"/>
  <c r="I72" i="16"/>
  <c r="M72" i="16" s="1"/>
  <c r="H74" i="16"/>
  <c r="L74" i="16" s="1"/>
  <c r="I74" i="16"/>
  <c r="M74" i="16" s="1"/>
  <c r="H61" i="16"/>
  <c r="L61" i="16" s="1"/>
  <c r="I61" i="16"/>
  <c r="M61" i="16" s="1"/>
  <c r="H80" i="16"/>
  <c r="L80" i="16" s="1"/>
  <c r="I80" i="16"/>
  <c r="M80" i="16" s="1"/>
  <c r="H64" i="16"/>
  <c r="L64" i="16" s="1"/>
  <c r="I64" i="16"/>
  <c r="M64" i="16" s="1"/>
  <c r="H68" i="16"/>
  <c r="L68" i="16" s="1"/>
  <c r="I68" i="16"/>
  <c r="M68" i="16" s="1"/>
  <c r="H66" i="16"/>
  <c r="L66" i="16" s="1"/>
  <c r="I66" i="16"/>
  <c r="M66" i="16" s="1"/>
  <c r="H67" i="16"/>
  <c r="L67" i="16" s="1"/>
  <c r="I67" i="16"/>
  <c r="M67" i="16" s="1"/>
  <c r="H70" i="16"/>
  <c r="L70" i="16" s="1"/>
  <c r="I70" i="16"/>
  <c r="M70" i="16" s="1"/>
  <c r="H77" i="16"/>
  <c r="L77" i="16" s="1"/>
  <c r="I77" i="16"/>
  <c r="M77" i="16" s="1"/>
  <c r="H73" i="16"/>
  <c r="L73" i="16" s="1"/>
  <c r="I73" i="16"/>
  <c r="M73" i="16" s="1"/>
  <c r="H76" i="16"/>
  <c r="L76" i="16" s="1"/>
  <c r="I76" i="16"/>
  <c r="M76" i="16" s="1"/>
  <c r="H71" i="16"/>
  <c r="L71" i="16" s="1"/>
  <c r="I71" i="16"/>
  <c r="M71" i="16" s="1"/>
  <c r="H63" i="16"/>
  <c r="L63" i="16" s="1"/>
  <c r="I63" i="16"/>
  <c r="M63" i="16" s="1"/>
  <c r="DC86" i="16"/>
  <c r="BC5" i="16"/>
  <c r="DA5" i="16" s="1"/>
  <c r="BF39" i="16"/>
  <c r="DD39" i="16" s="1"/>
  <c r="BL38" i="16"/>
  <c r="DJ38" i="16" s="1"/>
  <c r="AV38" i="16"/>
  <c r="CT38" i="16" s="1"/>
  <c r="BB37" i="16"/>
  <c r="CZ37" i="16" s="1"/>
  <c r="BF35" i="16"/>
  <c r="DD35" i="16" s="1"/>
  <c r="BL34" i="16"/>
  <c r="CK34" i="16" s="1"/>
  <c r="AV34" i="16"/>
  <c r="CT34" i="16" s="1"/>
  <c r="BB33" i="16"/>
  <c r="CZ33" i="16" s="1"/>
  <c r="BF31" i="16"/>
  <c r="CE31" i="16" s="1"/>
  <c r="BL30" i="16"/>
  <c r="DJ30" i="16" s="1"/>
  <c r="AV30" i="16"/>
  <c r="CT30" i="16" s="1"/>
  <c r="BB29" i="16"/>
  <c r="CA29" i="16" s="1"/>
  <c r="BF26" i="16"/>
  <c r="CE26" i="16" s="1"/>
  <c r="BL25" i="16"/>
  <c r="DJ25" i="16" s="1"/>
  <c r="AV25" i="16"/>
  <c r="CT25" i="16" s="1"/>
  <c r="BD23" i="16"/>
  <c r="DB23" i="16" s="1"/>
  <c r="BJ22" i="16"/>
  <c r="CI22" i="16" s="1"/>
  <c r="AT22" i="16"/>
  <c r="CR22" i="16" s="1"/>
  <c r="AZ21" i="16"/>
  <c r="BY21" i="16" s="1"/>
  <c r="BH19" i="16"/>
  <c r="DF19" i="16" s="1"/>
  <c r="AR19" i="16"/>
  <c r="CP19" i="16" s="1"/>
  <c r="AX18" i="16"/>
  <c r="CV18" i="16" s="1"/>
  <c r="BD17" i="16"/>
  <c r="DB17" i="16" s="1"/>
  <c r="BL15" i="16"/>
  <c r="DJ15" i="16" s="1"/>
  <c r="AV15" i="16"/>
  <c r="CT15" i="16" s="1"/>
  <c r="BB14" i="16"/>
  <c r="CA14" i="16" s="1"/>
  <c r="BH13" i="16"/>
  <c r="CG13" i="16" s="1"/>
  <c r="AR13" i="16"/>
  <c r="CP13" i="16" s="1"/>
  <c r="AZ9" i="16"/>
  <c r="CX9" i="16" s="1"/>
  <c r="AR85" i="16"/>
  <c r="CP85" i="16" s="1"/>
  <c r="AZ81" i="16"/>
  <c r="CX81" i="16" s="1"/>
  <c r="BH57" i="16"/>
  <c r="CG57" i="16" s="1"/>
  <c r="AT54" i="16"/>
  <c r="CR54" i="16" s="1"/>
  <c r="BB50" i="16"/>
  <c r="CA50" i="16" s="1"/>
  <c r="BJ46" i="16"/>
  <c r="DH46" i="16" s="1"/>
  <c r="AV43" i="16"/>
  <c r="CT43" i="16" s="1"/>
  <c r="BG5" i="16"/>
  <c r="DE5" i="16" s="1"/>
  <c r="BB39" i="16"/>
  <c r="CZ39" i="16" s="1"/>
  <c r="BH38" i="16"/>
  <c r="DF38" i="16" s="1"/>
  <c r="AR38" i="16"/>
  <c r="BQ38" i="16" s="1"/>
  <c r="AX37" i="16"/>
  <c r="CV37" i="16" s="1"/>
  <c r="BB35" i="16"/>
  <c r="CZ35" i="16" s="1"/>
  <c r="BH34" i="16"/>
  <c r="DF34" i="16" s="1"/>
  <c r="AR34" i="16"/>
  <c r="BQ34" i="16" s="1"/>
  <c r="AX33" i="16"/>
  <c r="BW33" i="16" s="1"/>
  <c r="BB31" i="16"/>
  <c r="CZ31" i="16" s="1"/>
  <c r="BH30" i="16"/>
  <c r="DF30" i="16" s="1"/>
  <c r="AR30" i="16"/>
  <c r="CP30" i="16" s="1"/>
  <c r="AX29" i="16"/>
  <c r="BW29" i="16" s="1"/>
  <c r="BB26" i="16"/>
  <c r="CA26" i="16" s="1"/>
  <c r="BH25" i="16"/>
  <c r="DF25" i="16" s="1"/>
  <c r="AR25" i="16"/>
  <c r="CP25" i="16" s="1"/>
  <c r="AZ23" i="16"/>
  <c r="BY23" i="16" s="1"/>
  <c r="BF22" i="16"/>
  <c r="CE22" i="16" s="1"/>
  <c r="BL21" i="16"/>
  <c r="DJ21" i="16" s="1"/>
  <c r="AV21" i="16"/>
  <c r="CT21" i="16" s="1"/>
  <c r="BD19" i="16"/>
  <c r="DB19" i="16" s="1"/>
  <c r="BJ18" i="16"/>
  <c r="CI18" i="16" s="1"/>
  <c r="AT18" i="16"/>
  <c r="CR18" i="16" s="1"/>
  <c r="AZ17" i="16"/>
  <c r="CX17" i="16" s="1"/>
  <c r="BH15" i="16"/>
  <c r="DF15" i="16" s="1"/>
  <c r="AR15" i="16"/>
  <c r="BQ15" i="16" s="1"/>
  <c r="AX14" i="16"/>
  <c r="BW14" i="16" s="1"/>
  <c r="BD13" i="16"/>
  <c r="DB13" i="16" s="1"/>
  <c r="BL7" i="16"/>
  <c r="DJ7" i="16" s="1"/>
  <c r="BL59" i="16"/>
  <c r="DJ59" i="16" s="1"/>
  <c r="AR57" i="16"/>
  <c r="CP57" i="16" s="1"/>
  <c r="AZ53" i="16"/>
  <c r="BY53" i="16" s="1"/>
  <c r="BH49" i="16"/>
  <c r="DF49" i="16" s="1"/>
  <c r="AT46" i="16"/>
  <c r="CR46" i="16" s="1"/>
  <c r="BB42" i="16"/>
  <c r="CZ42" i="16" s="1"/>
  <c r="AU5" i="16"/>
  <c r="CS5" i="16" s="1"/>
  <c r="BK5" i="16"/>
  <c r="DI5" i="16" s="1"/>
  <c r="AX39" i="16"/>
  <c r="CV39" i="16" s="1"/>
  <c r="BD38" i="16"/>
  <c r="DB38" i="16" s="1"/>
  <c r="BJ37" i="16"/>
  <c r="CI37" i="16" s="1"/>
  <c r="AT37" i="16"/>
  <c r="CR37" i="16" s="1"/>
  <c r="AX35" i="16"/>
  <c r="BD34" i="16"/>
  <c r="CC34" i="16" s="1"/>
  <c r="BJ33" i="16"/>
  <c r="DH33" i="16" s="1"/>
  <c r="AT33" i="16"/>
  <c r="BS33" i="16" s="1"/>
  <c r="AX31" i="16"/>
  <c r="BW31" i="16" s="1"/>
  <c r="BD30" i="16"/>
  <c r="CC30" i="16" s="1"/>
  <c r="BJ29" i="16"/>
  <c r="CI29" i="16" s="1"/>
  <c r="AT29" i="16"/>
  <c r="BS29" i="16" s="1"/>
  <c r="AX26" i="16"/>
  <c r="CV26" i="16" s="1"/>
  <c r="BD25" i="16"/>
  <c r="DB25" i="16" s="1"/>
  <c r="BL23" i="16"/>
  <c r="CK23" i="16" s="1"/>
  <c r="AV23" i="16"/>
  <c r="BU23" i="16" s="1"/>
  <c r="BB22" i="16"/>
  <c r="CA22" i="16" s="1"/>
  <c r="BH21" i="16"/>
  <c r="DF21" i="16" s="1"/>
  <c r="AR21" i="16"/>
  <c r="CP21" i="16" s="1"/>
  <c r="DM21" i="16" s="1"/>
  <c r="AZ19" i="16"/>
  <c r="CX19" i="16" s="1"/>
  <c r="BF18" i="16"/>
  <c r="DD18" i="16" s="1"/>
  <c r="BL17" i="16"/>
  <c r="CK17" i="16" s="1"/>
  <c r="AV17" i="16"/>
  <c r="CT17" i="16" s="1"/>
  <c r="BD15" i="16"/>
  <c r="CC15" i="16" s="1"/>
  <c r="BJ14" i="16"/>
  <c r="DH14" i="16" s="1"/>
  <c r="AT14" i="16"/>
  <c r="CR14" i="16" s="1"/>
  <c r="AZ13" i="16"/>
  <c r="CX13" i="16" s="1"/>
  <c r="BJ10" i="16"/>
  <c r="CI10" i="16" s="1"/>
  <c r="BJ82" i="16"/>
  <c r="DH82" i="16" s="1"/>
  <c r="BL51" i="16"/>
  <c r="DJ51" i="16" s="1"/>
  <c r="AR49" i="16"/>
  <c r="BQ49" i="16" s="1"/>
  <c r="AZ45" i="16"/>
  <c r="CX45" i="16" s="1"/>
  <c r="BH41" i="16"/>
  <c r="CG41" i="16" s="1"/>
  <c r="AY5" i="16"/>
  <c r="CW5" i="16" s="1"/>
  <c r="BJ39" i="16"/>
  <c r="DH39" i="16" s="1"/>
  <c r="AT39" i="16"/>
  <c r="CR39" i="16" s="1"/>
  <c r="AZ38" i="16"/>
  <c r="CX38" i="16" s="1"/>
  <c r="BF37" i="16"/>
  <c r="DD37" i="16" s="1"/>
  <c r="BJ35" i="16"/>
  <c r="DH35" i="16" s="1"/>
  <c r="AT35" i="16"/>
  <c r="CR35" i="16" s="1"/>
  <c r="AZ34" i="16"/>
  <c r="CX34" i="16" s="1"/>
  <c r="BF33" i="16"/>
  <c r="DD33" i="16" s="1"/>
  <c r="BJ31" i="16"/>
  <c r="DH31" i="16" s="1"/>
  <c r="AT31" i="16"/>
  <c r="BS31" i="16" s="1"/>
  <c r="AZ30" i="16"/>
  <c r="CX30" i="16" s="1"/>
  <c r="BF29" i="16"/>
  <c r="DD29" i="16" s="1"/>
  <c r="BJ26" i="16"/>
  <c r="CI26" i="16" s="1"/>
  <c r="AT26" i="16"/>
  <c r="CR26" i="16" s="1"/>
  <c r="AZ25" i="16"/>
  <c r="BY25" i="16" s="1"/>
  <c r="BH23" i="16"/>
  <c r="CG23" i="16" s="1"/>
  <c r="AR23" i="16"/>
  <c r="BQ23" i="16" s="1"/>
  <c r="AX22" i="16"/>
  <c r="BW22" i="16" s="1"/>
  <c r="BD21" i="16"/>
  <c r="CC21" i="16" s="1"/>
  <c r="BL19" i="16"/>
  <c r="CK19" i="16" s="1"/>
  <c r="AV19" i="16"/>
  <c r="CT19" i="16" s="1"/>
  <c r="BB18" i="16"/>
  <c r="CZ18" i="16" s="1"/>
  <c r="BH17" i="16"/>
  <c r="DF17" i="16" s="1"/>
  <c r="AR17" i="16"/>
  <c r="CP17" i="16" s="1"/>
  <c r="AZ15" i="16"/>
  <c r="BY15" i="16" s="1"/>
  <c r="BF14" i="16"/>
  <c r="DD14" i="16" s="1"/>
  <c r="BL13" i="16"/>
  <c r="DJ13" i="16" s="1"/>
  <c r="AV13" i="16"/>
  <c r="CT13" i="16" s="1"/>
  <c r="AT10" i="16"/>
  <c r="CR10" i="16" s="1"/>
  <c r="BH85" i="16"/>
  <c r="DF85" i="16" s="1"/>
  <c r="AT82" i="16"/>
  <c r="CR82" i="16" s="1"/>
  <c r="BB58" i="16"/>
  <c r="CZ58" i="16" s="1"/>
  <c r="BJ54" i="16"/>
  <c r="DH54" i="16" s="1"/>
  <c r="AR41" i="16"/>
  <c r="BQ41" i="16" s="1"/>
  <c r="CS24" i="16"/>
  <c r="BT24" i="16"/>
  <c r="CQ28" i="16"/>
  <c r="BR28" i="16"/>
  <c r="CS16" i="16"/>
  <c r="BT16" i="16"/>
  <c r="CR84" i="16"/>
  <c r="BS84" i="16"/>
  <c r="CZ52" i="16"/>
  <c r="CA52" i="16"/>
  <c r="CQ36" i="16"/>
  <c r="BR36" i="16"/>
  <c r="CV6" i="16"/>
  <c r="BW6" i="16"/>
  <c r="CQ23" i="16"/>
  <c r="BR23" i="16"/>
  <c r="CQ15" i="16"/>
  <c r="BR15" i="16"/>
  <c r="CS39" i="16"/>
  <c r="BT39" i="16"/>
  <c r="CS35" i="16"/>
  <c r="BT35" i="16"/>
  <c r="CS26" i="16"/>
  <c r="BT26" i="16"/>
  <c r="CS22" i="16"/>
  <c r="BT22" i="16"/>
  <c r="CS18" i="16"/>
  <c r="BT18" i="16"/>
  <c r="CS14" i="16"/>
  <c r="BT14" i="16"/>
  <c r="DD10" i="16"/>
  <c r="CE10" i="16"/>
  <c r="DD82" i="16"/>
  <c r="CE82" i="16"/>
  <c r="CV58" i="16"/>
  <c r="BW58" i="16"/>
  <c r="DD54" i="16"/>
  <c r="CE54" i="16"/>
  <c r="CV50" i="16"/>
  <c r="BW50" i="16"/>
  <c r="DD46" i="16"/>
  <c r="CE46" i="16"/>
  <c r="CV42" i="16"/>
  <c r="BW42" i="16"/>
  <c r="CQ38" i="16"/>
  <c r="BR38" i="16"/>
  <c r="CQ34" i="16"/>
  <c r="BR34" i="16"/>
  <c r="CQ30" i="16"/>
  <c r="BR30" i="16"/>
  <c r="CS20" i="16"/>
  <c r="BT20" i="16"/>
  <c r="CV8" i="16"/>
  <c r="BW8" i="16"/>
  <c r="CV60" i="16"/>
  <c r="BW60" i="16"/>
  <c r="CV44" i="16"/>
  <c r="BW44" i="16"/>
  <c r="CQ40" i="16"/>
  <c r="BR40" i="16"/>
  <c r="CQ32" i="16"/>
  <c r="BR32" i="16"/>
  <c r="CQ19" i="16"/>
  <c r="BR19" i="16"/>
  <c r="CS31" i="16"/>
  <c r="BT31" i="16"/>
  <c r="CQ25" i="16"/>
  <c r="BR25" i="16"/>
  <c r="CQ21" i="16"/>
  <c r="BR21" i="16"/>
  <c r="CQ17" i="16"/>
  <c r="BR17" i="16"/>
  <c r="CQ13" i="16"/>
  <c r="BR13" i="16"/>
  <c r="CP9" i="16"/>
  <c r="BQ9" i="16"/>
  <c r="CX85" i="16"/>
  <c r="BY85" i="16"/>
  <c r="CP81" i="16"/>
  <c r="BQ81" i="16"/>
  <c r="CX57" i="16"/>
  <c r="BY57" i="16"/>
  <c r="CP53" i="16"/>
  <c r="BQ53" i="16"/>
  <c r="CX49" i="16"/>
  <c r="BY49" i="16"/>
  <c r="CP45" i="16"/>
  <c r="BQ45" i="16"/>
  <c r="CX41" i="16"/>
  <c r="BY41" i="16"/>
  <c r="CS37" i="16"/>
  <c r="BT37" i="16"/>
  <c r="CS33" i="16"/>
  <c r="BT33" i="16"/>
  <c r="CS29" i="16"/>
  <c r="BT29" i="16"/>
  <c r="AU56" i="16"/>
  <c r="AY56" i="16"/>
  <c r="BC56" i="16"/>
  <c r="BG56" i="16"/>
  <c r="BK56" i="16"/>
  <c r="AR56" i="16"/>
  <c r="AV56" i="16"/>
  <c r="AZ56" i="16"/>
  <c r="BD56" i="16"/>
  <c r="BH56" i="16"/>
  <c r="BL56" i="16"/>
  <c r="AS56" i="16"/>
  <c r="AW56" i="16"/>
  <c r="BA56" i="16"/>
  <c r="BE56" i="16"/>
  <c r="BI56" i="16"/>
  <c r="BN56" i="16"/>
  <c r="AU48" i="16"/>
  <c r="AY48" i="16"/>
  <c r="BC48" i="16"/>
  <c r="BG48" i="16"/>
  <c r="BK48" i="16"/>
  <c r="AR48" i="16"/>
  <c r="AV48" i="16"/>
  <c r="AZ48" i="16"/>
  <c r="BD48" i="16"/>
  <c r="BH48" i="16"/>
  <c r="BL48" i="16"/>
  <c r="AS48" i="16"/>
  <c r="AW48" i="16"/>
  <c r="BA48" i="16"/>
  <c r="BE48" i="16"/>
  <c r="BI48" i="16"/>
  <c r="BN48" i="16"/>
  <c r="BD40" i="16"/>
  <c r="AR40" i="16"/>
  <c r="BL36" i="16"/>
  <c r="AZ36" i="16"/>
  <c r="CV35" i="16"/>
  <c r="BW35" i="16"/>
  <c r="BD32" i="16"/>
  <c r="AR32" i="16"/>
  <c r="BH28" i="16"/>
  <c r="AV28" i="16"/>
  <c r="BF24" i="16"/>
  <c r="BJ20" i="16"/>
  <c r="AX20" i="16"/>
  <c r="BJ16" i="16"/>
  <c r="AX16" i="16"/>
  <c r="BB12" i="16"/>
  <c r="BF8" i="16"/>
  <c r="BB6" i="16"/>
  <c r="AX84" i="16"/>
  <c r="DB47" i="16"/>
  <c r="CC47" i="16"/>
  <c r="CP27" i="16"/>
  <c r="BQ27" i="16"/>
  <c r="AS11" i="16"/>
  <c r="AW11" i="16"/>
  <c r="BA11" i="16"/>
  <c r="BE11" i="16"/>
  <c r="BI11" i="16"/>
  <c r="BN11" i="16"/>
  <c r="AT11" i="16"/>
  <c r="AX11" i="16"/>
  <c r="BB11" i="16"/>
  <c r="BF11" i="16"/>
  <c r="BJ11" i="16"/>
  <c r="AU11" i="16"/>
  <c r="AY11" i="16"/>
  <c r="BC11" i="16"/>
  <c r="BG11" i="16"/>
  <c r="BK11" i="16"/>
  <c r="AS7" i="16"/>
  <c r="AW7" i="16"/>
  <c r="BA7" i="16"/>
  <c r="BE7" i="16"/>
  <c r="BI7" i="16"/>
  <c r="BN7" i="16"/>
  <c r="AT7" i="16"/>
  <c r="AX7" i="16"/>
  <c r="BB7" i="16"/>
  <c r="BF7" i="16"/>
  <c r="BJ7" i="16"/>
  <c r="AU7" i="16"/>
  <c r="AY7" i="16"/>
  <c r="BC7" i="16"/>
  <c r="BG7" i="16"/>
  <c r="BK7" i="16"/>
  <c r="AS83" i="16"/>
  <c r="AW83" i="16"/>
  <c r="BA83" i="16"/>
  <c r="BE83" i="16"/>
  <c r="BI83" i="16"/>
  <c r="BN83" i="16"/>
  <c r="AT83" i="16"/>
  <c r="AX83" i="16"/>
  <c r="BB83" i="16"/>
  <c r="BF83" i="16"/>
  <c r="BJ83" i="16"/>
  <c r="AU83" i="16"/>
  <c r="AY83" i="16"/>
  <c r="BC83" i="16"/>
  <c r="BG83" i="16"/>
  <c r="BK83" i="16"/>
  <c r="AS59" i="16"/>
  <c r="AW59" i="16"/>
  <c r="BA59" i="16"/>
  <c r="BE59" i="16"/>
  <c r="BI59" i="16"/>
  <c r="BN59" i="16"/>
  <c r="AT59" i="16"/>
  <c r="AX59" i="16"/>
  <c r="BB59" i="16"/>
  <c r="BF59" i="16"/>
  <c r="BJ59" i="16"/>
  <c r="AU59" i="16"/>
  <c r="AY59" i="16"/>
  <c r="BC59" i="16"/>
  <c r="BG59" i="16"/>
  <c r="BK59" i="16"/>
  <c r="AS55" i="16"/>
  <c r="AW55" i="16"/>
  <c r="BA55" i="16"/>
  <c r="BE55" i="16"/>
  <c r="BI55" i="16"/>
  <c r="BN55" i="16"/>
  <c r="AT55" i="16"/>
  <c r="AX55" i="16"/>
  <c r="BB55" i="16"/>
  <c r="BF55" i="16"/>
  <c r="BJ55" i="16"/>
  <c r="AU55" i="16"/>
  <c r="AY55" i="16"/>
  <c r="BC55" i="16"/>
  <c r="BG55" i="16"/>
  <c r="BK55" i="16"/>
  <c r="AS51" i="16"/>
  <c r="AW51" i="16"/>
  <c r="BA51" i="16"/>
  <c r="BE51" i="16"/>
  <c r="BI51" i="16"/>
  <c r="BN51" i="16"/>
  <c r="AT51" i="16"/>
  <c r="AX51" i="16"/>
  <c r="BB51" i="16"/>
  <c r="BF51" i="16"/>
  <c r="BJ51" i="16"/>
  <c r="AU51" i="16"/>
  <c r="AY51" i="16"/>
  <c r="BC51" i="16"/>
  <c r="BG51" i="16"/>
  <c r="BK51" i="16"/>
  <c r="AS47" i="16"/>
  <c r="AW47" i="16"/>
  <c r="BA47" i="16"/>
  <c r="BE47" i="16"/>
  <c r="BI47" i="16"/>
  <c r="BN47" i="16"/>
  <c r="AT47" i="16"/>
  <c r="AX47" i="16"/>
  <c r="BB47" i="16"/>
  <c r="BF47" i="16"/>
  <c r="BJ47" i="16"/>
  <c r="AU47" i="16"/>
  <c r="AY47" i="16"/>
  <c r="BC47" i="16"/>
  <c r="BG47" i="16"/>
  <c r="BK47" i="16"/>
  <c r="AS43" i="16"/>
  <c r="AW43" i="16"/>
  <c r="BA43" i="16"/>
  <c r="BE43" i="16"/>
  <c r="BI43" i="16"/>
  <c r="BN43" i="16"/>
  <c r="AT43" i="16"/>
  <c r="AX43" i="16"/>
  <c r="BB43" i="16"/>
  <c r="BF43" i="16"/>
  <c r="BJ43" i="16"/>
  <c r="AU43" i="16"/>
  <c r="AY43" i="16"/>
  <c r="BC43" i="16"/>
  <c r="BG43" i="16"/>
  <c r="BK43" i="16"/>
  <c r="AV5" i="16"/>
  <c r="AZ5" i="16"/>
  <c r="BD5" i="16"/>
  <c r="BH5" i="16"/>
  <c r="BK40" i="16"/>
  <c r="BG40" i="16"/>
  <c r="BC40" i="16"/>
  <c r="AY40" i="16"/>
  <c r="AU40" i="16"/>
  <c r="BN39" i="16"/>
  <c r="BI39" i="16"/>
  <c r="BE39" i="16"/>
  <c r="BA39" i="16"/>
  <c r="AW39" i="16"/>
  <c r="AS39" i="16"/>
  <c r="BK38" i="16"/>
  <c r="BG38" i="16"/>
  <c r="BC38" i="16"/>
  <c r="AY38" i="16"/>
  <c r="AU38" i="16"/>
  <c r="BN37" i="16"/>
  <c r="BI37" i="16"/>
  <c r="BE37" i="16"/>
  <c r="BA37" i="16"/>
  <c r="AW37" i="16"/>
  <c r="AS37" i="16"/>
  <c r="BK36" i="16"/>
  <c r="BG36" i="16"/>
  <c r="BC36" i="16"/>
  <c r="AY36" i="16"/>
  <c r="AU36" i="16"/>
  <c r="BN35" i="16"/>
  <c r="BI35" i="16"/>
  <c r="BE35" i="16"/>
  <c r="BA35" i="16"/>
  <c r="AW35" i="16"/>
  <c r="AS35" i="16"/>
  <c r="BK34" i="16"/>
  <c r="BG34" i="16"/>
  <c r="BC34" i="16"/>
  <c r="AY34" i="16"/>
  <c r="AU34" i="16"/>
  <c r="BN33" i="16"/>
  <c r="BI33" i="16"/>
  <c r="BE33" i="16"/>
  <c r="BA33" i="16"/>
  <c r="AW33" i="16"/>
  <c r="AS33" i="16"/>
  <c r="BK32" i="16"/>
  <c r="BG32" i="16"/>
  <c r="BC32" i="16"/>
  <c r="AY32" i="16"/>
  <c r="AU32" i="16"/>
  <c r="BN31" i="16"/>
  <c r="BI31" i="16"/>
  <c r="BE31" i="16"/>
  <c r="BA31" i="16"/>
  <c r="AW31" i="16"/>
  <c r="AS31" i="16"/>
  <c r="BK30" i="16"/>
  <c r="BG30" i="16"/>
  <c r="BC30" i="16"/>
  <c r="AY30" i="16"/>
  <c r="AU30" i="16"/>
  <c r="BN29" i="16"/>
  <c r="BI29" i="16"/>
  <c r="BE29" i="16"/>
  <c r="BA29" i="16"/>
  <c r="AW29" i="16"/>
  <c r="AS29" i="16"/>
  <c r="BK28" i="16"/>
  <c r="BG28" i="16"/>
  <c r="BC28" i="16"/>
  <c r="AY28" i="16"/>
  <c r="AU28" i="16"/>
  <c r="BN26" i="16"/>
  <c r="BI26" i="16"/>
  <c r="BE26" i="16"/>
  <c r="BA26" i="16"/>
  <c r="AW26" i="16"/>
  <c r="AS26" i="16"/>
  <c r="BK25" i="16"/>
  <c r="BG25" i="16"/>
  <c r="BC25" i="16"/>
  <c r="AY25" i="16"/>
  <c r="AU25" i="16"/>
  <c r="BN24" i="16"/>
  <c r="BI24" i="16"/>
  <c r="BE24" i="16"/>
  <c r="BA24" i="16"/>
  <c r="AW24" i="16"/>
  <c r="AS24" i="16"/>
  <c r="BK23" i="16"/>
  <c r="BG23" i="16"/>
  <c r="BC23" i="16"/>
  <c r="AY23" i="16"/>
  <c r="AU23" i="16"/>
  <c r="BN22" i="16"/>
  <c r="BI22" i="16"/>
  <c r="BE22" i="16"/>
  <c r="BA22" i="16"/>
  <c r="AW22" i="16"/>
  <c r="AS22" i="16"/>
  <c r="BK21" i="16"/>
  <c r="BG21" i="16"/>
  <c r="BC21" i="16"/>
  <c r="AY21" i="16"/>
  <c r="AU21" i="16"/>
  <c r="BI20" i="16"/>
  <c r="BE20" i="16"/>
  <c r="BA20" i="16"/>
  <c r="AW20" i="16"/>
  <c r="AS20" i="16"/>
  <c r="BK19" i="16"/>
  <c r="BG19" i="16"/>
  <c r="BC19" i="16"/>
  <c r="AY19" i="16"/>
  <c r="AU19" i="16"/>
  <c r="BN18" i="16"/>
  <c r="BI18" i="16"/>
  <c r="BE18" i="16"/>
  <c r="BA18" i="16"/>
  <c r="AW18" i="16"/>
  <c r="AS18" i="16"/>
  <c r="BK17" i="16"/>
  <c r="BG17" i="16"/>
  <c r="BC17" i="16"/>
  <c r="AY17" i="16"/>
  <c r="AU17" i="16"/>
  <c r="BN16" i="16"/>
  <c r="BI16" i="16"/>
  <c r="BE16" i="16"/>
  <c r="BA16" i="16"/>
  <c r="AW16" i="16"/>
  <c r="AS16" i="16"/>
  <c r="BK15" i="16"/>
  <c r="BG15" i="16"/>
  <c r="BC15" i="16"/>
  <c r="AY15" i="16"/>
  <c r="AU15" i="16"/>
  <c r="BN14" i="16"/>
  <c r="BI14" i="16"/>
  <c r="BE14" i="16"/>
  <c r="BA14" i="16"/>
  <c r="AW14" i="16"/>
  <c r="AS14" i="16"/>
  <c r="BK13" i="16"/>
  <c r="BG13" i="16"/>
  <c r="BC13" i="16"/>
  <c r="AY13" i="16"/>
  <c r="AU13" i="16"/>
  <c r="BN12" i="16"/>
  <c r="BI12" i="16"/>
  <c r="BE12" i="16"/>
  <c r="BA12" i="16"/>
  <c r="AW12" i="16"/>
  <c r="AS12" i="16"/>
  <c r="AZ11" i="16"/>
  <c r="BL9" i="16"/>
  <c r="AV9" i="16"/>
  <c r="BB8" i="16"/>
  <c r="BH7" i="16"/>
  <c r="AR7" i="16"/>
  <c r="BD85" i="16"/>
  <c r="BJ84" i="16"/>
  <c r="AZ83" i="16"/>
  <c r="BL81" i="16"/>
  <c r="AV81" i="16"/>
  <c r="BB60" i="16"/>
  <c r="BH59" i="16"/>
  <c r="AR59" i="16"/>
  <c r="BD57" i="16"/>
  <c r="BJ56" i="16"/>
  <c r="AT56" i="16"/>
  <c r="AZ55" i="16"/>
  <c r="BL53" i="16"/>
  <c r="AV53" i="16"/>
  <c r="BH51" i="16"/>
  <c r="AR51" i="16"/>
  <c r="BD49" i="16"/>
  <c r="BJ48" i="16"/>
  <c r="AT48" i="16"/>
  <c r="AZ47" i="16"/>
  <c r="BL45" i="16"/>
  <c r="AV45" i="16"/>
  <c r="BB44" i="16"/>
  <c r="BH43" i="16"/>
  <c r="AR43" i="16"/>
  <c r="BD41" i="16"/>
  <c r="CP12" i="16"/>
  <c r="BQ12" i="16"/>
  <c r="AU84" i="16"/>
  <c r="AY84" i="16"/>
  <c r="BC84" i="16"/>
  <c r="BG84" i="16"/>
  <c r="BK84" i="16"/>
  <c r="AR84" i="16"/>
  <c r="AV84" i="16"/>
  <c r="AZ84" i="16"/>
  <c r="BD84" i="16"/>
  <c r="BH84" i="16"/>
  <c r="BL84" i="16"/>
  <c r="AS84" i="16"/>
  <c r="AW84" i="16"/>
  <c r="BA84" i="16"/>
  <c r="BE84" i="16"/>
  <c r="BI84" i="16"/>
  <c r="BN84" i="16"/>
  <c r="AU52" i="16"/>
  <c r="AY52" i="16"/>
  <c r="BC52" i="16"/>
  <c r="BG52" i="16"/>
  <c r="BK52" i="16"/>
  <c r="AR52" i="16"/>
  <c r="AV52" i="16"/>
  <c r="AZ52" i="16"/>
  <c r="BD52" i="16"/>
  <c r="BH52" i="16"/>
  <c r="BL52" i="16"/>
  <c r="AS52" i="16"/>
  <c r="AW52" i="16"/>
  <c r="BA52" i="16"/>
  <c r="BE52" i="16"/>
  <c r="BI52" i="16"/>
  <c r="BN52" i="16"/>
  <c r="AU6" i="16"/>
  <c r="AY6" i="16"/>
  <c r="BC6" i="16"/>
  <c r="BG6" i="16"/>
  <c r="BK6" i="16"/>
  <c r="AR6" i="16"/>
  <c r="AV6" i="16"/>
  <c r="AZ6" i="16"/>
  <c r="BD6" i="16"/>
  <c r="BH6" i="16"/>
  <c r="BL6" i="16"/>
  <c r="AS6" i="16"/>
  <c r="AW6" i="16"/>
  <c r="BA6" i="16"/>
  <c r="BE6" i="16"/>
  <c r="BI6" i="16"/>
  <c r="BN6" i="16"/>
  <c r="BL40" i="16"/>
  <c r="AZ40" i="16"/>
  <c r="BH36" i="16"/>
  <c r="AV36" i="16"/>
  <c r="BH32" i="16"/>
  <c r="AV32" i="16"/>
  <c r="BL28" i="16"/>
  <c r="AZ28" i="16"/>
  <c r="BB24" i="16"/>
  <c r="BF20" i="16"/>
  <c r="AT20" i="16"/>
  <c r="BB16" i="16"/>
  <c r="BY13" i="16"/>
  <c r="BJ12" i="16"/>
  <c r="AX12" i="16"/>
  <c r="DB11" i="16"/>
  <c r="CC11" i="16"/>
  <c r="CT7" i="16"/>
  <c r="BU7" i="16"/>
  <c r="BF60" i="16"/>
  <c r="AX56" i="16"/>
  <c r="BF52" i="16"/>
  <c r="AX48" i="16"/>
  <c r="DJ43" i="16"/>
  <c r="CK43" i="16"/>
  <c r="AU10" i="16"/>
  <c r="AY10" i="16"/>
  <c r="BC10" i="16"/>
  <c r="BG10" i="16"/>
  <c r="BK10" i="16"/>
  <c r="AR10" i="16"/>
  <c r="AV10" i="16"/>
  <c r="AZ10" i="16"/>
  <c r="BD10" i="16"/>
  <c r="BH10" i="16"/>
  <c r="BL10" i="16"/>
  <c r="AS10" i="16"/>
  <c r="AW10" i="16"/>
  <c r="BA10" i="16"/>
  <c r="BE10" i="16"/>
  <c r="BI10" i="16"/>
  <c r="BN10" i="16"/>
  <c r="AU82" i="16"/>
  <c r="AY82" i="16"/>
  <c r="BC82" i="16"/>
  <c r="BG82" i="16"/>
  <c r="BK82" i="16"/>
  <c r="AR82" i="16"/>
  <c r="AV82" i="16"/>
  <c r="AZ82" i="16"/>
  <c r="BD82" i="16"/>
  <c r="BH82" i="16"/>
  <c r="BL82" i="16"/>
  <c r="AS82" i="16"/>
  <c r="AW82" i="16"/>
  <c r="BA82" i="16"/>
  <c r="BE82" i="16"/>
  <c r="BI82" i="16"/>
  <c r="BN82" i="16"/>
  <c r="AU58" i="16"/>
  <c r="AY58" i="16"/>
  <c r="BC58" i="16"/>
  <c r="BG58" i="16"/>
  <c r="BK58" i="16"/>
  <c r="AR58" i="16"/>
  <c r="AV58" i="16"/>
  <c r="AZ58" i="16"/>
  <c r="BD58" i="16"/>
  <c r="BH58" i="16"/>
  <c r="BL58" i="16"/>
  <c r="AS58" i="16"/>
  <c r="AW58" i="16"/>
  <c r="BA58" i="16"/>
  <c r="BE58" i="16"/>
  <c r="BI58" i="16"/>
  <c r="BN58" i="16"/>
  <c r="AU54" i="16"/>
  <c r="AY54" i="16"/>
  <c r="BC54" i="16"/>
  <c r="BG54" i="16"/>
  <c r="BK54" i="16"/>
  <c r="AR54" i="16"/>
  <c r="AV54" i="16"/>
  <c r="AZ54" i="16"/>
  <c r="BD54" i="16"/>
  <c r="BH54" i="16"/>
  <c r="BL54" i="16"/>
  <c r="AS54" i="16"/>
  <c r="AW54" i="16"/>
  <c r="BA54" i="16"/>
  <c r="BE54" i="16"/>
  <c r="BI54" i="16"/>
  <c r="BN54" i="16"/>
  <c r="AU50" i="16"/>
  <c r="AY50" i="16"/>
  <c r="BC50" i="16"/>
  <c r="BG50" i="16"/>
  <c r="BK50" i="16"/>
  <c r="AR50" i="16"/>
  <c r="AV50" i="16"/>
  <c r="AZ50" i="16"/>
  <c r="BD50" i="16"/>
  <c r="BH50" i="16"/>
  <c r="BL50" i="16"/>
  <c r="AS50" i="16"/>
  <c r="AW50" i="16"/>
  <c r="BA50" i="16"/>
  <c r="BE50" i="16"/>
  <c r="BI50" i="16"/>
  <c r="BN50" i="16"/>
  <c r="AU46" i="16"/>
  <c r="AY46" i="16"/>
  <c r="BC46" i="16"/>
  <c r="BG46" i="16"/>
  <c r="BK46" i="16"/>
  <c r="AR46" i="16"/>
  <c r="AV46" i="16"/>
  <c r="AZ46" i="16"/>
  <c r="BD46" i="16"/>
  <c r="BH46" i="16"/>
  <c r="BL46" i="16"/>
  <c r="AS46" i="16"/>
  <c r="AW46" i="16"/>
  <c r="BA46" i="16"/>
  <c r="BE46" i="16"/>
  <c r="BI46" i="16"/>
  <c r="BN46" i="16"/>
  <c r="AU42" i="16"/>
  <c r="AY42" i="16"/>
  <c r="BC42" i="16"/>
  <c r="BG42" i="16"/>
  <c r="BK42" i="16"/>
  <c r="AR42" i="16"/>
  <c r="AV42" i="16"/>
  <c r="AZ42" i="16"/>
  <c r="BD42" i="16"/>
  <c r="BH42" i="16"/>
  <c r="BL42" i="16"/>
  <c r="AS42" i="16"/>
  <c r="AW42" i="16"/>
  <c r="BA42" i="16"/>
  <c r="BE42" i="16"/>
  <c r="BI42" i="16"/>
  <c r="BN42" i="16"/>
  <c r="AS5" i="16"/>
  <c r="AW5" i="16"/>
  <c r="BA5" i="16"/>
  <c r="BE5" i="16"/>
  <c r="BI5" i="16"/>
  <c r="BN5" i="16"/>
  <c r="BJ40" i="16"/>
  <c r="BF40" i="16"/>
  <c r="BB40" i="16"/>
  <c r="AX40" i="16"/>
  <c r="AT40" i="16"/>
  <c r="BL39" i="16"/>
  <c r="BH39" i="16"/>
  <c r="BD39" i="16"/>
  <c r="AZ39" i="16"/>
  <c r="AV39" i="16"/>
  <c r="AR39" i="16"/>
  <c r="BJ38" i="16"/>
  <c r="BF38" i="16"/>
  <c r="BB38" i="16"/>
  <c r="AX38" i="16"/>
  <c r="AT38" i="16"/>
  <c r="BL37" i="16"/>
  <c r="BH37" i="16"/>
  <c r="BD37" i="16"/>
  <c r="AZ37" i="16"/>
  <c r="AV37" i="16"/>
  <c r="AR37" i="16"/>
  <c r="BJ36" i="16"/>
  <c r="BF36" i="16"/>
  <c r="BB36" i="16"/>
  <c r="AX36" i="16"/>
  <c r="AT36" i="16"/>
  <c r="BL35" i="16"/>
  <c r="BH35" i="16"/>
  <c r="BD35" i="16"/>
  <c r="AZ35" i="16"/>
  <c r="AV35" i="16"/>
  <c r="AR35" i="16"/>
  <c r="BJ34" i="16"/>
  <c r="BF34" i="16"/>
  <c r="BB34" i="16"/>
  <c r="AX34" i="16"/>
  <c r="AT34" i="16"/>
  <c r="BL33" i="16"/>
  <c r="BH33" i="16"/>
  <c r="BD33" i="16"/>
  <c r="AZ33" i="16"/>
  <c r="AV33" i="16"/>
  <c r="AR33" i="16"/>
  <c r="BJ32" i="16"/>
  <c r="BF32" i="16"/>
  <c r="BB32" i="16"/>
  <c r="AX32" i="16"/>
  <c r="AT32" i="16"/>
  <c r="BL31" i="16"/>
  <c r="BH31" i="16"/>
  <c r="BD31" i="16"/>
  <c r="AZ31" i="16"/>
  <c r="AV31" i="16"/>
  <c r="AR31" i="16"/>
  <c r="BJ30" i="16"/>
  <c r="BF30" i="16"/>
  <c r="BB30" i="16"/>
  <c r="AX30" i="16"/>
  <c r="AT30" i="16"/>
  <c r="BL29" i="16"/>
  <c r="BH29" i="16"/>
  <c r="BD29" i="16"/>
  <c r="AZ29" i="16"/>
  <c r="AV29" i="16"/>
  <c r="AR29" i="16"/>
  <c r="BJ28" i="16"/>
  <c r="BF28" i="16"/>
  <c r="BB28" i="16"/>
  <c r="AX28" i="16"/>
  <c r="AT28" i="16"/>
  <c r="BL26" i="16"/>
  <c r="BH26" i="16"/>
  <c r="BD26" i="16"/>
  <c r="AZ26" i="16"/>
  <c r="AV26" i="16"/>
  <c r="AR26" i="16"/>
  <c r="BJ25" i="16"/>
  <c r="BF25" i="16"/>
  <c r="BB25" i="16"/>
  <c r="AX25" i="16"/>
  <c r="AT25" i="16"/>
  <c r="BL24" i="16"/>
  <c r="BH24" i="16"/>
  <c r="BD24" i="16"/>
  <c r="AZ24" i="16"/>
  <c r="AV24" i="16"/>
  <c r="AR24" i="16"/>
  <c r="BJ23" i="16"/>
  <c r="BF23" i="16"/>
  <c r="BB23" i="16"/>
  <c r="AX23" i="16"/>
  <c r="AT23" i="16"/>
  <c r="BL22" i="16"/>
  <c r="BH22" i="16"/>
  <c r="BD22" i="16"/>
  <c r="AZ22" i="16"/>
  <c r="AV22" i="16"/>
  <c r="AR22" i="16"/>
  <c r="BJ21" i="16"/>
  <c r="BF21" i="16"/>
  <c r="BB21" i="16"/>
  <c r="AX21" i="16"/>
  <c r="AT21" i="16"/>
  <c r="BL20" i="16"/>
  <c r="BH20" i="16"/>
  <c r="BD20" i="16"/>
  <c r="AZ20" i="16"/>
  <c r="AV20" i="16"/>
  <c r="AR20" i="16"/>
  <c r="BJ19" i="16"/>
  <c r="BF19" i="16"/>
  <c r="BB19" i="16"/>
  <c r="AX19" i="16"/>
  <c r="AT19" i="16"/>
  <c r="BL18" i="16"/>
  <c r="BH18" i="16"/>
  <c r="BD18" i="16"/>
  <c r="AZ18" i="16"/>
  <c r="AV18" i="16"/>
  <c r="AR18" i="16"/>
  <c r="BJ17" i="16"/>
  <c r="BF17" i="16"/>
  <c r="BB17" i="16"/>
  <c r="AX17" i="16"/>
  <c r="AT17" i="16"/>
  <c r="BL16" i="16"/>
  <c r="BH16" i="16"/>
  <c r="BD16" i="16"/>
  <c r="AZ16" i="16"/>
  <c r="AV16" i="16"/>
  <c r="AR16" i="16"/>
  <c r="BJ15" i="16"/>
  <c r="BF15" i="16"/>
  <c r="BB15" i="16"/>
  <c r="AX15" i="16"/>
  <c r="AT15" i="16"/>
  <c r="BL14" i="16"/>
  <c r="BH14" i="16"/>
  <c r="BD14" i="16"/>
  <c r="AZ14" i="16"/>
  <c r="AV14" i="16"/>
  <c r="AR14" i="16"/>
  <c r="BJ13" i="16"/>
  <c r="BF13" i="16"/>
  <c r="BB13" i="16"/>
  <c r="AX13" i="16"/>
  <c r="AT13" i="16"/>
  <c r="BL12" i="16"/>
  <c r="BH12" i="16"/>
  <c r="BD12" i="16"/>
  <c r="AZ12" i="16"/>
  <c r="AV12" i="16"/>
  <c r="BL11" i="16"/>
  <c r="AV11" i="16"/>
  <c r="BB10" i="16"/>
  <c r="BH9" i="16"/>
  <c r="BD7" i="16"/>
  <c r="BJ6" i="16"/>
  <c r="AT6" i="16"/>
  <c r="BF84" i="16"/>
  <c r="BL83" i="16"/>
  <c r="AV83" i="16"/>
  <c r="BB82" i="16"/>
  <c r="BH81" i="16"/>
  <c r="BD59" i="16"/>
  <c r="BJ58" i="16"/>
  <c r="AT58" i="16"/>
  <c r="BF56" i="16"/>
  <c r="BL55" i="16"/>
  <c r="AV55" i="16"/>
  <c r="BB54" i="16"/>
  <c r="BH53" i="16"/>
  <c r="AX52" i="16"/>
  <c r="BD51" i="16"/>
  <c r="BJ50" i="16"/>
  <c r="AT50" i="16"/>
  <c r="BF48" i="16"/>
  <c r="BL47" i="16"/>
  <c r="AV47" i="16"/>
  <c r="BB46" i="16"/>
  <c r="BH45" i="16"/>
  <c r="BD43" i="16"/>
  <c r="BJ42" i="16"/>
  <c r="AT42" i="16"/>
  <c r="AU8" i="16"/>
  <c r="AY8" i="16"/>
  <c r="BC8" i="16"/>
  <c r="BG8" i="16"/>
  <c r="BK8" i="16"/>
  <c r="AR8" i="16"/>
  <c r="AV8" i="16"/>
  <c r="AZ8" i="16"/>
  <c r="BD8" i="16"/>
  <c r="BH8" i="16"/>
  <c r="BL8" i="16"/>
  <c r="AS8" i="16"/>
  <c r="AW8" i="16"/>
  <c r="BA8" i="16"/>
  <c r="BE8" i="16"/>
  <c r="BI8" i="16"/>
  <c r="BN8" i="16"/>
  <c r="AU60" i="16"/>
  <c r="AY60" i="16"/>
  <c r="BC60" i="16"/>
  <c r="BG60" i="16"/>
  <c r="BK60" i="16"/>
  <c r="AR60" i="16"/>
  <c r="AV60" i="16"/>
  <c r="AZ60" i="16"/>
  <c r="BD60" i="16"/>
  <c r="BH60" i="16"/>
  <c r="BL60" i="16"/>
  <c r="AS60" i="16"/>
  <c r="AW60" i="16"/>
  <c r="BA60" i="16"/>
  <c r="BE60" i="16"/>
  <c r="BI60" i="16"/>
  <c r="BN60" i="16"/>
  <c r="AU44" i="16"/>
  <c r="AY44" i="16"/>
  <c r="BC44" i="16"/>
  <c r="BG44" i="16"/>
  <c r="BK44" i="16"/>
  <c r="AR44" i="16"/>
  <c r="AV44" i="16"/>
  <c r="AZ44" i="16"/>
  <c r="BD44" i="16"/>
  <c r="BH44" i="16"/>
  <c r="BL44" i="16"/>
  <c r="AS44" i="16"/>
  <c r="AW44" i="16"/>
  <c r="BA44" i="16"/>
  <c r="BE44" i="16"/>
  <c r="BI44" i="16"/>
  <c r="BN44" i="16"/>
  <c r="BT5" i="16"/>
  <c r="BH40" i="16"/>
  <c r="AV40" i="16"/>
  <c r="CK38" i="16"/>
  <c r="BD36" i="16"/>
  <c r="AR36" i="16"/>
  <c r="BL32" i="16"/>
  <c r="AZ32" i="16"/>
  <c r="BD28" i="16"/>
  <c r="AR28" i="16"/>
  <c r="BJ24" i="16"/>
  <c r="AX24" i="16"/>
  <c r="AT24" i="16"/>
  <c r="DB21" i="16"/>
  <c r="BB20" i="16"/>
  <c r="CG17" i="16"/>
  <c r="BF16" i="16"/>
  <c r="AT16" i="16"/>
  <c r="BF12" i="16"/>
  <c r="AT12" i="16"/>
  <c r="DB83" i="16"/>
  <c r="CC83" i="16"/>
  <c r="CT59" i="16"/>
  <c r="BU59" i="16"/>
  <c r="DB55" i="16"/>
  <c r="CC55" i="16"/>
  <c r="CT51" i="16"/>
  <c r="BU51" i="16"/>
  <c r="BF44" i="16"/>
  <c r="CP5" i="16"/>
  <c r="BQ5" i="16"/>
  <c r="AS9" i="16"/>
  <c r="AW9" i="16"/>
  <c r="BA9" i="16"/>
  <c r="BE9" i="16"/>
  <c r="BI9" i="16"/>
  <c r="BN9" i="16"/>
  <c r="AT9" i="16"/>
  <c r="AX9" i="16"/>
  <c r="BB9" i="16"/>
  <c r="BF9" i="16"/>
  <c r="BJ9" i="16"/>
  <c r="AU9" i="16"/>
  <c r="AY9" i="16"/>
  <c r="BC9" i="16"/>
  <c r="BG9" i="16"/>
  <c r="BK9" i="16"/>
  <c r="AS85" i="16"/>
  <c r="AW85" i="16"/>
  <c r="BA85" i="16"/>
  <c r="BE85" i="16"/>
  <c r="BI85" i="16"/>
  <c r="BN85" i="16"/>
  <c r="AT85" i="16"/>
  <c r="AX85" i="16"/>
  <c r="BB85" i="16"/>
  <c r="BF85" i="16"/>
  <c r="BJ85" i="16"/>
  <c r="AU85" i="16"/>
  <c r="AY85" i="16"/>
  <c r="BC85" i="16"/>
  <c r="BG85" i="16"/>
  <c r="BK85" i="16"/>
  <c r="AS81" i="16"/>
  <c r="AW81" i="16"/>
  <c r="BA81" i="16"/>
  <c r="BE81" i="16"/>
  <c r="BI81" i="16"/>
  <c r="BN81" i="16"/>
  <c r="AT81" i="16"/>
  <c r="AX81" i="16"/>
  <c r="BB81" i="16"/>
  <c r="BF81" i="16"/>
  <c r="BJ81" i="16"/>
  <c r="AU81" i="16"/>
  <c r="AY81" i="16"/>
  <c r="BC81" i="16"/>
  <c r="BG81" i="16"/>
  <c r="BK81" i="16"/>
  <c r="AS57" i="16"/>
  <c r="AW57" i="16"/>
  <c r="BA57" i="16"/>
  <c r="BE57" i="16"/>
  <c r="BI57" i="16"/>
  <c r="BN57" i="16"/>
  <c r="AT57" i="16"/>
  <c r="AX57" i="16"/>
  <c r="BB57" i="16"/>
  <c r="BF57" i="16"/>
  <c r="BJ57" i="16"/>
  <c r="AU57" i="16"/>
  <c r="AY57" i="16"/>
  <c r="BC57" i="16"/>
  <c r="BG57" i="16"/>
  <c r="BK57" i="16"/>
  <c r="AS53" i="16"/>
  <c r="AW53" i="16"/>
  <c r="BA53" i="16"/>
  <c r="BE53" i="16"/>
  <c r="BI53" i="16"/>
  <c r="BN53" i="16"/>
  <c r="AT53" i="16"/>
  <c r="AX53" i="16"/>
  <c r="BB53" i="16"/>
  <c r="BF53" i="16"/>
  <c r="BJ53" i="16"/>
  <c r="AU53" i="16"/>
  <c r="AY53" i="16"/>
  <c r="BC53" i="16"/>
  <c r="BG53" i="16"/>
  <c r="BK53" i="16"/>
  <c r="AS49" i="16"/>
  <c r="AW49" i="16"/>
  <c r="BA49" i="16"/>
  <c r="BE49" i="16"/>
  <c r="BI49" i="16"/>
  <c r="BN49" i="16"/>
  <c r="AT49" i="16"/>
  <c r="AX49" i="16"/>
  <c r="BB49" i="16"/>
  <c r="BF49" i="16"/>
  <c r="BJ49" i="16"/>
  <c r="AU49" i="16"/>
  <c r="AY49" i="16"/>
  <c r="BC49" i="16"/>
  <c r="BG49" i="16"/>
  <c r="BK49" i="16"/>
  <c r="AS45" i="16"/>
  <c r="AW45" i="16"/>
  <c r="BA45" i="16"/>
  <c r="BE45" i="16"/>
  <c r="BI45" i="16"/>
  <c r="BN45" i="16"/>
  <c r="AT45" i="16"/>
  <c r="AX45" i="16"/>
  <c r="BB45" i="16"/>
  <c r="BF45" i="16"/>
  <c r="BJ45" i="16"/>
  <c r="AU45" i="16"/>
  <c r="AY45" i="16"/>
  <c r="BC45" i="16"/>
  <c r="BG45" i="16"/>
  <c r="BK45" i="16"/>
  <c r="AS41" i="16"/>
  <c r="AW41" i="16"/>
  <c r="BA41" i="16"/>
  <c r="BE41" i="16"/>
  <c r="BI41" i="16"/>
  <c r="BN41" i="16"/>
  <c r="AT41" i="16"/>
  <c r="AX41" i="16"/>
  <c r="BB41" i="16"/>
  <c r="BF41" i="16"/>
  <c r="BJ41" i="16"/>
  <c r="AU41" i="16"/>
  <c r="AY41" i="16"/>
  <c r="BC41" i="16"/>
  <c r="BG41" i="16"/>
  <c r="BK41" i="16"/>
  <c r="AT5" i="16"/>
  <c r="AX5" i="16"/>
  <c r="BB5" i="16"/>
  <c r="BF5" i="16"/>
  <c r="BJ5" i="16"/>
  <c r="BN40" i="16"/>
  <c r="BI40" i="16"/>
  <c r="BE40" i="16"/>
  <c r="BA40" i="16"/>
  <c r="AW40" i="16"/>
  <c r="BK39" i="16"/>
  <c r="BG39" i="16"/>
  <c r="BC39" i="16"/>
  <c r="AY39" i="16"/>
  <c r="BN38" i="16"/>
  <c r="BI38" i="16"/>
  <c r="BE38" i="16"/>
  <c r="BA38" i="16"/>
  <c r="AW38" i="16"/>
  <c r="BK37" i="16"/>
  <c r="BG37" i="16"/>
  <c r="BC37" i="16"/>
  <c r="AY37" i="16"/>
  <c r="BN36" i="16"/>
  <c r="BI36" i="16"/>
  <c r="BE36" i="16"/>
  <c r="BA36" i="16"/>
  <c r="AW36" i="16"/>
  <c r="BK35" i="16"/>
  <c r="BG35" i="16"/>
  <c r="BC35" i="16"/>
  <c r="AY35" i="16"/>
  <c r="BN34" i="16"/>
  <c r="BI34" i="16"/>
  <c r="BE34" i="16"/>
  <c r="BA34" i="16"/>
  <c r="AW34" i="16"/>
  <c r="BK33" i="16"/>
  <c r="BG33" i="16"/>
  <c r="BC33" i="16"/>
  <c r="AY33" i="16"/>
  <c r="BN32" i="16"/>
  <c r="BI32" i="16"/>
  <c r="BE32" i="16"/>
  <c r="BA32" i="16"/>
  <c r="AW32" i="16"/>
  <c r="BK31" i="16"/>
  <c r="BG31" i="16"/>
  <c r="BC31" i="16"/>
  <c r="AY31" i="16"/>
  <c r="BN30" i="16"/>
  <c r="BI30" i="16"/>
  <c r="BE30" i="16"/>
  <c r="BA30" i="16"/>
  <c r="AW30" i="16"/>
  <c r="BK29" i="16"/>
  <c r="BG29" i="16"/>
  <c r="BC29" i="16"/>
  <c r="AY29" i="16"/>
  <c r="BN28" i="16"/>
  <c r="BI28" i="16"/>
  <c r="BE28" i="16"/>
  <c r="BA28" i="16"/>
  <c r="AW28" i="16"/>
  <c r="BK26" i="16"/>
  <c r="BG26" i="16"/>
  <c r="BC26" i="16"/>
  <c r="AY26" i="16"/>
  <c r="BN25" i="16"/>
  <c r="BI25" i="16"/>
  <c r="BE25" i="16"/>
  <c r="BA25" i="16"/>
  <c r="AW25" i="16"/>
  <c r="BK24" i="16"/>
  <c r="BG24" i="16"/>
  <c r="BC24" i="16"/>
  <c r="AY24" i="16"/>
  <c r="BN23" i="16"/>
  <c r="BI23" i="16"/>
  <c r="BE23" i="16"/>
  <c r="BA23" i="16"/>
  <c r="AW23" i="16"/>
  <c r="BK22" i="16"/>
  <c r="BG22" i="16"/>
  <c r="BC22" i="16"/>
  <c r="AY22" i="16"/>
  <c r="BN21" i="16"/>
  <c r="BI21" i="16"/>
  <c r="BE21" i="16"/>
  <c r="BA21" i="16"/>
  <c r="AW21" i="16"/>
  <c r="BK20" i="16"/>
  <c r="BG20" i="16"/>
  <c r="BC20" i="16"/>
  <c r="AY20" i="16"/>
  <c r="BN19" i="16"/>
  <c r="BI19" i="16"/>
  <c r="BE19" i="16"/>
  <c r="BA19" i="16"/>
  <c r="AW19" i="16"/>
  <c r="BK18" i="16"/>
  <c r="BG18" i="16"/>
  <c r="BC18" i="16"/>
  <c r="AY18" i="16"/>
  <c r="BN17" i="16"/>
  <c r="BI17" i="16"/>
  <c r="BE17" i="16"/>
  <c r="BA17" i="16"/>
  <c r="AW17" i="16"/>
  <c r="BK16" i="16"/>
  <c r="BG16" i="16"/>
  <c r="BC16" i="16"/>
  <c r="AY16" i="16"/>
  <c r="BN15" i="16"/>
  <c r="BI15" i="16"/>
  <c r="BE15" i="16"/>
  <c r="BA15" i="16"/>
  <c r="AW15" i="16"/>
  <c r="BK14" i="16"/>
  <c r="BG14" i="16"/>
  <c r="BC14" i="16"/>
  <c r="AY14" i="16"/>
  <c r="BN13" i="16"/>
  <c r="BI13" i="16"/>
  <c r="BE13" i="16"/>
  <c r="BA13" i="16"/>
  <c r="AW13" i="16"/>
  <c r="BK12" i="16"/>
  <c r="BG12" i="16"/>
  <c r="BC12" i="16"/>
  <c r="AY12" i="16"/>
  <c r="AU12" i="16"/>
  <c r="BH11" i="16"/>
  <c r="AR11" i="16"/>
  <c r="AX10" i="16"/>
  <c r="BD9" i="16"/>
  <c r="BJ8" i="16"/>
  <c r="AT8" i="16"/>
  <c r="AZ7" i="16"/>
  <c r="BF6" i="16"/>
  <c r="BL85" i="16"/>
  <c r="AV85" i="16"/>
  <c r="BB84" i="16"/>
  <c r="BH83" i="16"/>
  <c r="AR83" i="16"/>
  <c r="AX82" i="16"/>
  <c r="BD81" i="16"/>
  <c r="BJ60" i="16"/>
  <c r="AT60" i="16"/>
  <c r="AZ59" i="16"/>
  <c r="BF58" i="16"/>
  <c r="BL57" i="16"/>
  <c r="AV57" i="16"/>
  <c r="BB56" i="16"/>
  <c r="BH55" i="16"/>
  <c r="AR55" i="16"/>
  <c r="AX54" i="16"/>
  <c r="BD53" i="16"/>
  <c r="BJ52" i="16"/>
  <c r="AT52" i="16"/>
  <c r="AZ51" i="16"/>
  <c r="BF50" i="16"/>
  <c r="BL49" i="16"/>
  <c r="AV49" i="16"/>
  <c r="BB48" i="16"/>
  <c r="BH47" i="16"/>
  <c r="AR47" i="16"/>
  <c r="AX46" i="16"/>
  <c r="BD45" i="16"/>
  <c r="BJ44" i="16"/>
  <c r="AT44" i="16"/>
  <c r="AZ43" i="16"/>
  <c r="BF42" i="16"/>
  <c r="BL41" i="16"/>
  <c r="AV41" i="16"/>
  <c r="BK27" i="16"/>
  <c r="BG27" i="16"/>
  <c r="BC27" i="16"/>
  <c r="AY27" i="16"/>
  <c r="AU27" i="16"/>
  <c r="BJ27" i="16"/>
  <c r="BF27" i="16"/>
  <c r="BB27" i="16"/>
  <c r="AX27" i="16"/>
  <c r="AT27" i="16"/>
  <c r="BN27" i="16"/>
  <c r="BI27" i="16"/>
  <c r="BE27" i="16"/>
  <c r="BA27" i="16"/>
  <c r="AW27" i="16"/>
  <c r="AS27" i="16"/>
  <c r="BL27" i="16"/>
  <c r="BH27" i="16"/>
  <c r="BD27" i="16"/>
  <c r="AZ27" i="16"/>
  <c r="AV27" i="16"/>
  <c r="O61" i="15"/>
  <c r="O139" i="15"/>
  <c r="O140" i="15"/>
  <c r="Q140" i="15" s="1"/>
  <c r="O141" i="15"/>
  <c r="Q141" i="15" s="1"/>
  <c r="O142" i="15"/>
  <c r="Q142" i="15" s="1"/>
  <c r="O143" i="15"/>
  <c r="O144" i="15"/>
  <c r="O145" i="15"/>
  <c r="Q145" i="15" s="1"/>
  <c r="O146" i="15"/>
  <c r="Q146" i="15" s="1"/>
  <c r="P140" i="15"/>
  <c r="Q139" i="15"/>
  <c r="Q143" i="15"/>
  <c r="Q144" i="15"/>
  <c r="P141" i="15"/>
  <c r="P142" i="15"/>
  <c r="P144" i="15"/>
  <c r="P145" i="15"/>
  <c r="N139" i="15"/>
  <c r="P139" i="15" s="1"/>
  <c r="N140" i="15"/>
  <c r="N141" i="15"/>
  <c r="N142" i="15"/>
  <c r="N143" i="15"/>
  <c r="P143" i="15" s="1"/>
  <c r="N144" i="15"/>
  <c r="N145" i="15"/>
  <c r="N146" i="15"/>
  <c r="P146" i="15" s="1"/>
  <c r="Y146" i="15"/>
  <c r="Z146" i="15" s="1"/>
  <c r="Y145" i="15"/>
  <c r="Z145" i="15" s="1"/>
  <c r="Y144" i="15"/>
  <c r="Z144" i="15" s="1"/>
  <c r="Y143" i="15"/>
  <c r="Z143" i="15" s="1"/>
  <c r="Y142" i="15"/>
  <c r="Z142" i="15" s="1"/>
  <c r="Y141" i="15"/>
  <c r="Z141" i="15" s="1"/>
  <c r="Y140" i="15"/>
  <c r="Z140" i="15" s="1"/>
  <c r="Y139" i="15"/>
  <c r="Z139" i="15" s="1"/>
  <c r="Y112" i="15"/>
  <c r="Z112" i="15" s="1"/>
  <c r="Y113" i="15"/>
  <c r="Z113" i="15" s="1"/>
  <c r="Y114" i="15"/>
  <c r="Z114" i="15" s="1"/>
  <c r="Y115" i="15"/>
  <c r="Z115" i="15" s="1"/>
  <c r="Y116" i="15"/>
  <c r="Z116" i="15" s="1"/>
  <c r="Y117" i="15"/>
  <c r="Z117" i="15" s="1"/>
  <c r="Y118" i="15"/>
  <c r="Z118" i="15" s="1"/>
  <c r="Y119" i="15"/>
  <c r="Z119" i="15" s="1"/>
  <c r="Y120" i="15"/>
  <c r="Z120" i="15" s="1"/>
  <c r="Y121" i="15"/>
  <c r="Z121" i="15" s="1"/>
  <c r="Y122" i="15"/>
  <c r="Z122" i="15" s="1"/>
  <c r="Y123" i="15"/>
  <c r="Z123" i="15" s="1"/>
  <c r="Y124" i="15"/>
  <c r="Z124" i="15" s="1"/>
  <c r="Y125" i="15"/>
  <c r="Z125" i="15" s="1"/>
  <c r="Y126" i="15"/>
  <c r="Z126" i="15" s="1"/>
  <c r="Y127" i="15"/>
  <c r="Z127" i="15" s="1"/>
  <c r="Y128" i="15"/>
  <c r="Z128" i="15" s="1"/>
  <c r="Y129" i="15"/>
  <c r="Z129" i="15" s="1"/>
  <c r="Y130" i="15"/>
  <c r="Z130" i="15" s="1"/>
  <c r="Y131" i="15"/>
  <c r="Z131" i="15" s="1"/>
  <c r="Y132" i="15"/>
  <c r="Z132" i="15" s="1"/>
  <c r="Y133" i="15"/>
  <c r="Z133" i="15" s="1"/>
  <c r="Y134" i="15"/>
  <c r="Z134" i="15" s="1"/>
  <c r="Y135" i="15"/>
  <c r="Z135" i="15" s="1"/>
  <c r="Y136" i="15"/>
  <c r="Z136" i="15" s="1"/>
  <c r="Y137" i="15"/>
  <c r="Z137" i="15" s="1"/>
  <c r="Y138" i="15"/>
  <c r="Z138" i="15" s="1"/>
  <c r="L24" i="15"/>
  <c r="L27" i="15"/>
  <c r="K24" i="15"/>
  <c r="K25" i="15"/>
  <c r="L25" i="15" s="1"/>
  <c r="K26" i="15"/>
  <c r="L26" i="15" s="1"/>
  <c r="K27" i="15"/>
  <c r="K28" i="15"/>
  <c r="L28" i="15" s="1"/>
  <c r="Y22" i="15"/>
  <c r="Z22" i="15" s="1"/>
  <c r="Y23" i="15"/>
  <c r="Y24" i="15"/>
  <c r="Z24" i="15" s="1"/>
  <c r="Y25" i="15"/>
  <c r="Y26" i="15"/>
  <c r="Z26" i="15" s="1"/>
  <c r="Y27" i="15"/>
  <c r="Z27" i="15" s="1"/>
  <c r="Y28" i="15"/>
  <c r="Z28" i="15" s="1"/>
  <c r="Z23" i="15"/>
  <c r="Z25" i="15"/>
  <c r="Y29" i="15"/>
  <c r="Y30" i="15"/>
  <c r="Y31" i="15"/>
  <c r="Y32" i="15"/>
  <c r="G61" i="15"/>
  <c r="H61" i="15"/>
  <c r="I61" i="15" s="1"/>
  <c r="K61" i="15" s="1"/>
  <c r="L61" i="15" s="1"/>
  <c r="J61" i="15"/>
  <c r="F61" i="15"/>
  <c r="N61" i="15" s="1"/>
  <c r="Y61" i="15"/>
  <c r="Z61" i="15" s="1"/>
  <c r="G60" i="15"/>
  <c r="H60" i="15"/>
  <c r="I60" i="15" s="1"/>
  <c r="K60" i="15" s="1"/>
  <c r="L60" i="15" s="1"/>
  <c r="J60" i="15"/>
  <c r="F60" i="15"/>
  <c r="N60" i="15" s="1"/>
  <c r="Y60" i="15"/>
  <c r="Z60" i="15" s="1"/>
  <c r="AA60" i="15" s="1"/>
  <c r="G59" i="15"/>
  <c r="H59" i="15"/>
  <c r="I59" i="15" s="1"/>
  <c r="K59" i="15" s="1"/>
  <c r="L59" i="15" s="1"/>
  <c r="J59" i="15"/>
  <c r="F59" i="15"/>
  <c r="Y59" i="15"/>
  <c r="Z59" i="15" s="1"/>
  <c r="G58" i="15"/>
  <c r="H58" i="15"/>
  <c r="I58" i="15" s="1"/>
  <c r="K58" i="15" s="1"/>
  <c r="L58" i="15" s="1"/>
  <c r="J58" i="15"/>
  <c r="F58" i="15"/>
  <c r="N58" i="15" s="1"/>
  <c r="Y58" i="15"/>
  <c r="Z58" i="15" s="1"/>
  <c r="BS46" i="16" l="1"/>
  <c r="CI14" i="16"/>
  <c r="CI35" i="16"/>
  <c r="BY34" i="16"/>
  <c r="CC23" i="16"/>
  <c r="CK25" i="16"/>
  <c r="CA35" i="16"/>
  <c r="DH18" i="16"/>
  <c r="BY9" i="16"/>
  <c r="DH29" i="16"/>
  <c r="BQ21" i="16"/>
  <c r="CN21" i="16" s="1"/>
  <c r="H21" i="16" s="1"/>
  <c r="CZ26" i="16"/>
  <c r="DH26" i="16"/>
  <c r="BW26" i="16"/>
  <c r="CC13" i="16"/>
  <c r="CK13" i="16"/>
  <c r="DF41" i="16"/>
  <c r="CV31" i="16"/>
  <c r="BW18" i="16"/>
  <c r="BY17" i="16"/>
  <c r="BS22" i="16"/>
  <c r="CP34" i="16"/>
  <c r="CE18" i="16"/>
  <c r="CX25" i="16"/>
  <c r="DJ23" i="16"/>
  <c r="CK59" i="16"/>
  <c r="BU43" i="16"/>
  <c r="CF5" i="16"/>
  <c r="CZ22" i="16"/>
  <c r="BU17" i="16"/>
  <c r="CT23" i="16"/>
  <c r="DJ34" i="16"/>
  <c r="CP23" i="16"/>
  <c r="CA37" i="16"/>
  <c r="CZ50" i="16"/>
  <c r="BY30" i="16"/>
  <c r="DH37" i="16"/>
  <c r="CA31" i="16"/>
  <c r="BQ85" i="16"/>
  <c r="CX15" i="16"/>
  <c r="CA39" i="16"/>
  <c r="CK15" i="16"/>
  <c r="CZ14" i="16"/>
  <c r="CP38" i="16"/>
  <c r="BY38" i="16"/>
  <c r="CI33" i="16"/>
  <c r="CP15" i="16"/>
  <c r="BW39" i="16"/>
  <c r="DD22" i="16"/>
  <c r="DF57" i="16"/>
  <c r="CI82" i="16"/>
  <c r="CK30" i="16"/>
  <c r="CG19" i="16"/>
  <c r="CX53" i="16"/>
  <c r="BS82" i="16"/>
  <c r="CZ29" i="16"/>
  <c r="BU34" i="16"/>
  <c r="BQ30" i="16"/>
  <c r="CP49" i="16"/>
  <c r="CC19" i="16"/>
  <c r="BS26" i="16"/>
  <c r="CK21" i="16"/>
  <c r="DF23" i="16"/>
  <c r="CK7" i="16"/>
  <c r="CE39" i="16"/>
  <c r="CJ5" i="16"/>
  <c r="BS10" i="16"/>
  <c r="BQ13" i="16"/>
  <c r="BU15" i="16"/>
  <c r="CI31" i="16"/>
  <c r="CA33" i="16"/>
  <c r="BW37" i="16"/>
  <c r="CI54" i="16"/>
  <c r="BU19" i="16"/>
  <c r="BU21" i="16"/>
  <c r="BQ25" i="16"/>
  <c r="CV33" i="16"/>
  <c r="CI39" i="16"/>
  <c r="CB5" i="16"/>
  <c r="BS54" i="16"/>
  <c r="CV29" i="16"/>
  <c r="BS35" i="16"/>
  <c r="CR33" i="16"/>
  <c r="CR29" i="16"/>
  <c r="DD31" i="16"/>
  <c r="CA18" i="16"/>
  <c r="DH22" i="16"/>
  <c r="DD26" i="16"/>
  <c r="CV14" i="16"/>
  <c r="BQ17" i="16"/>
  <c r="DB34" i="16"/>
  <c r="DJ17" i="16"/>
  <c r="BU25" i="16"/>
  <c r="BU30" i="16"/>
  <c r="BS18" i="16"/>
  <c r="DB30" i="16"/>
  <c r="CX21" i="16"/>
  <c r="CI46" i="16"/>
  <c r="CA58" i="16"/>
  <c r="DF13" i="16"/>
  <c r="CG85" i="16"/>
  <c r="CE14" i="16"/>
  <c r="CG15" i="16"/>
  <c r="BY19" i="16"/>
  <c r="CP41" i="16"/>
  <c r="CR31" i="16"/>
  <c r="CE35" i="16"/>
  <c r="BS37" i="16"/>
  <c r="BS39" i="16"/>
  <c r="BY45" i="16"/>
  <c r="CG49" i="16"/>
  <c r="DH10" i="16"/>
  <c r="DB15" i="16"/>
  <c r="BQ19" i="16"/>
  <c r="CV22" i="16"/>
  <c r="CX23" i="16"/>
  <c r="CD86" i="16"/>
  <c r="CP86" i="16"/>
  <c r="DM86" i="16" s="1"/>
  <c r="BQ86" i="16"/>
  <c r="DJ19" i="16"/>
  <c r="CA42" i="16"/>
  <c r="CC25" i="16"/>
  <c r="CE37" i="16"/>
  <c r="CG38" i="16"/>
  <c r="CK51" i="16"/>
  <c r="BQ57" i="16"/>
  <c r="BU13" i="16"/>
  <c r="BY81" i="16"/>
  <c r="BS14" i="16"/>
  <c r="CG25" i="16"/>
  <c r="CE29" i="16"/>
  <c r="CG30" i="16"/>
  <c r="BU38" i="16"/>
  <c r="CC17" i="16"/>
  <c r="CG21" i="16"/>
  <c r="CE33" i="16"/>
  <c r="CG34" i="16"/>
  <c r="CC38" i="16"/>
  <c r="BX5" i="16"/>
  <c r="CV27" i="16"/>
  <c r="BW27" i="16"/>
  <c r="CX43" i="16"/>
  <c r="BY43" i="16"/>
  <c r="BQ55" i="16"/>
  <c r="CP55" i="16"/>
  <c r="DH60" i="16"/>
  <c r="CI60" i="16"/>
  <c r="DB9" i="16"/>
  <c r="CC9" i="16"/>
  <c r="DG13" i="16"/>
  <c r="CH13" i="16"/>
  <c r="DA16" i="16"/>
  <c r="CB16" i="16"/>
  <c r="CW18" i="16"/>
  <c r="BX18" i="16"/>
  <c r="DG21" i="16"/>
  <c r="CH21" i="16"/>
  <c r="DA24" i="16"/>
  <c r="CB24" i="16"/>
  <c r="CU28" i="16"/>
  <c r="BV28" i="16"/>
  <c r="DG30" i="16"/>
  <c r="CH30" i="16"/>
  <c r="DE31" i="16"/>
  <c r="CF31" i="16"/>
  <c r="CY34" i="16"/>
  <c r="BZ34" i="16"/>
  <c r="DK36" i="16"/>
  <c r="CL36" i="16"/>
  <c r="DG38" i="16"/>
  <c r="CH38" i="16"/>
  <c r="DC40" i="16"/>
  <c r="CD40" i="16"/>
  <c r="DI41" i="16"/>
  <c r="CJ41" i="16"/>
  <c r="DC41" i="16"/>
  <c r="CD41" i="16"/>
  <c r="CV45" i="16"/>
  <c r="BW45" i="16"/>
  <c r="CS49" i="16"/>
  <c r="BT49" i="16"/>
  <c r="DI53" i="16"/>
  <c r="CJ53" i="16"/>
  <c r="DC53" i="16"/>
  <c r="CD53" i="16"/>
  <c r="CS57" i="16"/>
  <c r="BT57" i="16"/>
  <c r="CS81" i="16"/>
  <c r="BT81" i="16"/>
  <c r="DI85" i="16"/>
  <c r="CJ85" i="16"/>
  <c r="CV85" i="16"/>
  <c r="BW85" i="16"/>
  <c r="DD16" i="16"/>
  <c r="CE16" i="16"/>
  <c r="DF40" i="16"/>
  <c r="CG40" i="16"/>
  <c r="CY44" i="16"/>
  <c r="BZ44" i="16"/>
  <c r="CW44" i="16"/>
  <c r="BX44" i="16"/>
  <c r="CT60" i="16"/>
  <c r="BU60" i="16"/>
  <c r="DG8" i="16"/>
  <c r="CH8" i="16"/>
  <c r="DE8" i="16"/>
  <c r="CF8" i="16"/>
  <c r="CR50" i="16"/>
  <c r="BS50" i="16"/>
  <c r="DD84" i="16"/>
  <c r="CE84" i="16"/>
  <c r="CT12" i="16"/>
  <c r="BU12" i="16"/>
  <c r="DD13" i="16"/>
  <c r="CE13" i="16"/>
  <c r="DH15" i="16"/>
  <c r="CI15" i="16"/>
  <c r="CP18" i="16"/>
  <c r="BQ18" i="16"/>
  <c r="CZ19" i="16"/>
  <c r="CA19" i="16"/>
  <c r="DD21" i="16"/>
  <c r="CE21" i="16"/>
  <c r="DB24" i="16"/>
  <c r="CC24" i="16"/>
  <c r="DF26" i="16"/>
  <c r="CG26" i="16"/>
  <c r="DJ29" i="16"/>
  <c r="CK29" i="16"/>
  <c r="CR32" i="16"/>
  <c r="BS32" i="16"/>
  <c r="DB33" i="16"/>
  <c r="CC33" i="16"/>
  <c r="DF35" i="16"/>
  <c r="CG35" i="16"/>
  <c r="DJ37" i="16"/>
  <c r="CK37" i="16"/>
  <c r="CR40" i="16"/>
  <c r="BS40" i="16"/>
  <c r="DG42" i="16"/>
  <c r="CH42" i="16"/>
  <c r="DE42" i="16"/>
  <c r="CF42" i="16"/>
  <c r="DB46" i="16"/>
  <c r="CC46" i="16"/>
  <c r="DF50" i="16"/>
  <c r="CG50" i="16"/>
  <c r="CW50" i="16"/>
  <c r="BX50" i="16"/>
  <c r="DJ54" i="16"/>
  <c r="CK54" i="16"/>
  <c r="DG58" i="16"/>
  <c r="CH58" i="16"/>
  <c r="DE58" i="16"/>
  <c r="CF58" i="16"/>
  <c r="CU82" i="16"/>
  <c r="BV82" i="16"/>
  <c r="CS82" i="16"/>
  <c r="BT82" i="16"/>
  <c r="CP10" i="16"/>
  <c r="BQ10" i="16"/>
  <c r="DK6" i="16"/>
  <c r="CL6" i="16"/>
  <c r="DI6" i="16"/>
  <c r="CJ6" i="16"/>
  <c r="CY52" i="16"/>
  <c r="BZ52" i="16"/>
  <c r="CW52" i="16"/>
  <c r="BX52" i="16"/>
  <c r="DF51" i="16"/>
  <c r="CG51" i="16"/>
  <c r="DF59" i="16"/>
  <c r="CG59" i="16"/>
  <c r="CX11" i="16"/>
  <c r="BY11" i="16"/>
  <c r="CQ14" i="16"/>
  <c r="BR14" i="16"/>
  <c r="DA15" i="16"/>
  <c r="CB15" i="16"/>
  <c r="DE17" i="16"/>
  <c r="CF17" i="16"/>
  <c r="DI19" i="16"/>
  <c r="CJ19" i="16"/>
  <c r="CW21" i="16"/>
  <c r="BX21" i="16"/>
  <c r="DA23" i="16"/>
  <c r="CB23" i="16"/>
  <c r="DE25" i="16"/>
  <c r="CF25" i="16"/>
  <c r="DI28" i="16"/>
  <c r="CJ28" i="16"/>
  <c r="CW30" i="16"/>
  <c r="BX30" i="16"/>
  <c r="DA32" i="16"/>
  <c r="CB32" i="16"/>
  <c r="DE34" i="16"/>
  <c r="CF34" i="16"/>
  <c r="DI36" i="16"/>
  <c r="CJ36" i="16"/>
  <c r="CQ39" i="16"/>
  <c r="BR39" i="16"/>
  <c r="DI43" i="16"/>
  <c r="CJ43" i="16"/>
  <c r="CV43" i="16"/>
  <c r="BW43" i="16"/>
  <c r="CS47" i="16"/>
  <c r="BT47" i="16"/>
  <c r="DC47" i="16"/>
  <c r="CD47" i="16"/>
  <c r="CV51" i="16"/>
  <c r="BW51" i="16"/>
  <c r="CS55" i="16"/>
  <c r="BT55" i="16"/>
  <c r="DI59" i="16"/>
  <c r="CJ59" i="16"/>
  <c r="DI83" i="16"/>
  <c r="CJ83" i="16"/>
  <c r="CS83" i="16"/>
  <c r="BT83" i="16"/>
  <c r="DI7" i="16"/>
  <c r="CJ7" i="16"/>
  <c r="CV7" i="16"/>
  <c r="BW7" i="16"/>
  <c r="CS11" i="16"/>
  <c r="BT11" i="16"/>
  <c r="DC11" i="16"/>
  <c r="CD11" i="16"/>
  <c r="DF28" i="16"/>
  <c r="CG28" i="16"/>
  <c r="DB32" i="16"/>
  <c r="CC32" i="16"/>
  <c r="CY48" i="16"/>
  <c r="BZ48" i="16"/>
  <c r="DC56" i="16"/>
  <c r="CD56" i="16"/>
  <c r="CT56" i="16"/>
  <c r="BU56" i="16"/>
  <c r="DG27" i="16"/>
  <c r="CH27" i="16"/>
  <c r="CT41" i="16"/>
  <c r="BU41" i="16"/>
  <c r="CP47" i="16"/>
  <c r="BQ47" i="16"/>
  <c r="DF55" i="16"/>
  <c r="CG55" i="16"/>
  <c r="DB81" i="16"/>
  <c r="CC81" i="16"/>
  <c r="CV10" i="16"/>
  <c r="BW10" i="16"/>
  <c r="CU13" i="16"/>
  <c r="BV13" i="16"/>
  <c r="DG15" i="16"/>
  <c r="CH15" i="16"/>
  <c r="DC17" i="16"/>
  <c r="CD17" i="16"/>
  <c r="CY19" i="16"/>
  <c r="BZ19" i="16"/>
  <c r="CU21" i="16"/>
  <c r="BV21" i="16"/>
  <c r="DE24" i="16"/>
  <c r="CF24" i="16"/>
  <c r="DA26" i="16"/>
  <c r="CB26" i="16"/>
  <c r="CU30" i="16"/>
  <c r="BV30" i="16"/>
  <c r="DI31" i="16"/>
  <c r="CJ31" i="16"/>
  <c r="DC34" i="16"/>
  <c r="CD34" i="16"/>
  <c r="CW37" i="16"/>
  <c r="BX37" i="16"/>
  <c r="DK38" i="16"/>
  <c r="CL38" i="16"/>
  <c r="CZ5" i="16"/>
  <c r="CA5" i="16"/>
  <c r="DH41" i="16"/>
  <c r="CI41" i="16"/>
  <c r="DE45" i="16"/>
  <c r="CF45" i="16"/>
  <c r="DH45" i="16"/>
  <c r="CI45" i="16"/>
  <c r="DE49" i="16"/>
  <c r="CF49" i="16"/>
  <c r="CR49" i="16"/>
  <c r="BS49" i="16"/>
  <c r="DH53" i="16"/>
  <c r="CI53" i="16"/>
  <c r="DE57" i="16"/>
  <c r="CF57" i="16"/>
  <c r="CY57" i="16"/>
  <c r="BZ57" i="16"/>
  <c r="DH81" i="16"/>
  <c r="CI81" i="16"/>
  <c r="DE85" i="16"/>
  <c r="CF85" i="16"/>
  <c r="CR9" i="16"/>
  <c r="BS9" i="16"/>
  <c r="DB27" i="16"/>
  <c r="CC27" i="16"/>
  <c r="DK27" i="16"/>
  <c r="CL27" i="16"/>
  <c r="DD27" i="16"/>
  <c r="CE27" i="16"/>
  <c r="DJ41" i="16"/>
  <c r="CK41" i="16"/>
  <c r="DF47" i="16"/>
  <c r="CG47" i="16"/>
  <c r="DB53" i="16"/>
  <c r="CC53" i="16"/>
  <c r="CX59" i="16"/>
  <c r="BY59" i="16"/>
  <c r="CT85" i="16"/>
  <c r="BU85" i="16"/>
  <c r="CR8" i="16"/>
  <c r="BS8" i="16"/>
  <c r="CY13" i="16"/>
  <c r="BZ13" i="16"/>
  <c r="CU15" i="16"/>
  <c r="BV15" i="16"/>
  <c r="DK15" i="16"/>
  <c r="CL15" i="16"/>
  <c r="DG17" i="16"/>
  <c r="CH17" i="16"/>
  <c r="DC19" i="16"/>
  <c r="CD19" i="16"/>
  <c r="CY21" i="16"/>
  <c r="BZ21" i="16"/>
  <c r="CU23" i="16"/>
  <c r="BV23" i="16"/>
  <c r="DI24" i="16"/>
  <c r="CJ24" i="16"/>
  <c r="DE26" i="16"/>
  <c r="CF26" i="16"/>
  <c r="CY30" i="16"/>
  <c r="BZ30" i="16"/>
  <c r="CU32" i="16"/>
  <c r="BV32" i="16"/>
  <c r="DI33" i="16"/>
  <c r="CJ33" i="16"/>
  <c r="CY38" i="16"/>
  <c r="BZ38" i="16"/>
  <c r="DF27" i="16"/>
  <c r="CG27" i="16"/>
  <c r="CY27" i="16"/>
  <c r="BZ27" i="16"/>
  <c r="CR27" i="16"/>
  <c r="BS27" i="16"/>
  <c r="DH27" i="16"/>
  <c r="CI27" i="16"/>
  <c r="DE27" i="16"/>
  <c r="CF27" i="16"/>
  <c r="DD42" i="16"/>
  <c r="CE42" i="16"/>
  <c r="DB45" i="16"/>
  <c r="CC45" i="16"/>
  <c r="CZ48" i="16"/>
  <c r="CA48" i="16"/>
  <c r="CX51" i="16"/>
  <c r="BY51" i="16"/>
  <c r="CV54" i="16"/>
  <c r="BW54" i="16"/>
  <c r="CT57" i="16"/>
  <c r="BU57" i="16"/>
  <c r="CR60" i="16"/>
  <c r="BS60" i="16"/>
  <c r="BQ83" i="16"/>
  <c r="CP83" i="16"/>
  <c r="DJ85" i="16"/>
  <c r="CK85" i="16"/>
  <c r="DH8" i="16"/>
  <c r="CI8" i="16"/>
  <c r="DF11" i="16"/>
  <c r="CG11" i="16"/>
  <c r="DE12" i="16"/>
  <c r="CF12" i="16"/>
  <c r="DC13" i="16"/>
  <c r="CD13" i="16"/>
  <c r="DA14" i="16"/>
  <c r="CB14" i="16"/>
  <c r="CY15" i="16"/>
  <c r="BZ15" i="16"/>
  <c r="CW16" i="16"/>
  <c r="BX16" i="16"/>
  <c r="CU17" i="16"/>
  <c r="BV17" i="16"/>
  <c r="DK17" i="16"/>
  <c r="CL17" i="16"/>
  <c r="DI18" i="16"/>
  <c r="CJ18" i="16"/>
  <c r="DG19" i="16"/>
  <c r="CH19" i="16"/>
  <c r="DE20" i="16"/>
  <c r="CF20" i="16"/>
  <c r="DC21" i="16"/>
  <c r="CD21" i="16"/>
  <c r="DA22" i="16"/>
  <c r="CB22" i="16"/>
  <c r="CY23" i="16"/>
  <c r="BZ23" i="16"/>
  <c r="CW24" i="16"/>
  <c r="BX24" i="16"/>
  <c r="CU25" i="16"/>
  <c r="BV25" i="16"/>
  <c r="DK25" i="16"/>
  <c r="CL25" i="16"/>
  <c r="DI26" i="16"/>
  <c r="CJ26" i="16"/>
  <c r="DG28" i="16"/>
  <c r="CH28" i="16"/>
  <c r="DE29" i="16"/>
  <c r="CF29" i="16"/>
  <c r="DC30" i="16"/>
  <c r="CD30" i="16"/>
  <c r="DA31" i="16"/>
  <c r="CB31" i="16"/>
  <c r="CY32" i="16"/>
  <c r="BZ32" i="16"/>
  <c r="CW33" i="16"/>
  <c r="BX33" i="16"/>
  <c r="CU34" i="16"/>
  <c r="BV34" i="16"/>
  <c r="DK34" i="16"/>
  <c r="CL34" i="16"/>
  <c r="DI35" i="16"/>
  <c r="CJ35" i="16"/>
  <c r="DG36" i="16"/>
  <c r="CH36" i="16"/>
  <c r="DE37" i="16"/>
  <c r="CF37" i="16"/>
  <c r="DC38" i="16"/>
  <c r="CD38" i="16"/>
  <c r="DA39" i="16"/>
  <c r="CB39" i="16"/>
  <c r="CY40" i="16"/>
  <c r="BZ40" i="16"/>
  <c r="DH5" i="16"/>
  <c r="CI5" i="16"/>
  <c r="CR5" i="16"/>
  <c r="BS5" i="16"/>
  <c r="CW41" i="16"/>
  <c r="BX41" i="16"/>
  <c r="CZ41" i="16"/>
  <c r="CA41" i="16"/>
  <c r="DG41" i="16"/>
  <c r="CH41" i="16"/>
  <c r="CQ41" i="16"/>
  <c r="BR41" i="16"/>
  <c r="CW45" i="16"/>
  <c r="BX45" i="16"/>
  <c r="CZ45" i="16"/>
  <c r="CA45" i="16"/>
  <c r="DG45" i="16"/>
  <c r="CH45" i="16"/>
  <c r="CQ45" i="16"/>
  <c r="BR45" i="16"/>
  <c r="CW49" i="16"/>
  <c r="BX49" i="16"/>
  <c r="CZ49" i="16"/>
  <c r="CA49" i="16"/>
  <c r="DG49" i="16"/>
  <c r="CH49" i="16"/>
  <c r="CQ49" i="16"/>
  <c r="BR49" i="16"/>
  <c r="CW53" i="16"/>
  <c r="BX53" i="16"/>
  <c r="CZ53" i="16"/>
  <c r="CA53" i="16"/>
  <c r="DG53" i="16"/>
  <c r="CH53" i="16"/>
  <c r="CQ53" i="16"/>
  <c r="BR53" i="16"/>
  <c r="CW57" i="16"/>
  <c r="BX57" i="16"/>
  <c r="CZ57" i="16"/>
  <c r="CA57" i="16"/>
  <c r="DG57" i="16"/>
  <c r="CH57" i="16"/>
  <c r="CQ57" i="16"/>
  <c r="BR57" i="16"/>
  <c r="CW81" i="16"/>
  <c r="BX81" i="16"/>
  <c r="CZ81" i="16"/>
  <c r="CA81" i="16"/>
  <c r="DG81" i="16"/>
  <c r="CH81" i="16"/>
  <c r="CQ81" i="16"/>
  <c r="BR81" i="16"/>
  <c r="CW85" i="16"/>
  <c r="BX85" i="16"/>
  <c r="CZ85" i="16"/>
  <c r="CA85" i="16"/>
  <c r="DG85" i="16"/>
  <c r="CH85" i="16"/>
  <c r="CQ85" i="16"/>
  <c r="BR85" i="16"/>
  <c r="CW9" i="16"/>
  <c r="BX9" i="16"/>
  <c r="CZ9" i="16"/>
  <c r="CA9" i="16"/>
  <c r="DG9" i="16"/>
  <c r="CH9" i="16"/>
  <c r="CQ9" i="16"/>
  <c r="BR9" i="16"/>
  <c r="CR16" i="16"/>
  <c r="BS16" i="16"/>
  <c r="CV24" i="16"/>
  <c r="BW24" i="16"/>
  <c r="CP28" i="16"/>
  <c r="BQ28" i="16"/>
  <c r="CT40" i="16"/>
  <c r="BU40" i="16"/>
  <c r="DC44" i="16"/>
  <c r="CD44" i="16"/>
  <c r="DJ44" i="16"/>
  <c r="CK44" i="16"/>
  <c r="CT44" i="16"/>
  <c r="BU44" i="16"/>
  <c r="DA44" i="16"/>
  <c r="CB44" i="16"/>
  <c r="DG60" i="16"/>
  <c r="CH60" i="16"/>
  <c r="CQ60" i="16"/>
  <c r="BR60" i="16"/>
  <c r="CX60" i="16"/>
  <c r="BY60" i="16"/>
  <c r="DE60" i="16"/>
  <c r="CF60" i="16"/>
  <c r="DK8" i="16"/>
  <c r="CL8" i="16"/>
  <c r="CU8" i="16"/>
  <c r="BV8" i="16"/>
  <c r="DB8" i="16"/>
  <c r="CC8" i="16"/>
  <c r="DI8" i="16"/>
  <c r="CJ8" i="16"/>
  <c r="CS8" i="16"/>
  <c r="BT8" i="16"/>
  <c r="DF45" i="16"/>
  <c r="CG45" i="16"/>
  <c r="DD48" i="16"/>
  <c r="CE48" i="16"/>
  <c r="CV52" i="16"/>
  <c r="BW52" i="16"/>
  <c r="DJ55" i="16"/>
  <c r="CK55" i="16"/>
  <c r="DB59" i="16"/>
  <c r="CC59" i="16"/>
  <c r="DJ83" i="16"/>
  <c r="CK83" i="16"/>
  <c r="DB7" i="16"/>
  <c r="CC7" i="16"/>
  <c r="DJ11" i="16"/>
  <c r="CK11" i="16"/>
  <c r="DF12" i="16"/>
  <c r="CG12" i="16"/>
  <c r="CZ13" i="16"/>
  <c r="CA13" i="16"/>
  <c r="CT14" i="16"/>
  <c r="BU14" i="16"/>
  <c r="DJ14" i="16"/>
  <c r="CK14" i="16"/>
  <c r="DD15" i="16"/>
  <c r="CE15" i="16"/>
  <c r="CX16" i="16"/>
  <c r="BY16" i="16"/>
  <c r="CR17" i="16"/>
  <c r="BS17" i="16"/>
  <c r="DH17" i="16"/>
  <c r="CI17" i="16"/>
  <c r="DB18" i="16"/>
  <c r="CC18" i="16"/>
  <c r="CV19" i="16"/>
  <c r="BW19" i="16"/>
  <c r="CP20" i="16"/>
  <c r="BQ20" i="16"/>
  <c r="DF20" i="16"/>
  <c r="CG20" i="16"/>
  <c r="CZ21" i="16"/>
  <c r="CA21" i="16"/>
  <c r="CT22" i="16"/>
  <c r="BU22" i="16"/>
  <c r="DJ22" i="16"/>
  <c r="CK22" i="16"/>
  <c r="DD23" i="16"/>
  <c r="CE23" i="16"/>
  <c r="CX24" i="16"/>
  <c r="BY24" i="16"/>
  <c r="CR25" i="16"/>
  <c r="BS25" i="16"/>
  <c r="DH25" i="16"/>
  <c r="CI25" i="16"/>
  <c r="DB26" i="16"/>
  <c r="CC26" i="16"/>
  <c r="CV28" i="16"/>
  <c r="BW28" i="16"/>
  <c r="CP29" i="16"/>
  <c r="BQ29" i="16"/>
  <c r="DF29" i="16"/>
  <c r="CG29" i="16"/>
  <c r="CZ30" i="16"/>
  <c r="CA30" i="16"/>
  <c r="CT31" i="16"/>
  <c r="BU31" i="16"/>
  <c r="DJ31" i="16"/>
  <c r="CK31" i="16"/>
  <c r="DD32" i="16"/>
  <c r="CE32" i="16"/>
  <c r="CX33" i="16"/>
  <c r="BY33" i="16"/>
  <c r="CR34" i="16"/>
  <c r="BS34" i="16"/>
  <c r="DH34" i="16"/>
  <c r="CI34" i="16"/>
  <c r="DB35" i="16"/>
  <c r="CC35" i="16"/>
  <c r="CV36" i="16"/>
  <c r="BW36" i="16"/>
  <c r="CP37" i="16"/>
  <c r="BQ37" i="16"/>
  <c r="DF37" i="16"/>
  <c r="CG37" i="16"/>
  <c r="CZ38" i="16"/>
  <c r="CA38" i="16"/>
  <c r="CT39" i="16"/>
  <c r="BU39" i="16"/>
  <c r="DJ39" i="16"/>
  <c r="CK39" i="16"/>
  <c r="DD40" i="16"/>
  <c r="CE40" i="16"/>
  <c r="DC5" i="16"/>
  <c r="CD5" i="16"/>
  <c r="DK42" i="16"/>
  <c r="CL42" i="16"/>
  <c r="CU42" i="16"/>
  <c r="BV42" i="16"/>
  <c r="DB42" i="16"/>
  <c r="CC42" i="16"/>
  <c r="DI42" i="16"/>
  <c r="CJ42" i="16"/>
  <c r="CS42" i="16"/>
  <c r="BT42" i="16"/>
  <c r="CY46" i="16"/>
  <c r="BZ46" i="16"/>
  <c r="DF46" i="16"/>
  <c r="CG46" i="16"/>
  <c r="CP46" i="16"/>
  <c r="BQ46" i="16"/>
  <c r="CW46" i="16"/>
  <c r="BX46" i="16"/>
  <c r="DC50" i="16"/>
  <c r="CD50" i="16"/>
  <c r="DJ50" i="16"/>
  <c r="CK50" i="16"/>
  <c r="CT50" i="16"/>
  <c r="BU50" i="16"/>
  <c r="DA50" i="16"/>
  <c r="CB50" i="16"/>
  <c r="DG54" i="16"/>
  <c r="CH54" i="16"/>
  <c r="CQ54" i="16"/>
  <c r="BR54" i="16"/>
  <c r="CX54" i="16"/>
  <c r="BY54" i="16"/>
  <c r="DE54" i="16"/>
  <c r="CF54" i="16"/>
  <c r="DK58" i="16"/>
  <c r="CL58" i="16"/>
  <c r="CU58" i="16"/>
  <c r="BV58" i="16"/>
  <c r="DB58" i="16"/>
  <c r="CC58" i="16"/>
  <c r="DI58" i="16"/>
  <c r="CJ58" i="16"/>
  <c r="CS58" i="16"/>
  <c r="BT58" i="16"/>
  <c r="CY82" i="16"/>
  <c r="BZ82" i="16"/>
  <c r="DF82" i="16"/>
  <c r="CG82" i="16"/>
  <c r="CP82" i="16"/>
  <c r="BQ82" i="16"/>
  <c r="CW82" i="16"/>
  <c r="BX82" i="16"/>
  <c r="DC10" i="16"/>
  <c r="CD10" i="16"/>
  <c r="DJ10" i="16"/>
  <c r="CK10" i="16"/>
  <c r="CT10" i="16"/>
  <c r="BU10" i="16"/>
  <c r="DA10" i="16"/>
  <c r="CB10" i="16"/>
  <c r="DD60" i="16"/>
  <c r="CE60" i="16"/>
  <c r="DH12" i="16"/>
  <c r="CI12" i="16"/>
  <c r="CR20" i="16"/>
  <c r="BS20" i="16"/>
  <c r="CZ24" i="16"/>
  <c r="CA24" i="16"/>
  <c r="DJ28" i="16"/>
  <c r="CK28" i="16"/>
  <c r="DF32" i="16"/>
  <c r="CG32" i="16"/>
  <c r="DF36" i="16"/>
  <c r="CG36" i="16"/>
  <c r="CY6" i="16"/>
  <c r="BZ6" i="16"/>
  <c r="DF6" i="16"/>
  <c r="CG6" i="16"/>
  <c r="CP6" i="16"/>
  <c r="BQ6" i="16"/>
  <c r="CW6" i="16"/>
  <c r="BX6" i="16"/>
  <c r="DC52" i="16"/>
  <c r="CD52" i="16"/>
  <c r="DJ52" i="16"/>
  <c r="CK52" i="16"/>
  <c r="CT52" i="16"/>
  <c r="BU52" i="16"/>
  <c r="DA52" i="16"/>
  <c r="CB52" i="16"/>
  <c r="DG84" i="16"/>
  <c r="CH84" i="16"/>
  <c r="CQ84" i="16"/>
  <c r="BR84" i="16"/>
  <c r="CX84" i="16"/>
  <c r="BY84" i="16"/>
  <c r="DE84" i="16"/>
  <c r="CF84" i="16"/>
  <c r="DF43" i="16"/>
  <c r="CG43" i="16"/>
  <c r="CX47" i="16"/>
  <c r="BY47" i="16"/>
  <c r="CP51" i="16"/>
  <c r="DM51" i="16" s="1"/>
  <c r="BQ51" i="16"/>
  <c r="CN51" i="16" s="1"/>
  <c r="H51" i="16" s="1"/>
  <c r="CX55" i="16"/>
  <c r="BY55" i="16"/>
  <c r="BQ59" i="16"/>
  <c r="CP59" i="16"/>
  <c r="DJ81" i="16"/>
  <c r="CK81" i="16"/>
  <c r="CP7" i="16"/>
  <c r="BQ7" i="16"/>
  <c r="DJ9" i="16"/>
  <c r="CK9" i="16"/>
  <c r="CY12" i="16"/>
  <c r="BZ12" i="16"/>
  <c r="CS13" i="16"/>
  <c r="BT13" i="16"/>
  <c r="DI13" i="16"/>
  <c r="CJ13" i="16"/>
  <c r="DC14" i="16"/>
  <c r="CD14" i="16"/>
  <c r="CW15" i="16"/>
  <c r="BX15" i="16"/>
  <c r="CQ16" i="16"/>
  <c r="BR16" i="16"/>
  <c r="DG16" i="16"/>
  <c r="CH16" i="16"/>
  <c r="DA17" i="16"/>
  <c r="CB17" i="16"/>
  <c r="CU18" i="16"/>
  <c r="BV18" i="16"/>
  <c r="DK18" i="16"/>
  <c r="CL18" i="16"/>
  <c r="DE19" i="16"/>
  <c r="CF19" i="16"/>
  <c r="CY20" i="16"/>
  <c r="BZ20" i="16"/>
  <c r="CS21" i="16"/>
  <c r="BT21" i="16"/>
  <c r="DI21" i="16"/>
  <c r="CJ21" i="16"/>
  <c r="DC22" i="16"/>
  <c r="CD22" i="16"/>
  <c r="CW23" i="16"/>
  <c r="BX23" i="16"/>
  <c r="CQ24" i="16"/>
  <c r="BR24" i="16"/>
  <c r="DG24" i="16"/>
  <c r="CH24" i="16"/>
  <c r="DA25" i="16"/>
  <c r="CB25" i="16"/>
  <c r="CU26" i="16"/>
  <c r="BV26" i="16"/>
  <c r="DK26" i="16"/>
  <c r="CL26" i="16"/>
  <c r="DE28" i="16"/>
  <c r="CF28" i="16"/>
  <c r="CY29" i="16"/>
  <c r="BZ29" i="16"/>
  <c r="CS30" i="16"/>
  <c r="BT30" i="16"/>
  <c r="DI30" i="16"/>
  <c r="CJ30" i="16"/>
  <c r="DC31" i="16"/>
  <c r="CD31" i="16"/>
  <c r="CW32" i="16"/>
  <c r="BX32" i="16"/>
  <c r="CQ33" i="16"/>
  <c r="BR33" i="16"/>
  <c r="DG33" i="16"/>
  <c r="CH33" i="16"/>
  <c r="DA34" i="16"/>
  <c r="CB34" i="16"/>
  <c r="CU35" i="16"/>
  <c r="BV35" i="16"/>
  <c r="DK35" i="16"/>
  <c r="CL35" i="16"/>
  <c r="DE36" i="16"/>
  <c r="CF36" i="16"/>
  <c r="CY37" i="16"/>
  <c r="BZ37" i="16"/>
  <c r="CS38" i="16"/>
  <c r="BT38" i="16"/>
  <c r="DI38" i="16"/>
  <c r="CJ38" i="16"/>
  <c r="DC39" i="16"/>
  <c r="CD39" i="16"/>
  <c r="CW40" i="16"/>
  <c r="BX40" i="16"/>
  <c r="DJ5" i="16"/>
  <c r="CK5" i="16"/>
  <c r="CT5" i="16"/>
  <c r="BU5" i="16"/>
  <c r="CW43" i="16"/>
  <c r="BX43" i="16"/>
  <c r="CZ43" i="16"/>
  <c r="CA43" i="16"/>
  <c r="DG43" i="16"/>
  <c r="CH43" i="16"/>
  <c r="CQ43" i="16"/>
  <c r="BR43" i="16"/>
  <c r="CW47" i="16"/>
  <c r="BX47" i="16"/>
  <c r="CZ47" i="16"/>
  <c r="CA47" i="16"/>
  <c r="DG47" i="16"/>
  <c r="CH47" i="16"/>
  <c r="CQ47" i="16"/>
  <c r="BR47" i="16"/>
  <c r="CW51" i="16"/>
  <c r="BX51" i="16"/>
  <c r="CZ51" i="16"/>
  <c r="CA51" i="16"/>
  <c r="DG51" i="16"/>
  <c r="CH51" i="16"/>
  <c r="CQ51" i="16"/>
  <c r="BR51" i="16"/>
  <c r="CW55" i="16"/>
  <c r="BX55" i="16"/>
  <c r="CZ55" i="16"/>
  <c r="CA55" i="16"/>
  <c r="DG55" i="16"/>
  <c r="CH55" i="16"/>
  <c r="CQ55" i="16"/>
  <c r="BR55" i="16"/>
  <c r="CW59" i="16"/>
  <c r="BX59" i="16"/>
  <c r="CZ59" i="16"/>
  <c r="CA59" i="16"/>
  <c r="DG59" i="16"/>
  <c r="CH59" i="16"/>
  <c r="CQ59" i="16"/>
  <c r="BR59" i="16"/>
  <c r="CW83" i="16"/>
  <c r="BX83" i="16"/>
  <c r="CZ83" i="16"/>
  <c r="CA83" i="16"/>
  <c r="DG83" i="16"/>
  <c r="CH83" i="16"/>
  <c r="CQ83" i="16"/>
  <c r="BR83" i="16"/>
  <c r="CW7" i="16"/>
  <c r="BX7" i="16"/>
  <c r="CZ7" i="16"/>
  <c r="CA7" i="16"/>
  <c r="DG7" i="16"/>
  <c r="CH7" i="16"/>
  <c r="CQ7" i="16"/>
  <c r="BR7" i="16"/>
  <c r="CW11" i="16"/>
  <c r="BX11" i="16"/>
  <c r="CZ11" i="16"/>
  <c r="CA11" i="16"/>
  <c r="DG11" i="16"/>
  <c r="CH11" i="16"/>
  <c r="CQ11" i="16"/>
  <c r="BR11" i="16"/>
  <c r="DH20" i="16"/>
  <c r="CI20" i="16"/>
  <c r="CT28" i="16"/>
  <c r="BU28" i="16"/>
  <c r="CP32" i="16"/>
  <c r="BQ32" i="16"/>
  <c r="CP40" i="16"/>
  <c r="BQ40" i="16"/>
  <c r="DC48" i="16"/>
  <c r="CD48" i="16"/>
  <c r="DJ48" i="16"/>
  <c r="CK48" i="16"/>
  <c r="CT48" i="16"/>
  <c r="BU48" i="16"/>
  <c r="DA48" i="16"/>
  <c r="CB48" i="16"/>
  <c r="DG56" i="16"/>
  <c r="CH56" i="16"/>
  <c r="CQ56" i="16"/>
  <c r="BR56" i="16"/>
  <c r="CX56" i="16"/>
  <c r="BY56" i="16"/>
  <c r="DE56" i="16"/>
  <c r="CF56" i="16"/>
  <c r="CT27" i="16"/>
  <c r="BU27" i="16"/>
  <c r="CS27" i="16"/>
  <c r="BT27" i="16"/>
  <c r="CT49" i="16"/>
  <c r="BU49" i="16"/>
  <c r="DF83" i="16"/>
  <c r="CG83" i="16"/>
  <c r="CS12" i="16"/>
  <c r="BT12" i="16"/>
  <c r="DC15" i="16"/>
  <c r="CD15" i="16"/>
  <c r="CU19" i="16"/>
  <c r="BV19" i="16"/>
  <c r="DE22" i="16"/>
  <c r="CF22" i="16"/>
  <c r="CY25" i="16"/>
  <c r="BZ25" i="16"/>
  <c r="DI29" i="16"/>
  <c r="CJ29" i="16"/>
  <c r="DA33" i="16"/>
  <c r="CB33" i="16"/>
  <c r="CU36" i="16"/>
  <c r="BV36" i="16"/>
  <c r="DE39" i="16"/>
  <c r="CF39" i="16"/>
  <c r="CS41" i="16"/>
  <c r="BT41" i="16"/>
  <c r="CS45" i="16"/>
  <c r="BT45" i="16"/>
  <c r="DI49" i="16"/>
  <c r="CJ49" i="16"/>
  <c r="DC49" i="16"/>
  <c r="CD49" i="16"/>
  <c r="CV53" i="16"/>
  <c r="BW53" i="16"/>
  <c r="DC57" i="16"/>
  <c r="CD57" i="16"/>
  <c r="CV81" i="16"/>
  <c r="BW81" i="16"/>
  <c r="DC85" i="16"/>
  <c r="CD85" i="16"/>
  <c r="DH24" i="16"/>
  <c r="CI24" i="16"/>
  <c r="DF44" i="16"/>
  <c r="CG44" i="16"/>
  <c r="DC60" i="16"/>
  <c r="CD60" i="16"/>
  <c r="CQ8" i="16"/>
  <c r="BR8" i="16"/>
  <c r="CZ46" i="16"/>
  <c r="CA46" i="16"/>
  <c r="DF81" i="16"/>
  <c r="CG81" i="16"/>
  <c r="DJ12" i="16"/>
  <c r="CK12" i="16"/>
  <c r="CR15" i="16"/>
  <c r="BS15" i="16"/>
  <c r="CV17" i="16"/>
  <c r="BW17" i="16"/>
  <c r="CT20" i="16"/>
  <c r="BU20" i="16"/>
  <c r="CR23" i="16"/>
  <c r="BS23" i="16"/>
  <c r="CV25" i="16"/>
  <c r="BW25" i="16"/>
  <c r="CZ28" i="16"/>
  <c r="CA28" i="16"/>
  <c r="CX31" i="16"/>
  <c r="BY31" i="16"/>
  <c r="CV34" i="16"/>
  <c r="BW34" i="16"/>
  <c r="CZ36" i="16"/>
  <c r="CA36" i="16"/>
  <c r="DD38" i="16"/>
  <c r="CE38" i="16"/>
  <c r="DH40" i="16"/>
  <c r="CI40" i="16"/>
  <c r="CX42" i="16"/>
  <c r="BY42" i="16"/>
  <c r="CU46" i="16"/>
  <c r="BV46" i="16"/>
  <c r="CY50" i="16"/>
  <c r="BZ50" i="16"/>
  <c r="DC54" i="16"/>
  <c r="CD54" i="16"/>
  <c r="DA54" i="16"/>
  <c r="CB54" i="16"/>
  <c r="CX58" i="16"/>
  <c r="BY58" i="16"/>
  <c r="DB82" i="16"/>
  <c r="CC82" i="16"/>
  <c r="DF10" i="16"/>
  <c r="CG10" i="16"/>
  <c r="CZ16" i="16"/>
  <c r="CA16" i="16"/>
  <c r="DD20" i="16"/>
  <c r="CE20" i="16"/>
  <c r="DB6" i="16"/>
  <c r="CC6" i="16"/>
  <c r="DF52" i="16"/>
  <c r="CG52" i="16"/>
  <c r="DC84" i="16"/>
  <c r="CD84" i="16"/>
  <c r="CT84" i="16"/>
  <c r="BU84" i="16"/>
  <c r="CR48" i="16"/>
  <c r="BS48" i="16"/>
  <c r="CX83" i="16"/>
  <c r="BY83" i="16"/>
  <c r="CW13" i="16"/>
  <c r="BX13" i="16"/>
  <c r="CU16" i="16"/>
  <c r="BV16" i="16"/>
  <c r="CS19" i="16"/>
  <c r="BT19" i="16"/>
  <c r="CQ22" i="16"/>
  <c r="BR22" i="16"/>
  <c r="DK24" i="16"/>
  <c r="CL24" i="16"/>
  <c r="CS28" i="16"/>
  <c r="BT28" i="16"/>
  <c r="CQ31" i="16"/>
  <c r="BR31" i="16"/>
  <c r="DK33" i="16"/>
  <c r="CL33" i="16"/>
  <c r="CS36" i="16"/>
  <c r="BT36" i="16"/>
  <c r="CW38" i="16"/>
  <c r="BX38" i="16"/>
  <c r="DF5" i="16"/>
  <c r="CG5" i="16"/>
  <c r="DC43" i="16"/>
  <c r="CD43" i="16"/>
  <c r="CV47" i="16"/>
  <c r="BW47" i="16"/>
  <c r="CS51" i="16"/>
  <c r="BT51" i="16"/>
  <c r="DI55" i="16"/>
  <c r="CJ55" i="16"/>
  <c r="DC55" i="16"/>
  <c r="CD55" i="16"/>
  <c r="DC59" i="16"/>
  <c r="CD59" i="16"/>
  <c r="DC83" i="16"/>
  <c r="CD83" i="16"/>
  <c r="CV84" i="16"/>
  <c r="BW84" i="16"/>
  <c r="CV16" i="16"/>
  <c r="BW16" i="16"/>
  <c r="CW48" i="16"/>
  <c r="BX48" i="16"/>
  <c r="CX27" i="16"/>
  <c r="BY27" i="16"/>
  <c r="CZ27" i="16"/>
  <c r="CA27" i="16"/>
  <c r="DJ49" i="16"/>
  <c r="CK49" i="16"/>
  <c r="CZ84" i="16"/>
  <c r="CA84" i="16"/>
  <c r="DK13" i="16"/>
  <c r="CL13" i="16"/>
  <c r="DA18" i="16"/>
  <c r="CB18" i="16"/>
  <c r="DI22" i="16"/>
  <c r="CJ22" i="16"/>
  <c r="CY28" i="16"/>
  <c r="BZ28" i="16"/>
  <c r="DG32" i="16"/>
  <c r="CH32" i="16"/>
  <c r="CY36" i="16"/>
  <c r="BZ36" i="16"/>
  <c r="DI39" i="16"/>
  <c r="CJ39" i="16"/>
  <c r="CR41" i="16"/>
  <c r="BS41" i="16"/>
  <c r="CY45" i="16"/>
  <c r="BZ45" i="16"/>
  <c r="CY49" i="16"/>
  <c r="BZ49" i="16"/>
  <c r="CR53" i="16"/>
  <c r="BS53" i="16"/>
  <c r="CR57" i="16"/>
  <c r="BS57" i="16"/>
  <c r="CR81" i="16"/>
  <c r="BS81" i="16"/>
  <c r="CY81" i="16"/>
  <c r="BZ81" i="16"/>
  <c r="CR85" i="16"/>
  <c r="BS85" i="16"/>
  <c r="CY85" i="16"/>
  <c r="BZ85" i="16"/>
  <c r="DE9" i="16"/>
  <c r="CF9" i="16"/>
  <c r="CY9" i="16"/>
  <c r="BZ9" i="16"/>
  <c r="CR12" i="16"/>
  <c r="BS12" i="16"/>
  <c r="CZ20" i="16"/>
  <c r="CA20" i="16"/>
  <c r="CX32" i="16"/>
  <c r="BY32" i="16"/>
  <c r="CP36" i="16"/>
  <c r="BQ36" i="16"/>
  <c r="DK44" i="16"/>
  <c r="CL44" i="16"/>
  <c r="CU44" i="16"/>
  <c r="BV44" i="16"/>
  <c r="DB44" i="16"/>
  <c r="CC44" i="16"/>
  <c r="DI44" i="16"/>
  <c r="CJ44" i="16"/>
  <c r="CS44" i="16"/>
  <c r="BT44" i="16"/>
  <c r="CY60" i="16"/>
  <c r="BZ60" i="16"/>
  <c r="DF60" i="16"/>
  <c r="CG60" i="16"/>
  <c r="CP60" i="16"/>
  <c r="BQ60" i="16"/>
  <c r="CW60" i="16"/>
  <c r="BX60" i="16"/>
  <c r="DC8" i="16"/>
  <c r="CD8" i="16"/>
  <c r="DJ8" i="16"/>
  <c r="CK8" i="16"/>
  <c r="CT8" i="16"/>
  <c r="BU8" i="16"/>
  <c r="DA8" i="16"/>
  <c r="CB8" i="16"/>
  <c r="DH42" i="16"/>
  <c r="CI42" i="16"/>
  <c r="CT47" i="16"/>
  <c r="BU47" i="16"/>
  <c r="DH50" i="16"/>
  <c r="CI50" i="16"/>
  <c r="CZ54" i="16"/>
  <c r="CA54" i="16"/>
  <c r="CR58" i="16"/>
  <c r="BS58" i="16"/>
  <c r="CZ82" i="16"/>
  <c r="CA82" i="16"/>
  <c r="CR6" i="16"/>
  <c r="BS6" i="16"/>
  <c r="CZ10" i="16"/>
  <c r="CA10" i="16"/>
  <c r="CX12" i="16"/>
  <c r="BY12" i="16"/>
  <c r="CR13" i="16"/>
  <c r="BS13" i="16"/>
  <c r="DH13" i="16"/>
  <c r="CI13" i="16"/>
  <c r="DB14" i="16"/>
  <c r="CC14" i="16"/>
  <c r="CV15" i="16"/>
  <c r="BW15" i="16"/>
  <c r="CP16" i="16"/>
  <c r="DM16" i="16" s="1"/>
  <c r="BQ16" i="16"/>
  <c r="CN16" i="16" s="1"/>
  <c r="H16" i="16" s="1"/>
  <c r="DF16" i="16"/>
  <c r="CG16" i="16"/>
  <c r="CZ17" i="16"/>
  <c r="CA17" i="16"/>
  <c r="CT18" i="16"/>
  <c r="BU18" i="16"/>
  <c r="DJ18" i="16"/>
  <c r="CK18" i="16"/>
  <c r="DD19" i="16"/>
  <c r="CE19" i="16"/>
  <c r="CX20" i="16"/>
  <c r="BY20" i="16"/>
  <c r="CR21" i="16"/>
  <c r="BS21" i="16"/>
  <c r="DH21" i="16"/>
  <c r="CI21" i="16"/>
  <c r="DB22" i="16"/>
  <c r="CC22" i="16"/>
  <c r="CV23" i="16"/>
  <c r="BW23" i="16"/>
  <c r="CP24" i="16"/>
  <c r="BQ24" i="16"/>
  <c r="DF24" i="16"/>
  <c r="CG24" i="16"/>
  <c r="CZ25" i="16"/>
  <c r="CA25" i="16"/>
  <c r="CT26" i="16"/>
  <c r="BU26" i="16"/>
  <c r="DJ26" i="16"/>
  <c r="CK26" i="16"/>
  <c r="DD28" i="16"/>
  <c r="CE28" i="16"/>
  <c r="CX29" i="16"/>
  <c r="BY29" i="16"/>
  <c r="CR30" i="16"/>
  <c r="BS30" i="16"/>
  <c r="DH30" i="16"/>
  <c r="CI30" i="16"/>
  <c r="DB31" i="16"/>
  <c r="CC31" i="16"/>
  <c r="CV32" i="16"/>
  <c r="BW32" i="16"/>
  <c r="CP33" i="16"/>
  <c r="BQ33" i="16"/>
  <c r="DF33" i="16"/>
  <c r="CG33" i="16"/>
  <c r="CZ34" i="16"/>
  <c r="CA34" i="16"/>
  <c r="CT35" i="16"/>
  <c r="BU35" i="16"/>
  <c r="DJ35" i="16"/>
  <c r="CK35" i="16"/>
  <c r="DD36" i="16"/>
  <c r="CE36" i="16"/>
  <c r="CX37" i="16"/>
  <c r="BY37" i="16"/>
  <c r="CR38" i="16"/>
  <c r="BS38" i="16"/>
  <c r="DH38" i="16"/>
  <c r="CI38" i="16"/>
  <c r="DB39" i="16"/>
  <c r="CC39" i="16"/>
  <c r="CV40" i="16"/>
  <c r="BW40" i="16"/>
  <c r="DK5" i="16"/>
  <c r="CL5" i="16"/>
  <c r="CU5" i="16"/>
  <c r="BV5" i="16"/>
  <c r="DC42" i="16"/>
  <c r="CD42" i="16"/>
  <c r="DJ42" i="16"/>
  <c r="CK42" i="16"/>
  <c r="CT42" i="16"/>
  <c r="BU42" i="16"/>
  <c r="DA42" i="16"/>
  <c r="CB42" i="16"/>
  <c r="DG46" i="16"/>
  <c r="CH46" i="16"/>
  <c r="CQ46" i="16"/>
  <c r="BR46" i="16"/>
  <c r="CX46" i="16"/>
  <c r="BY46" i="16"/>
  <c r="DE46" i="16"/>
  <c r="CF46" i="16"/>
  <c r="DK50" i="16"/>
  <c r="CL50" i="16"/>
  <c r="CU50" i="16"/>
  <c r="BV50" i="16"/>
  <c r="DB50" i="16"/>
  <c r="CC50" i="16"/>
  <c r="DI50" i="16"/>
  <c r="CJ50" i="16"/>
  <c r="CS50" i="16"/>
  <c r="BT50" i="16"/>
  <c r="CY54" i="16"/>
  <c r="BZ54" i="16"/>
  <c r="DF54" i="16"/>
  <c r="CG54" i="16"/>
  <c r="CP54" i="16"/>
  <c r="BQ54" i="16"/>
  <c r="CW54" i="16"/>
  <c r="BX54" i="16"/>
  <c r="DC58" i="16"/>
  <c r="CD58" i="16"/>
  <c r="DJ58" i="16"/>
  <c r="CK58" i="16"/>
  <c r="CT58" i="16"/>
  <c r="BU58" i="16"/>
  <c r="DA58" i="16"/>
  <c r="CB58" i="16"/>
  <c r="DG82" i="16"/>
  <c r="CH82" i="16"/>
  <c r="CQ82" i="16"/>
  <c r="BR82" i="16"/>
  <c r="CX82" i="16"/>
  <c r="BY82" i="16"/>
  <c r="DE82" i="16"/>
  <c r="CF82" i="16"/>
  <c r="DK10" i="16"/>
  <c r="CL10" i="16"/>
  <c r="CU10" i="16"/>
  <c r="BV10" i="16"/>
  <c r="DB10" i="16"/>
  <c r="CC10" i="16"/>
  <c r="DI10" i="16"/>
  <c r="CJ10" i="16"/>
  <c r="CS10" i="16"/>
  <c r="BT10" i="16"/>
  <c r="DD52" i="16"/>
  <c r="CE52" i="16"/>
  <c r="DJ40" i="16"/>
  <c r="CK40" i="16"/>
  <c r="DG6" i="16"/>
  <c r="CH6" i="16"/>
  <c r="CQ6" i="16"/>
  <c r="BR6" i="16"/>
  <c r="CX6" i="16"/>
  <c r="BY6" i="16"/>
  <c r="DE6" i="16"/>
  <c r="CF6" i="16"/>
  <c r="DK52" i="16"/>
  <c r="CL52" i="16"/>
  <c r="CU52" i="16"/>
  <c r="BV52" i="16"/>
  <c r="DB52" i="16"/>
  <c r="CC52" i="16"/>
  <c r="DI52" i="16"/>
  <c r="CJ52" i="16"/>
  <c r="CS52" i="16"/>
  <c r="BT52" i="16"/>
  <c r="CY84" i="16"/>
  <c r="BZ84" i="16"/>
  <c r="DF84" i="16"/>
  <c r="CG84" i="16"/>
  <c r="CP84" i="16"/>
  <c r="BQ84" i="16"/>
  <c r="CW84" i="16"/>
  <c r="BX84" i="16"/>
  <c r="DB41" i="16"/>
  <c r="CC41" i="16"/>
  <c r="CT45" i="16"/>
  <c r="BU45" i="16"/>
  <c r="DH48" i="16"/>
  <c r="CI48" i="16"/>
  <c r="CT53" i="16"/>
  <c r="BU53" i="16"/>
  <c r="DH56" i="16"/>
  <c r="CI56" i="16"/>
  <c r="CZ60" i="16"/>
  <c r="CA60" i="16"/>
  <c r="DH84" i="16"/>
  <c r="CI84" i="16"/>
  <c r="CZ8" i="16"/>
  <c r="CA8" i="16"/>
  <c r="CQ12" i="16"/>
  <c r="BR12" i="16"/>
  <c r="DG12" i="16"/>
  <c r="CH12" i="16"/>
  <c r="DA13" i="16"/>
  <c r="CB13" i="16"/>
  <c r="CU14" i="16"/>
  <c r="BV14" i="16"/>
  <c r="DK14" i="16"/>
  <c r="CL14" i="16"/>
  <c r="DE15" i="16"/>
  <c r="CF15" i="16"/>
  <c r="CY16" i="16"/>
  <c r="BZ16" i="16"/>
  <c r="CS17" i="16"/>
  <c r="BT17" i="16"/>
  <c r="DI17" i="16"/>
  <c r="CJ17" i="16"/>
  <c r="DC18" i="16"/>
  <c r="CD18" i="16"/>
  <c r="CW19" i="16"/>
  <c r="BX19" i="16"/>
  <c r="CQ20" i="16"/>
  <c r="BR20" i="16"/>
  <c r="DG20" i="16"/>
  <c r="CH20" i="16"/>
  <c r="DA21" i="16"/>
  <c r="CB21" i="16"/>
  <c r="CU22" i="16"/>
  <c r="BV22" i="16"/>
  <c r="DK22" i="16"/>
  <c r="CL22" i="16"/>
  <c r="DE23" i="16"/>
  <c r="CF23" i="16"/>
  <c r="CY24" i="16"/>
  <c r="BZ24" i="16"/>
  <c r="CS25" i="16"/>
  <c r="BT25" i="16"/>
  <c r="DI25" i="16"/>
  <c r="CJ25" i="16"/>
  <c r="DC26" i="16"/>
  <c r="CD26" i="16"/>
  <c r="CW28" i="16"/>
  <c r="BX28" i="16"/>
  <c r="CQ29" i="16"/>
  <c r="BR29" i="16"/>
  <c r="DG29" i="16"/>
  <c r="CH29" i="16"/>
  <c r="DA30" i="16"/>
  <c r="CB30" i="16"/>
  <c r="CU31" i="16"/>
  <c r="BV31" i="16"/>
  <c r="DK31" i="16"/>
  <c r="CL31" i="16"/>
  <c r="DE32" i="16"/>
  <c r="CF32" i="16"/>
  <c r="CY33" i="16"/>
  <c r="BZ33" i="16"/>
  <c r="CS34" i="16"/>
  <c r="BT34" i="16"/>
  <c r="DI34" i="16"/>
  <c r="CJ34" i="16"/>
  <c r="DC35" i="16"/>
  <c r="CD35" i="16"/>
  <c r="CW36" i="16"/>
  <c r="BX36" i="16"/>
  <c r="CQ37" i="16"/>
  <c r="BR37" i="16"/>
  <c r="DG37" i="16"/>
  <c r="CH37" i="16"/>
  <c r="DA38" i="16"/>
  <c r="CB38" i="16"/>
  <c r="CU39" i="16"/>
  <c r="BV39" i="16"/>
  <c r="DK39" i="16"/>
  <c r="CL39" i="16"/>
  <c r="DE40" i="16"/>
  <c r="CF40" i="16"/>
  <c r="DB5" i="16"/>
  <c r="CC5" i="16"/>
  <c r="DE43" i="16"/>
  <c r="CF43" i="16"/>
  <c r="DH43" i="16"/>
  <c r="CI43" i="16"/>
  <c r="CR43" i="16"/>
  <c r="BS43" i="16"/>
  <c r="CY43" i="16"/>
  <c r="BZ43" i="16"/>
  <c r="DE47" i="16"/>
  <c r="CF47" i="16"/>
  <c r="DH47" i="16"/>
  <c r="CI47" i="16"/>
  <c r="CR47" i="16"/>
  <c r="BS47" i="16"/>
  <c r="CY47" i="16"/>
  <c r="BZ47" i="16"/>
  <c r="DE51" i="16"/>
  <c r="CF51" i="16"/>
  <c r="DH51" i="16"/>
  <c r="CI51" i="16"/>
  <c r="CR51" i="16"/>
  <c r="BS51" i="16"/>
  <c r="CY51" i="16"/>
  <c r="BZ51" i="16"/>
  <c r="DE55" i="16"/>
  <c r="CF55" i="16"/>
  <c r="DH55" i="16"/>
  <c r="CI55" i="16"/>
  <c r="CR55" i="16"/>
  <c r="BS55" i="16"/>
  <c r="CY55" i="16"/>
  <c r="BZ55" i="16"/>
  <c r="DE59" i="16"/>
  <c r="CF59" i="16"/>
  <c r="DH59" i="16"/>
  <c r="CI59" i="16"/>
  <c r="CR59" i="16"/>
  <c r="BS59" i="16"/>
  <c r="CY59" i="16"/>
  <c r="BZ59" i="16"/>
  <c r="DE83" i="16"/>
  <c r="CF83" i="16"/>
  <c r="DH83" i="16"/>
  <c r="CI83" i="16"/>
  <c r="CR83" i="16"/>
  <c r="BS83" i="16"/>
  <c r="CY83" i="16"/>
  <c r="BZ83" i="16"/>
  <c r="DE7" i="16"/>
  <c r="CF7" i="16"/>
  <c r="DH7" i="16"/>
  <c r="CI7" i="16"/>
  <c r="CR7" i="16"/>
  <c r="BS7" i="16"/>
  <c r="CY7" i="16"/>
  <c r="BZ7" i="16"/>
  <c r="DE11" i="16"/>
  <c r="CF11" i="16"/>
  <c r="DH11" i="16"/>
  <c r="CI11" i="16"/>
  <c r="CR11" i="16"/>
  <c r="BS11" i="16"/>
  <c r="CY11" i="16"/>
  <c r="BZ11" i="16"/>
  <c r="CZ6" i="16"/>
  <c r="CA6" i="16"/>
  <c r="CZ12" i="16"/>
  <c r="CA12" i="16"/>
  <c r="DH16" i="16"/>
  <c r="CI16" i="16"/>
  <c r="CX36" i="16"/>
  <c r="BY36" i="16"/>
  <c r="DK48" i="16"/>
  <c r="CL48" i="16"/>
  <c r="CU48" i="16"/>
  <c r="BV48" i="16"/>
  <c r="DB48" i="16"/>
  <c r="CC48" i="16"/>
  <c r="DI48" i="16"/>
  <c r="CJ48" i="16"/>
  <c r="CS48" i="16"/>
  <c r="BT48" i="16"/>
  <c r="CY56" i="16"/>
  <c r="BZ56" i="16"/>
  <c r="DF56" i="16"/>
  <c r="CG56" i="16"/>
  <c r="CP56" i="16"/>
  <c r="BQ56" i="16"/>
  <c r="CW56" i="16"/>
  <c r="BX56" i="16"/>
  <c r="DJ27" i="16"/>
  <c r="CK27" i="16"/>
  <c r="DC27" i="16"/>
  <c r="CD27" i="16"/>
  <c r="DI27" i="16"/>
  <c r="CJ27" i="16"/>
  <c r="CV46" i="16"/>
  <c r="BW46" i="16"/>
  <c r="CR52" i="16"/>
  <c r="BS52" i="16"/>
  <c r="DJ57" i="16"/>
  <c r="CK57" i="16"/>
  <c r="DD6" i="16"/>
  <c r="CE6" i="16"/>
  <c r="DI12" i="16"/>
  <c r="CJ12" i="16"/>
  <c r="DE14" i="16"/>
  <c r="CF14" i="16"/>
  <c r="CY17" i="16"/>
  <c r="BZ17" i="16"/>
  <c r="DK19" i="16"/>
  <c r="CL19" i="16"/>
  <c r="DI20" i="16"/>
  <c r="CJ20" i="16"/>
  <c r="DC23" i="16"/>
  <c r="CD23" i="16"/>
  <c r="CW26" i="16"/>
  <c r="BX26" i="16"/>
  <c r="DK28" i="16"/>
  <c r="CL28" i="16"/>
  <c r="DC32" i="16"/>
  <c r="CD32" i="16"/>
  <c r="CW35" i="16"/>
  <c r="BX35" i="16"/>
  <c r="DI37" i="16"/>
  <c r="CJ37" i="16"/>
  <c r="DD5" i="16"/>
  <c r="CE5" i="16"/>
  <c r="CV41" i="16"/>
  <c r="BW41" i="16"/>
  <c r="DI45" i="16"/>
  <c r="CJ45" i="16"/>
  <c r="DC45" i="16"/>
  <c r="CD45" i="16"/>
  <c r="CV49" i="16"/>
  <c r="BW49" i="16"/>
  <c r="CS53" i="16"/>
  <c r="BT53" i="16"/>
  <c r="DI57" i="16"/>
  <c r="CJ57" i="16"/>
  <c r="CV57" i="16"/>
  <c r="BW57" i="16"/>
  <c r="DI81" i="16"/>
  <c r="CJ81" i="16"/>
  <c r="DC81" i="16"/>
  <c r="CD81" i="16"/>
  <c r="CS85" i="16"/>
  <c r="BT85" i="16"/>
  <c r="DI9" i="16"/>
  <c r="CJ9" i="16"/>
  <c r="CS9" i="16"/>
  <c r="BT9" i="16"/>
  <c r="CV9" i="16"/>
  <c r="BW9" i="16"/>
  <c r="DC9" i="16"/>
  <c r="CD9" i="16"/>
  <c r="DD44" i="16"/>
  <c r="CE44" i="16"/>
  <c r="DB28" i="16"/>
  <c r="CC28" i="16"/>
  <c r="CP44" i="16"/>
  <c r="BQ44" i="16"/>
  <c r="DJ60" i="16"/>
  <c r="CK60" i="16"/>
  <c r="DA60" i="16"/>
  <c r="CB60" i="16"/>
  <c r="CX8" i="16"/>
  <c r="BY8" i="16"/>
  <c r="CR42" i="16"/>
  <c r="BS42" i="16"/>
  <c r="DF53" i="16"/>
  <c r="CG53" i="16"/>
  <c r="DD56" i="16"/>
  <c r="CE56" i="16"/>
  <c r="DF9" i="16"/>
  <c r="CG9" i="16"/>
  <c r="CX14" i="16"/>
  <c r="BY14" i="16"/>
  <c r="DB16" i="16"/>
  <c r="CC16" i="16"/>
  <c r="DF18" i="16"/>
  <c r="CG18" i="16"/>
  <c r="DJ20" i="16"/>
  <c r="CK20" i="16"/>
  <c r="CX22" i="16"/>
  <c r="BY22" i="16"/>
  <c r="DH23" i="16"/>
  <c r="CI23" i="16"/>
  <c r="CP26" i="16"/>
  <c r="BQ26" i="16"/>
  <c r="CT29" i="16"/>
  <c r="BU29" i="16"/>
  <c r="DD30" i="16"/>
  <c r="CE30" i="16"/>
  <c r="DH32" i="16"/>
  <c r="CI32" i="16"/>
  <c r="CP35" i="16"/>
  <c r="BQ35" i="16"/>
  <c r="CT37" i="16"/>
  <c r="BU37" i="16"/>
  <c r="CX39" i="16"/>
  <c r="BY39" i="16"/>
  <c r="CY5" i="16"/>
  <c r="BZ5" i="16"/>
  <c r="CQ42" i="16"/>
  <c r="BR42" i="16"/>
  <c r="DK46" i="16"/>
  <c r="CL46" i="16"/>
  <c r="DI46" i="16"/>
  <c r="CJ46" i="16"/>
  <c r="CS46" i="16"/>
  <c r="BT46" i="16"/>
  <c r="CP50" i="16"/>
  <c r="DM50" i="16" s="1"/>
  <c r="BQ50" i="16"/>
  <c r="CN50" i="16" s="1"/>
  <c r="H50" i="16" s="1"/>
  <c r="CT54" i="16"/>
  <c r="BU54" i="16"/>
  <c r="CQ58" i="16"/>
  <c r="BR58" i="16"/>
  <c r="DK82" i="16"/>
  <c r="CL82" i="16"/>
  <c r="DI82" i="16"/>
  <c r="CJ82" i="16"/>
  <c r="CY10" i="16"/>
  <c r="BZ10" i="16"/>
  <c r="CW10" i="16"/>
  <c r="BX10" i="16"/>
  <c r="CV56" i="16"/>
  <c r="BW56" i="16"/>
  <c r="CX40" i="16"/>
  <c r="BY40" i="16"/>
  <c r="CU6" i="16"/>
  <c r="BV6" i="16"/>
  <c r="CS6" i="16"/>
  <c r="BT6" i="16"/>
  <c r="CP52" i="16"/>
  <c r="BQ52" i="16"/>
  <c r="DJ84" i="16"/>
  <c r="CK84" i="16"/>
  <c r="DA84" i="16"/>
  <c r="CB84" i="16"/>
  <c r="CZ44" i="16"/>
  <c r="CA44" i="16"/>
  <c r="CR56" i="16"/>
  <c r="BS56" i="16"/>
  <c r="DF7" i="16"/>
  <c r="CG7" i="16"/>
  <c r="DC12" i="16"/>
  <c r="CD12" i="16"/>
  <c r="DG14" i="16"/>
  <c r="CH14" i="16"/>
  <c r="DK16" i="16"/>
  <c r="CL16" i="16"/>
  <c r="CY18" i="16"/>
  <c r="BZ18" i="16"/>
  <c r="DC20" i="16"/>
  <c r="CD20" i="16"/>
  <c r="DG22" i="16"/>
  <c r="CH22" i="16"/>
  <c r="CU24" i="16"/>
  <c r="BV24" i="16"/>
  <c r="CY26" i="16"/>
  <c r="BZ26" i="16"/>
  <c r="DC29" i="16"/>
  <c r="CD29" i="16"/>
  <c r="DG31" i="16"/>
  <c r="CH31" i="16"/>
  <c r="CU33" i="16"/>
  <c r="BV33" i="16"/>
  <c r="CY35" i="16"/>
  <c r="BZ35" i="16"/>
  <c r="DC37" i="16"/>
  <c r="CD37" i="16"/>
  <c r="DG39" i="16"/>
  <c r="CH39" i="16"/>
  <c r="DA40" i="16"/>
  <c r="CB40" i="16"/>
  <c r="CS43" i="16"/>
  <c r="BT43" i="16"/>
  <c r="DI47" i="16"/>
  <c r="CJ47" i="16"/>
  <c r="DI51" i="16"/>
  <c r="CJ51" i="16"/>
  <c r="DC51" i="16"/>
  <c r="CD51" i="16"/>
  <c r="CV55" i="16"/>
  <c r="BW55" i="16"/>
  <c r="CS59" i="16"/>
  <c r="BT59" i="16"/>
  <c r="CV59" i="16"/>
  <c r="BW59" i="16"/>
  <c r="CV83" i="16"/>
  <c r="BW83" i="16"/>
  <c r="CS7" i="16"/>
  <c r="BT7" i="16"/>
  <c r="DC7" i="16"/>
  <c r="CD7" i="16"/>
  <c r="DI11" i="16"/>
  <c r="CJ11" i="16"/>
  <c r="CV11" i="16"/>
  <c r="BW11" i="16"/>
  <c r="DD24" i="16"/>
  <c r="CE24" i="16"/>
  <c r="DB40" i="16"/>
  <c r="CC40" i="16"/>
  <c r="DF48" i="16"/>
  <c r="CG48" i="16"/>
  <c r="CP48" i="16"/>
  <c r="BQ48" i="16"/>
  <c r="DJ56" i="16"/>
  <c r="CK56" i="16"/>
  <c r="DA56" i="16"/>
  <c r="CB56" i="16"/>
  <c r="CQ27" i="16"/>
  <c r="BR27" i="16"/>
  <c r="CW27" i="16"/>
  <c r="BX27" i="16"/>
  <c r="CR44" i="16"/>
  <c r="BS44" i="16"/>
  <c r="DH52" i="16"/>
  <c r="CI52" i="16"/>
  <c r="DD58" i="16"/>
  <c r="CE58" i="16"/>
  <c r="CX7" i="16"/>
  <c r="BY7" i="16"/>
  <c r="CW12" i="16"/>
  <c r="BX12" i="16"/>
  <c r="DI14" i="16"/>
  <c r="CJ14" i="16"/>
  <c r="DE16" i="16"/>
  <c r="CF16" i="16"/>
  <c r="CW20" i="16"/>
  <c r="BX20" i="16"/>
  <c r="DK21" i="16"/>
  <c r="CL21" i="16"/>
  <c r="DG23" i="16"/>
  <c r="CH23" i="16"/>
  <c r="DC25" i="16"/>
  <c r="CD25" i="16"/>
  <c r="CW29" i="16"/>
  <c r="BX29" i="16"/>
  <c r="DK30" i="16"/>
  <c r="CL30" i="16"/>
  <c r="DE33" i="16"/>
  <c r="CF33" i="16"/>
  <c r="DA35" i="16"/>
  <c r="CB35" i="16"/>
  <c r="CU38" i="16"/>
  <c r="BV38" i="16"/>
  <c r="DG40" i="16"/>
  <c r="CH40" i="16"/>
  <c r="DE41" i="16"/>
  <c r="CF41" i="16"/>
  <c r="CY41" i="16"/>
  <c r="BZ41" i="16"/>
  <c r="CR45" i="16"/>
  <c r="BS45" i="16"/>
  <c r="DH49" i="16"/>
  <c r="CI49" i="16"/>
  <c r="DE53" i="16"/>
  <c r="CF53" i="16"/>
  <c r="CY53" i="16"/>
  <c r="BZ53" i="16"/>
  <c r="DH57" i="16"/>
  <c r="CI57" i="16"/>
  <c r="DE81" i="16"/>
  <c r="CF81" i="16"/>
  <c r="DH85" i="16"/>
  <c r="CI85" i="16"/>
  <c r="DH9" i="16"/>
  <c r="CI9" i="16"/>
  <c r="CU27" i="16"/>
  <c r="BV27" i="16"/>
  <c r="DA27" i="16"/>
  <c r="CB27" i="16"/>
  <c r="DH44" i="16"/>
  <c r="CI44" i="16"/>
  <c r="DD50" i="16"/>
  <c r="CE50" i="16"/>
  <c r="CZ56" i="16"/>
  <c r="CA56" i="16"/>
  <c r="CV82" i="16"/>
  <c r="BW82" i="16"/>
  <c r="CP11" i="16"/>
  <c r="BQ11" i="16"/>
  <c r="DA12" i="16"/>
  <c r="CB12" i="16"/>
  <c r="CW14" i="16"/>
  <c r="BX14" i="16"/>
  <c r="DI16" i="16"/>
  <c r="CJ16" i="16"/>
  <c r="DE18" i="16"/>
  <c r="CF18" i="16"/>
  <c r="DA20" i="16"/>
  <c r="CB20" i="16"/>
  <c r="CW22" i="16"/>
  <c r="BX22" i="16"/>
  <c r="DK23" i="16"/>
  <c r="CL23" i="16"/>
  <c r="DG25" i="16"/>
  <c r="CH25" i="16"/>
  <c r="DC28" i="16"/>
  <c r="CD28" i="16"/>
  <c r="DA29" i="16"/>
  <c r="CB29" i="16"/>
  <c r="CW31" i="16"/>
  <c r="BX31" i="16"/>
  <c r="DK32" i="16"/>
  <c r="CL32" i="16"/>
  <c r="DG34" i="16"/>
  <c r="CH34" i="16"/>
  <c r="DE35" i="16"/>
  <c r="CF35" i="16"/>
  <c r="DC36" i="16"/>
  <c r="CD36" i="16"/>
  <c r="DA37" i="16"/>
  <c r="CB37" i="16"/>
  <c r="CW39" i="16"/>
  <c r="BX39" i="16"/>
  <c r="CU40" i="16"/>
  <c r="BV40" i="16"/>
  <c r="DK40" i="16"/>
  <c r="CL40" i="16"/>
  <c r="CV5" i="16"/>
  <c r="BW5" i="16"/>
  <c r="DA41" i="16"/>
  <c r="CB41" i="16"/>
  <c r="DD41" i="16"/>
  <c r="CE41" i="16"/>
  <c r="DK41" i="16"/>
  <c r="CL41" i="16"/>
  <c r="CU41" i="16"/>
  <c r="BV41" i="16"/>
  <c r="DA45" i="16"/>
  <c r="CB45" i="16"/>
  <c r="DD45" i="16"/>
  <c r="CE45" i="16"/>
  <c r="DK45" i="16"/>
  <c r="CL45" i="16"/>
  <c r="CU45" i="16"/>
  <c r="BV45" i="16"/>
  <c r="DA49" i="16"/>
  <c r="CB49" i="16"/>
  <c r="DD49" i="16"/>
  <c r="CE49" i="16"/>
  <c r="DK49" i="16"/>
  <c r="CL49" i="16"/>
  <c r="CU49" i="16"/>
  <c r="BV49" i="16"/>
  <c r="DA53" i="16"/>
  <c r="CB53" i="16"/>
  <c r="DD53" i="16"/>
  <c r="CE53" i="16"/>
  <c r="DK53" i="16"/>
  <c r="CL53" i="16"/>
  <c r="CU53" i="16"/>
  <c r="BV53" i="16"/>
  <c r="DA57" i="16"/>
  <c r="CB57" i="16"/>
  <c r="DD57" i="16"/>
  <c r="CE57" i="16"/>
  <c r="DK57" i="16"/>
  <c r="CL57" i="16"/>
  <c r="CU57" i="16"/>
  <c r="BV57" i="16"/>
  <c r="DA81" i="16"/>
  <c r="CB81" i="16"/>
  <c r="DD81" i="16"/>
  <c r="CE81" i="16"/>
  <c r="DK81" i="16"/>
  <c r="CL81" i="16"/>
  <c r="CU81" i="16"/>
  <c r="BV81" i="16"/>
  <c r="DA85" i="16"/>
  <c r="CB85" i="16"/>
  <c r="DD85" i="16"/>
  <c r="CE85" i="16"/>
  <c r="DK85" i="16"/>
  <c r="CL85" i="16"/>
  <c r="CU85" i="16"/>
  <c r="BV85" i="16"/>
  <c r="DA9" i="16"/>
  <c r="CB9" i="16"/>
  <c r="DD9" i="16"/>
  <c r="CE9" i="16"/>
  <c r="DK9" i="16"/>
  <c r="CL9" i="16"/>
  <c r="CU9" i="16"/>
  <c r="BV9" i="16"/>
  <c r="DD12" i="16"/>
  <c r="CE12" i="16"/>
  <c r="CR24" i="16"/>
  <c r="BS24" i="16"/>
  <c r="DJ32" i="16"/>
  <c r="CK32" i="16"/>
  <c r="DB36" i="16"/>
  <c r="CC36" i="16"/>
  <c r="DG44" i="16"/>
  <c r="CH44" i="16"/>
  <c r="CQ44" i="16"/>
  <c r="BR44" i="16"/>
  <c r="CX44" i="16"/>
  <c r="BY44" i="16"/>
  <c r="DE44" i="16"/>
  <c r="CF44" i="16"/>
  <c r="DK60" i="16"/>
  <c r="CL60" i="16"/>
  <c r="CU60" i="16"/>
  <c r="BV60" i="16"/>
  <c r="DB60" i="16"/>
  <c r="CC60" i="16"/>
  <c r="DI60" i="16"/>
  <c r="CJ60" i="16"/>
  <c r="CS60" i="16"/>
  <c r="BT60" i="16"/>
  <c r="CY8" i="16"/>
  <c r="BZ8" i="16"/>
  <c r="DF8" i="16"/>
  <c r="CG8" i="16"/>
  <c r="CP8" i="16"/>
  <c r="BQ8" i="16"/>
  <c r="CW8" i="16"/>
  <c r="BX8" i="16"/>
  <c r="DB43" i="16"/>
  <c r="CC43" i="16"/>
  <c r="DJ47" i="16"/>
  <c r="CK47" i="16"/>
  <c r="DB51" i="16"/>
  <c r="CC51" i="16"/>
  <c r="CT55" i="16"/>
  <c r="BU55" i="16"/>
  <c r="DH58" i="16"/>
  <c r="CI58" i="16"/>
  <c r="CT83" i="16"/>
  <c r="BU83" i="16"/>
  <c r="DH6" i="16"/>
  <c r="CI6" i="16"/>
  <c r="CT11" i="16"/>
  <c r="BU11" i="16"/>
  <c r="DB12" i="16"/>
  <c r="CC12" i="16"/>
  <c r="CV13" i="16"/>
  <c r="BW13" i="16"/>
  <c r="CP14" i="16"/>
  <c r="BQ14" i="16"/>
  <c r="DF14" i="16"/>
  <c r="CG14" i="16"/>
  <c r="CZ15" i="16"/>
  <c r="CA15" i="16"/>
  <c r="CT16" i="16"/>
  <c r="BU16" i="16"/>
  <c r="DJ16" i="16"/>
  <c r="CK16" i="16"/>
  <c r="DD17" i="16"/>
  <c r="CE17" i="16"/>
  <c r="CX18" i="16"/>
  <c r="BY18" i="16"/>
  <c r="CR19" i="16"/>
  <c r="BS19" i="16"/>
  <c r="DH19" i="16"/>
  <c r="CI19" i="16"/>
  <c r="DB20" i="16"/>
  <c r="CC20" i="16"/>
  <c r="CV21" i="16"/>
  <c r="BW21" i="16"/>
  <c r="CP22" i="16"/>
  <c r="BQ22" i="16"/>
  <c r="DF22" i="16"/>
  <c r="CG22" i="16"/>
  <c r="CZ23" i="16"/>
  <c r="CA23" i="16"/>
  <c r="CT24" i="16"/>
  <c r="BU24" i="16"/>
  <c r="DJ24" i="16"/>
  <c r="CK24" i="16"/>
  <c r="DD25" i="16"/>
  <c r="CE25" i="16"/>
  <c r="CX26" i="16"/>
  <c r="BY26" i="16"/>
  <c r="CR28" i="16"/>
  <c r="BS28" i="16"/>
  <c r="DH28" i="16"/>
  <c r="CI28" i="16"/>
  <c r="DB29" i="16"/>
  <c r="CC29" i="16"/>
  <c r="CV30" i="16"/>
  <c r="BW30" i="16"/>
  <c r="CP31" i="16"/>
  <c r="BQ31" i="16"/>
  <c r="DF31" i="16"/>
  <c r="CG31" i="16"/>
  <c r="CZ32" i="16"/>
  <c r="CA32" i="16"/>
  <c r="CT33" i="16"/>
  <c r="BU33" i="16"/>
  <c r="DJ33" i="16"/>
  <c r="CK33" i="16"/>
  <c r="DD34" i="16"/>
  <c r="CE34" i="16"/>
  <c r="CX35" i="16"/>
  <c r="BY35" i="16"/>
  <c r="CR36" i="16"/>
  <c r="BS36" i="16"/>
  <c r="DH36" i="16"/>
  <c r="CI36" i="16"/>
  <c r="DB37" i="16"/>
  <c r="CC37" i="16"/>
  <c r="CV38" i="16"/>
  <c r="BW38" i="16"/>
  <c r="CP39" i="16"/>
  <c r="BQ39" i="16"/>
  <c r="DF39" i="16"/>
  <c r="CG39" i="16"/>
  <c r="CZ40" i="16"/>
  <c r="CA40" i="16"/>
  <c r="DG5" i="16"/>
  <c r="CH5" i="16"/>
  <c r="CQ5" i="16"/>
  <c r="BR5" i="16"/>
  <c r="CY42" i="16"/>
  <c r="BZ42" i="16"/>
  <c r="DF42" i="16"/>
  <c r="CG42" i="16"/>
  <c r="CP42" i="16"/>
  <c r="BQ42" i="16"/>
  <c r="CW42" i="16"/>
  <c r="BX42" i="16"/>
  <c r="DC46" i="16"/>
  <c r="CD46" i="16"/>
  <c r="DJ46" i="16"/>
  <c r="CK46" i="16"/>
  <c r="CT46" i="16"/>
  <c r="BU46" i="16"/>
  <c r="DA46" i="16"/>
  <c r="CB46" i="16"/>
  <c r="DG50" i="16"/>
  <c r="CH50" i="16"/>
  <c r="CQ50" i="16"/>
  <c r="BR50" i="16"/>
  <c r="CX50" i="16"/>
  <c r="BY50" i="16"/>
  <c r="DE50" i="16"/>
  <c r="CF50" i="16"/>
  <c r="DK54" i="16"/>
  <c r="CL54" i="16"/>
  <c r="CU54" i="16"/>
  <c r="BV54" i="16"/>
  <c r="DB54" i="16"/>
  <c r="CC54" i="16"/>
  <c r="DI54" i="16"/>
  <c r="CJ54" i="16"/>
  <c r="CS54" i="16"/>
  <c r="BT54" i="16"/>
  <c r="CY58" i="16"/>
  <c r="BZ58" i="16"/>
  <c r="DF58" i="16"/>
  <c r="CG58" i="16"/>
  <c r="CP58" i="16"/>
  <c r="BQ58" i="16"/>
  <c r="CW58" i="16"/>
  <c r="BX58" i="16"/>
  <c r="DC82" i="16"/>
  <c r="CD82" i="16"/>
  <c r="DJ82" i="16"/>
  <c r="CK82" i="16"/>
  <c r="CT82" i="16"/>
  <c r="BU82" i="16"/>
  <c r="DA82" i="16"/>
  <c r="CB82" i="16"/>
  <c r="DG10" i="16"/>
  <c r="CH10" i="16"/>
  <c r="CQ10" i="16"/>
  <c r="BR10" i="16"/>
  <c r="CX10" i="16"/>
  <c r="BY10" i="16"/>
  <c r="DE10" i="16"/>
  <c r="CF10" i="16"/>
  <c r="CV48" i="16"/>
  <c r="BW48" i="16"/>
  <c r="CV12" i="16"/>
  <c r="BW12" i="16"/>
  <c r="CX28" i="16"/>
  <c r="BY28" i="16"/>
  <c r="CT32" i="16"/>
  <c r="BU32" i="16"/>
  <c r="CT36" i="16"/>
  <c r="BU36" i="16"/>
  <c r="DC6" i="16"/>
  <c r="CD6" i="16"/>
  <c r="DJ6" i="16"/>
  <c r="CK6" i="16"/>
  <c r="CT6" i="16"/>
  <c r="BU6" i="16"/>
  <c r="DA6" i="16"/>
  <c r="CB6" i="16"/>
  <c r="DG52" i="16"/>
  <c r="CH52" i="16"/>
  <c r="CQ52" i="16"/>
  <c r="BR52" i="16"/>
  <c r="CX52" i="16"/>
  <c r="BY52" i="16"/>
  <c r="DE52" i="16"/>
  <c r="CF52" i="16"/>
  <c r="DK84" i="16"/>
  <c r="CL84" i="16"/>
  <c r="CU84" i="16"/>
  <c r="BV84" i="16"/>
  <c r="DB84" i="16"/>
  <c r="CC84" i="16"/>
  <c r="DI84" i="16"/>
  <c r="CJ84" i="16"/>
  <c r="CS84" i="16"/>
  <c r="BT84" i="16"/>
  <c r="CP43" i="16"/>
  <c r="BQ43" i="16"/>
  <c r="DJ45" i="16"/>
  <c r="CK45" i="16"/>
  <c r="DB49" i="16"/>
  <c r="CC49" i="16"/>
  <c r="DJ53" i="16"/>
  <c r="CK53" i="16"/>
  <c r="DB57" i="16"/>
  <c r="CC57" i="16"/>
  <c r="CT81" i="16"/>
  <c r="BU81" i="16"/>
  <c r="DB85" i="16"/>
  <c r="CC85" i="16"/>
  <c r="CT9" i="16"/>
  <c r="BU9" i="16"/>
  <c r="CU12" i="16"/>
  <c r="BV12" i="16"/>
  <c r="DK12" i="16"/>
  <c r="CL12" i="16"/>
  <c r="DE13" i="16"/>
  <c r="CF13" i="16"/>
  <c r="CY14" i="16"/>
  <c r="BZ14" i="16"/>
  <c r="CS15" i="16"/>
  <c r="BT15" i="16"/>
  <c r="DI15" i="16"/>
  <c r="CJ15" i="16"/>
  <c r="DC16" i="16"/>
  <c r="CD16" i="16"/>
  <c r="CW17" i="16"/>
  <c r="BX17" i="16"/>
  <c r="CQ18" i="16"/>
  <c r="BR18" i="16"/>
  <c r="DG18" i="16"/>
  <c r="CH18" i="16"/>
  <c r="DA19" i="16"/>
  <c r="CB19" i="16"/>
  <c r="CU20" i="16"/>
  <c r="BV20" i="16"/>
  <c r="DK20" i="16"/>
  <c r="CL20" i="16"/>
  <c r="DE21" i="16"/>
  <c r="CF21" i="16"/>
  <c r="CY22" i="16"/>
  <c r="BZ22" i="16"/>
  <c r="CS23" i="16"/>
  <c r="BT23" i="16"/>
  <c r="DI23" i="16"/>
  <c r="CJ23" i="16"/>
  <c r="DC24" i="16"/>
  <c r="CD24" i="16"/>
  <c r="CW25" i="16"/>
  <c r="BX25" i="16"/>
  <c r="CQ26" i="16"/>
  <c r="BR26" i="16"/>
  <c r="DG26" i="16"/>
  <c r="CH26" i="16"/>
  <c r="DA28" i="16"/>
  <c r="CB28" i="16"/>
  <c r="CU29" i="16"/>
  <c r="BV29" i="16"/>
  <c r="DK29" i="16"/>
  <c r="CL29" i="16"/>
  <c r="DE30" i="16"/>
  <c r="CF30" i="16"/>
  <c r="CY31" i="16"/>
  <c r="BZ31" i="16"/>
  <c r="CS32" i="16"/>
  <c r="BT32" i="16"/>
  <c r="DI32" i="16"/>
  <c r="CJ32" i="16"/>
  <c r="DC33" i="16"/>
  <c r="CD33" i="16"/>
  <c r="CW34" i="16"/>
  <c r="BX34" i="16"/>
  <c r="CQ35" i="16"/>
  <c r="BR35" i="16"/>
  <c r="DG35" i="16"/>
  <c r="CH35" i="16"/>
  <c r="DA36" i="16"/>
  <c r="CB36" i="16"/>
  <c r="CU37" i="16"/>
  <c r="BV37" i="16"/>
  <c r="DK37" i="16"/>
  <c r="CL37" i="16"/>
  <c r="DE38" i="16"/>
  <c r="CF38" i="16"/>
  <c r="CY39" i="16"/>
  <c r="BZ39" i="16"/>
  <c r="CS40" i="16"/>
  <c r="BT40" i="16"/>
  <c r="DI40" i="16"/>
  <c r="CJ40" i="16"/>
  <c r="CX5" i="16"/>
  <c r="BY5" i="16"/>
  <c r="DA43" i="16"/>
  <c r="CB43" i="16"/>
  <c r="DD43" i="16"/>
  <c r="CE43" i="16"/>
  <c r="DK43" i="16"/>
  <c r="CL43" i="16"/>
  <c r="CU43" i="16"/>
  <c r="BV43" i="16"/>
  <c r="DA47" i="16"/>
  <c r="CB47" i="16"/>
  <c r="DD47" i="16"/>
  <c r="CE47" i="16"/>
  <c r="DK47" i="16"/>
  <c r="CL47" i="16"/>
  <c r="CU47" i="16"/>
  <c r="BV47" i="16"/>
  <c r="DA51" i="16"/>
  <c r="CB51" i="16"/>
  <c r="DD51" i="16"/>
  <c r="CE51" i="16"/>
  <c r="DK51" i="16"/>
  <c r="CL51" i="16"/>
  <c r="CU51" i="16"/>
  <c r="BV51" i="16"/>
  <c r="DA55" i="16"/>
  <c r="CB55" i="16"/>
  <c r="DD55" i="16"/>
  <c r="CE55" i="16"/>
  <c r="DK55" i="16"/>
  <c r="CL55" i="16"/>
  <c r="CU55" i="16"/>
  <c r="BV55" i="16"/>
  <c r="DA59" i="16"/>
  <c r="CB59" i="16"/>
  <c r="DD59" i="16"/>
  <c r="CE59" i="16"/>
  <c r="DK59" i="16"/>
  <c r="CL59" i="16"/>
  <c r="CU59" i="16"/>
  <c r="BV59" i="16"/>
  <c r="DA83" i="16"/>
  <c r="CB83" i="16"/>
  <c r="DD83" i="16"/>
  <c r="CE83" i="16"/>
  <c r="DK83" i="16"/>
  <c r="CL83" i="16"/>
  <c r="CU83" i="16"/>
  <c r="BV83" i="16"/>
  <c r="DA7" i="16"/>
  <c r="CB7" i="16"/>
  <c r="DD7" i="16"/>
  <c r="CE7" i="16"/>
  <c r="DK7" i="16"/>
  <c r="CL7" i="16"/>
  <c r="CU7" i="16"/>
  <c r="BV7" i="16"/>
  <c r="DA11" i="16"/>
  <c r="CB11" i="16"/>
  <c r="DD11" i="16"/>
  <c r="CE11" i="16"/>
  <c r="DK11" i="16"/>
  <c r="CL11" i="16"/>
  <c r="CU11" i="16"/>
  <c r="BV11" i="16"/>
  <c r="DD8" i="16"/>
  <c r="CE8" i="16"/>
  <c r="CV20" i="16"/>
  <c r="BW20" i="16"/>
  <c r="DJ36" i="16"/>
  <c r="CK36" i="16"/>
  <c r="DG48" i="16"/>
  <c r="CH48" i="16"/>
  <c r="CQ48" i="16"/>
  <c r="BR48" i="16"/>
  <c r="CX48" i="16"/>
  <c r="BY48" i="16"/>
  <c r="DE48" i="16"/>
  <c r="CF48" i="16"/>
  <c r="DK56" i="16"/>
  <c r="CL56" i="16"/>
  <c r="CU56" i="16"/>
  <c r="BV56" i="16"/>
  <c r="DB56" i="16"/>
  <c r="CC56" i="16"/>
  <c r="DI56" i="16"/>
  <c r="CJ56" i="16"/>
  <c r="CS56" i="16"/>
  <c r="BT56" i="16"/>
  <c r="O58" i="15"/>
  <c r="Q59" i="15"/>
  <c r="O59" i="15"/>
  <c r="O60" i="15"/>
  <c r="N59" i="15"/>
  <c r="P59" i="15" s="1"/>
  <c r="Q61" i="15"/>
  <c r="P61" i="15"/>
  <c r="AA61" i="15"/>
  <c r="P60" i="15"/>
  <c r="Q60" i="15"/>
  <c r="AA59" i="15"/>
  <c r="P58" i="15"/>
  <c r="Q58" i="15"/>
  <c r="AA58" i="15"/>
  <c r="G28" i="15"/>
  <c r="J28" i="15"/>
  <c r="F28" i="15"/>
  <c r="O28" i="15" s="1"/>
  <c r="G27" i="15"/>
  <c r="J27" i="15"/>
  <c r="F27" i="15"/>
  <c r="O27" i="15" s="1"/>
  <c r="G26" i="15"/>
  <c r="J26" i="15"/>
  <c r="F26" i="15"/>
  <c r="O26" i="15" s="1"/>
  <c r="G25" i="15"/>
  <c r="J25" i="15"/>
  <c r="F25" i="15"/>
  <c r="O25" i="15" s="1"/>
  <c r="G24" i="15"/>
  <c r="AA24" i="15" s="1"/>
  <c r="J24" i="15"/>
  <c r="F24" i="15"/>
  <c r="O24" i="15" s="1"/>
  <c r="G23" i="15"/>
  <c r="J23" i="15"/>
  <c r="F23" i="15"/>
  <c r="O23" i="15" s="1"/>
  <c r="H23" i="15"/>
  <c r="I23" i="15" s="1"/>
  <c r="K23" i="15" s="1"/>
  <c r="L23" i="15" s="1"/>
  <c r="F22" i="15"/>
  <c r="O22" i="15" s="1"/>
  <c r="G22" i="15"/>
  <c r="AA22" i="15" s="1"/>
  <c r="J22" i="15"/>
  <c r="H22" i="15"/>
  <c r="I22" i="15" s="1"/>
  <c r="K22" i="15" s="1"/>
  <c r="L22" i="15" s="1"/>
  <c r="G21" i="15"/>
  <c r="H21" i="15"/>
  <c r="I21" i="15" s="1"/>
  <c r="K21" i="15" s="1"/>
  <c r="L21" i="15" s="1"/>
  <c r="J21" i="15"/>
  <c r="F21" i="15"/>
  <c r="O21" i="15" s="1"/>
  <c r="Y21" i="15"/>
  <c r="Z21" i="15" s="1"/>
  <c r="G20" i="15"/>
  <c r="H20" i="15"/>
  <c r="I20" i="15" s="1"/>
  <c r="K20" i="15" s="1"/>
  <c r="L20" i="15" s="1"/>
  <c r="J20" i="15"/>
  <c r="F20" i="15"/>
  <c r="O20" i="15" s="1"/>
  <c r="Y20" i="15"/>
  <c r="Z20" i="15" s="1"/>
  <c r="I21" i="16" l="1"/>
  <c r="CN86" i="16"/>
  <c r="H86" i="16" s="1"/>
  <c r="L86" i="16" s="1"/>
  <c r="I50" i="16"/>
  <c r="I16" i="16"/>
  <c r="I51" i="16"/>
  <c r="CN85" i="16"/>
  <c r="H85" i="16" s="1"/>
  <c r="L85" i="16" s="1"/>
  <c r="DM85" i="16"/>
  <c r="CN84" i="16"/>
  <c r="DM84" i="16"/>
  <c r="DM83" i="16"/>
  <c r="CN83" i="16"/>
  <c r="CN82" i="16"/>
  <c r="DM82" i="16"/>
  <c r="DM81" i="16"/>
  <c r="CN81" i="16"/>
  <c r="DM23" i="16"/>
  <c r="DM42" i="16"/>
  <c r="DM27" i="16"/>
  <c r="CN15" i="16"/>
  <c r="L15" i="16" s="1"/>
  <c r="CN34" i="16"/>
  <c r="H34" i="16" s="1"/>
  <c r="L34" i="16" s="1"/>
  <c r="CN5" i="16"/>
  <c r="I5" i="16" s="1"/>
  <c r="CN19" i="16"/>
  <c r="H19" i="16" s="1"/>
  <c r="L19" i="16" s="1"/>
  <c r="CN9" i="16"/>
  <c r="H9" i="16" s="1"/>
  <c r="L9" i="16" s="1"/>
  <c r="CN17" i="16"/>
  <c r="H17" i="16" s="1"/>
  <c r="L17" i="16" s="1"/>
  <c r="CN27" i="16"/>
  <c r="H27" i="16" s="1"/>
  <c r="L27" i="16" s="1"/>
  <c r="CN12" i="16"/>
  <c r="H12" i="16" s="1"/>
  <c r="L12" i="16" s="1"/>
  <c r="CN13" i="16"/>
  <c r="H13" i="16" s="1"/>
  <c r="L13" i="16" s="1"/>
  <c r="CN57" i="16"/>
  <c r="H57" i="16" s="1"/>
  <c r="L57" i="16" s="1"/>
  <c r="CN53" i="16"/>
  <c r="H53" i="16" s="1"/>
  <c r="L53" i="16" s="1"/>
  <c r="CN49" i="16"/>
  <c r="H49" i="16" s="1"/>
  <c r="L49" i="16" s="1"/>
  <c r="CN45" i="16"/>
  <c r="H45" i="16" s="1"/>
  <c r="L45" i="16" s="1"/>
  <c r="CN41" i="16"/>
  <c r="H41" i="16" s="1"/>
  <c r="L41" i="16" s="1"/>
  <c r="CN23" i="16"/>
  <c r="H23" i="16" s="1"/>
  <c r="L23" i="16" s="1"/>
  <c r="DM5" i="16"/>
  <c r="DM19" i="16"/>
  <c r="DM53" i="16"/>
  <c r="DM25" i="16"/>
  <c r="DM12" i="16"/>
  <c r="DM30" i="16"/>
  <c r="DM13" i="16"/>
  <c r="DM9" i="16"/>
  <c r="DM45" i="16"/>
  <c r="CN38" i="16"/>
  <c r="H38" i="16" s="1"/>
  <c r="L38" i="16" s="1"/>
  <c r="CN30" i="16"/>
  <c r="H30" i="16" s="1"/>
  <c r="L30" i="16" s="1"/>
  <c r="CN25" i="16"/>
  <c r="DM31" i="16"/>
  <c r="DM15" i="16"/>
  <c r="M15" i="16" s="1"/>
  <c r="DM14" i="16"/>
  <c r="DM49" i="16"/>
  <c r="DM11" i="16"/>
  <c r="DM38" i="16"/>
  <c r="DM34" i="16"/>
  <c r="I34" i="16" s="1"/>
  <c r="M34" i="16" s="1"/>
  <c r="DM57" i="16"/>
  <c r="DM41" i="16"/>
  <c r="DM17" i="16"/>
  <c r="DM8" i="16"/>
  <c r="DM43" i="16"/>
  <c r="CN39" i="16"/>
  <c r="H39" i="16" s="1"/>
  <c r="L39" i="16" s="1"/>
  <c r="CN22" i="16"/>
  <c r="H22" i="16" s="1"/>
  <c r="L22" i="16" s="1"/>
  <c r="DM58" i="16"/>
  <c r="DM39" i="16"/>
  <c r="DM22" i="16"/>
  <c r="DM52" i="16"/>
  <c r="CN56" i="16"/>
  <c r="H56" i="16" s="1"/>
  <c r="L56" i="16" s="1"/>
  <c r="DM24" i="16"/>
  <c r="DM60" i="16"/>
  <c r="DM36" i="16"/>
  <c r="DM32" i="16"/>
  <c r="CN7" i="16"/>
  <c r="H7" i="16" s="1"/>
  <c r="L7" i="16" s="1"/>
  <c r="DM59" i="16"/>
  <c r="CN46" i="16"/>
  <c r="H46" i="16" s="1"/>
  <c r="L46" i="16" s="1"/>
  <c r="CN37" i="16"/>
  <c r="H37" i="16" s="1"/>
  <c r="L37" i="16" s="1"/>
  <c r="CN20" i="16"/>
  <c r="H20" i="16" s="1"/>
  <c r="L20" i="16" s="1"/>
  <c r="DM18" i="16"/>
  <c r="CN48" i="16"/>
  <c r="H48" i="16" s="1"/>
  <c r="L48" i="16" s="1"/>
  <c r="DM26" i="16"/>
  <c r="DM44" i="16"/>
  <c r="DM54" i="16"/>
  <c r="DM33" i="16"/>
  <c r="DM40" i="16"/>
  <c r="DM6" i="16"/>
  <c r="CN29" i="16"/>
  <c r="H29" i="16" s="1"/>
  <c r="L29" i="16" s="1"/>
  <c r="CN47" i="16"/>
  <c r="H47" i="16" s="1"/>
  <c r="L47" i="16" s="1"/>
  <c r="DM10" i="16"/>
  <c r="DM55" i="16"/>
  <c r="CN58" i="16"/>
  <c r="H58" i="16" s="1"/>
  <c r="L58" i="16" s="1"/>
  <c r="CN42" i="16"/>
  <c r="CN31" i="16"/>
  <c r="H31" i="16" s="1"/>
  <c r="L31" i="16" s="1"/>
  <c r="CN14" i="16"/>
  <c r="H14" i="16" s="1"/>
  <c r="L14" i="16" s="1"/>
  <c r="CN8" i="16"/>
  <c r="H8" i="16" s="1"/>
  <c r="L8" i="16" s="1"/>
  <c r="CN11" i="16"/>
  <c r="CN35" i="16"/>
  <c r="H35" i="16" s="1"/>
  <c r="L35" i="16" s="1"/>
  <c r="CN26" i="16"/>
  <c r="H26" i="16" s="1"/>
  <c r="L26" i="16" s="1"/>
  <c r="CN44" i="16"/>
  <c r="DM56" i="16"/>
  <c r="CN54" i="16"/>
  <c r="H54" i="16" s="1"/>
  <c r="L54" i="16" s="1"/>
  <c r="CN33" i="16"/>
  <c r="H33" i="16" s="1"/>
  <c r="L33" i="16" s="1"/>
  <c r="CN40" i="16"/>
  <c r="H40" i="16" s="1"/>
  <c r="L40" i="16" s="1"/>
  <c r="DM7" i="16"/>
  <c r="CN59" i="16"/>
  <c r="H59" i="16" s="1"/>
  <c r="L59" i="16" s="1"/>
  <c r="CN6" i="16"/>
  <c r="DM46" i="16"/>
  <c r="DM37" i="16"/>
  <c r="DM20" i="16"/>
  <c r="CN10" i="16"/>
  <c r="H10" i="16" s="1"/>
  <c r="L10" i="16" s="1"/>
  <c r="CN43" i="16"/>
  <c r="DM35" i="16"/>
  <c r="CN28" i="16"/>
  <c r="H28" i="16" s="1"/>
  <c r="L28" i="16" s="1"/>
  <c r="DM48" i="16"/>
  <c r="CN52" i="16"/>
  <c r="H52" i="16" s="1"/>
  <c r="L52" i="16" s="1"/>
  <c r="CN24" i="16"/>
  <c r="CN60" i="16"/>
  <c r="H60" i="16" s="1"/>
  <c r="L60" i="16" s="1"/>
  <c r="CN36" i="16"/>
  <c r="H36" i="16" s="1"/>
  <c r="L36" i="16" s="1"/>
  <c r="CN32" i="16"/>
  <c r="H32" i="16" s="1"/>
  <c r="L32" i="16" s="1"/>
  <c r="DM29" i="16"/>
  <c r="DM28" i="16"/>
  <c r="DM47" i="16"/>
  <c r="CN18" i="16"/>
  <c r="CN55" i="16"/>
  <c r="N28" i="15"/>
  <c r="P28" i="15" s="1"/>
  <c r="AA23" i="15"/>
  <c r="N24" i="15"/>
  <c r="P24" i="15" s="1"/>
  <c r="Q23" i="15"/>
  <c r="N23" i="15"/>
  <c r="P23" i="15" s="1"/>
  <c r="AA25" i="15"/>
  <c r="N27" i="15"/>
  <c r="P27" i="15" s="1"/>
  <c r="N22" i="15"/>
  <c r="Q25" i="15"/>
  <c r="N25" i="15"/>
  <c r="P25" i="15" s="1"/>
  <c r="N21" i="15"/>
  <c r="Q22" i="15"/>
  <c r="P22" i="15"/>
  <c r="Q24" i="15"/>
  <c r="N26" i="15"/>
  <c r="P26" i="15" s="1"/>
  <c r="Q26" i="15"/>
  <c r="Q28" i="15"/>
  <c r="AA28" i="15"/>
  <c r="AA26" i="15"/>
  <c r="N20" i="15"/>
  <c r="P20" i="15" s="1"/>
  <c r="Q27" i="15"/>
  <c r="AA27" i="15"/>
  <c r="Q20" i="15"/>
  <c r="Q21" i="15"/>
  <c r="AA20" i="15"/>
  <c r="P21" i="15"/>
  <c r="AA21" i="15"/>
  <c r="I86" i="16" l="1"/>
  <c r="M86" i="16" s="1"/>
  <c r="I18" i="16"/>
  <c r="M18" i="16" s="1"/>
  <c r="H18" i="16"/>
  <c r="L18" i="16" s="1"/>
  <c r="I82" i="16"/>
  <c r="M82" i="16" s="1"/>
  <c r="H82" i="16"/>
  <c r="L82" i="16" s="1"/>
  <c r="I84" i="16"/>
  <c r="M84" i="16" s="1"/>
  <c r="H84" i="16"/>
  <c r="L84" i="16" s="1"/>
  <c r="I55" i="16"/>
  <c r="M55" i="16" s="1"/>
  <c r="H55" i="16"/>
  <c r="L55" i="16" s="1"/>
  <c r="I24" i="16"/>
  <c r="M24" i="16" s="1"/>
  <c r="H24" i="16"/>
  <c r="L24" i="16" s="1"/>
  <c r="I11" i="16"/>
  <c r="M11" i="16" s="1"/>
  <c r="H11" i="16"/>
  <c r="L11" i="16" s="1"/>
  <c r="I42" i="16"/>
  <c r="M42" i="16" s="1"/>
  <c r="H42" i="16"/>
  <c r="L42" i="16" s="1"/>
  <c r="I81" i="16"/>
  <c r="M81" i="16" s="1"/>
  <c r="H81" i="16"/>
  <c r="L81" i="16" s="1"/>
  <c r="I83" i="16"/>
  <c r="M83" i="16" s="1"/>
  <c r="H83" i="16"/>
  <c r="L83" i="16" s="1"/>
  <c r="I43" i="16"/>
  <c r="M43" i="16" s="1"/>
  <c r="H43" i="16"/>
  <c r="L43" i="16" s="1"/>
  <c r="I44" i="16"/>
  <c r="M44" i="16" s="1"/>
  <c r="H44" i="16"/>
  <c r="L44" i="16" s="1"/>
  <c r="I6" i="16"/>
  <c r="M6" i="16" s="1"/>
  <c r="H6" i="16"/>
  <c r="L6" i="16" s="1"/>
  <c r="I25" i="16"/>
  <c r="M25" i="16" s="1"/>
  <c r="H25" i="16"/>
  <c r="L25" i="16" s="1"/>
  <c r="M5" i="16"/>
  <c r="H5" i="16"/>
  <c r="I85" i="16"/>
  <c r="M85" i="16" s="1"/>
  <c r="I27" i="16"/>
  <c r="M27" i="16" s="1"/>
  <c r="I60" i="16"/>
  <c r="M60" i="16" s="1"/>
  <c r="I59" i="16"/>
  <c r="M59" i="16" s="1"/>
  <c r="I54" i="16"/>
  <c r="M54" i="16" s="1"/>
  <c r="I31" i="16"/>
  <c r="M31" i="16" s="1"/>
  <c r="I52" i="16"/>
  <c r="M52" i="16" s="1"/>
  <c r="I36" i="16"/>
  <c r="M36" i="16" s="1"/>
  <c r="I33" i="16"/>
  <c r="M33" i="16" s="1"/>
  <c r="I23" i="16"/>
  <c r="M23" i="16" s="1"/>
  <c r="I40" i="16"/>
  <c r="M40" i="16" s="1"/>
  <c r="I8" i="16"/>
  <c r="M8" i="16" s="1"/>
  <c r="I58" i="16"/>
  <c r="M58" i="16" s="1"/>
  <c r="I32" i="16"/>
  <c r="M32" i="16" s="1"/>
  <c r="I10" i="16"/>
  <c r="M10" i="16" s="1"/>
  <c r="I26" i="16"/>
  <c r="M26" i="16" s="1"/>
  <c r="I14" i="16"/>
  <c r="M14" i="16" s="1"/>
  <c r="I19" i="16"/>
  <c r="M19" i="16" s="1"/>
  <c r="I35" i="16"/>
  <c r="M35" i="16" s="1"/>
  <c r="I30" i="16"/>
  <c r="M30" i="16" s="1"/>
  <c r="I29" i="16"/>
  <c r="M29" i="16" s="1"/>
  <c r="I39" i="16"/>
  <c r="M39" i="16" s="1"/>
  <c r="I49" i="16"/>
  <c r="M49" i="16" s="1"/>
  <c r="I12" i="16"/>
  <c r="M12" i="16" s="1"/>
  <c r="I20" i="16"/>
  <c r="M20" i="16" s="1"/>
  <c r="I7" i="16"/>
  <c r="M7" i="16" s="1"/>
  <c r="I53" i="16"/>
  <c r="M53" i="16" s="1"/>
  <c r="I28" i="16"/>
  <c r="M28" i="16" s="1"/>
  <c r="I37" i="16"/>
  <c r="M37" i="16" s="1"/>
  <c r="I56" i="16"/>
  <c r="M56" i="16" s="1"/>
  <c r="I41" i="16"/>
  <c r="M41" i="16" s="1"/>
  <c r="I57" i="16"/>
  <c r="M57" i="16" s="1"/>
  <c r="I17" i="16"/>
  <c r="M17" i="16" s="1"/>
  <c r="I47" i="16"/>
  <c r="M47" i="16" s="1"/>
  <c r="I48" i="16"/>
  <c r="M48" i="16" s="1"/>
  <c r="I46" i="16"/>
  <c r="M46" i="16" s="1"/>
  <c r="I22" i="16"/>
  <c r="M22" i="16" s="1"/>
  <c r="I38" i="16"/>
  <c r="M38" i="16" s="1"/>
  <c r="I45" i="16"/>
  <c r="M45" i="16" s="1"/>
  <c r="I13" i="16"/>
  <c r="M13" i="16" s="1"/>
  <c r="I9" i="16"/>
  <c r="M9" i="16" s="1"/>
  <c r="G131" i="15"/>
  <c r="AA131" i="15" s="1"/>
  <c r="G132" i="15"/>
  <c r="AA132" i="15" s="1"/>
  <c r="G133" i="15"/>
  <c r="AA133" i="15" s="1"/>
  <c r="G134" i="15"/>
  <c r="AA134" i="15" s="1"/>
  <c r="G135" i="15"/>
  <c r="AA135" i="15" s="1"/>
  <c r="G136" i="15"/>
  <c r="AA136" i="15" s="1"/>
  <c r="G137" i="15"/>
  <c r="AA137" i="15" s="1"/>
  <c r="G138" i="15"/>
  <c r="AA138" i="15" s="1"/>
  <c r="F138" i="15"/>
  <c r="O138" i="15" s="1"/>
  <c r="F137" i="15"/>
  <c r="O137" i="15" s="1"/>
  <c r="F136" i="15"/>
  <c r="O136" i="15" s="1"/>
  <c r="F135" i="15"/>
  <c r="O135" i="15" s="1"/>
  <c r="F134" i="15"/>
  <c r="O134" i="15" s="1"/>
  <c r="F133" i="15"/>
  <c r="O133" i="15" s="1"/>
  <c r="F132" i="15"/>
  <c r="O132" i="15" s="1"/>
  <c r="G97" i="15"/>
  <c r="G96" i="15"/>
  <c r="G95" i="15"/>
  <c r="F97" i="15"/>
  <c r="O97" i="15" s="1"/>
  <c r="Y97" i="15"/>
  <c r="Z97" i="15" s="1"/>
  <c r="F96" i="15"/>
  <c r="O96" i="15" s="1"/>
  <c r="Y96" i="15"/>
  <c r="Z96" i="15" s="1"/>
  <c r="F95" i="15"/>
  <c r="O95" i="15" s="1"/>
  <c r="Y95" i="15"/>
  <c r="Z95" i="15" s="1"/>
  <c r="G107" i="15"/>
  <c r="G108" i="15"/>
  <c r="G109" i="15"/>
  <c r="G110" i="15"/>
  <c r="G111" i="15"/>
  <c r="G112" i="15"/>
  <c r="AA112" i="15" s="1"/>
  <c r="G113" i="15"/>
  <c r="AA113" i="15" s="1"/>
  <c r="G114" i="15"/>
  <c r="AA114" i="15" s="1"/>
  <c r="G115" i="15"/>
  <c r="AA115" i="15" s="1"/>
  <c r="G116" i="15"/>
  <c r="AA116" i="15" s="1"/>
  <c r="G117" i="15"/>
  <c r="AA117" i="15" s="1"/>
  <c r="G118" i="15"/>
  <c r="AA118" i="15" s="1"/>
  <c r="G119" i="15"/>
  <c r="AA119" i="15" s="1"/>
  <c r="G120" i="15"/>
  <c r="AA120" i="15" s="1"/>
  <c r="G121" i="15"/>
  <c r="AA121" i="15" s="1"/>
  <c r="G122" i="15"/>
  <c r="AA122" i="15" s="1"/>
  <c r="G123" i="15"/>
  <c r="AA123" i="15" s="1"/>
  <c r="G124" i="15"/>
  <c r="AA124" i="15" s="1"/>
  <c r="G125" i="15"/>
  <c r="AA125" i="15" s="1"/>
  <c r="G126" i="15"/>
  <c r="AA126" i="15" s="1"/>
  <c r="G127" i="15"/>
  <c r="AA127" i="15" s="1"/>
  <c r="G128" i="15"/>
  <c r="AA128" i="15" s="1"/>
  <c r="G129" i="15"/>
  <c r="AA129" i="15" s="1"/>
  <c r="G130" i="15"/>
  <c r="AA130" i="15" s="1"/>
  <c r="G106" i="15"/>
  <c r="F109" i="15"/>
  <c r="O109" i="15" s="1"/>
  <c r="F110" i="15"/>
  <c r="O110" i="15" s="1"/>
  <c r="F111" i="15"/>
  <c r="O111" i="15" s="1"/>
  <c r="F112" i="15"/>
  <c r="O112" i="15" s="1"/>
  <c r="F113" i="15"/>
  <c r="O113" i="15" s="1"/>
  <c r="F114" i="15"/>
  <c r="O114" i="15" s="1"/>
  <c r="F115" i="15"/>
  <c r="O115" i="15" s="1"/>
  <c r="F116" i="15"/>
  <c r="O116" i="15" s="1"/>
  <c r="F117" i="15"/>
  <c r="O117" i="15" s="1"/>
  <c r="F118" i="15"/>
  <c r="O118" i="15" s="1"/>
  <c r="F119" i="15"/>
  <c r="O119" i="15" s="1"/>
  <c r="F120" i="15"/>
  <c r="O120" i="15" s="1"/>
  <c r="F121" i="15"/>
  <c r="O121" i="15" s="1"/>
  <c r="F122" i="15"/>
  <c r="O122" i="15" s="1"/>
  <c r="F123" i="15"/>
  <c r="O123" i="15" s="1"/>
  <c r="F124" i="15"/>
  <c r="O124" i="15" s="1"/>
  <c r="F125" i="15"/>
  <c r="O125" i="15" s="1"/>
  <c r="F126" i="15"/>
  <c r="O126" i="15" s="1"/>
  <c r="F127" i="15"/>
  <c r="O127" i="15" s="1"/>
  <c r="F128" i="15"/>
  <c r="O128" i="15" s="1"/>
  <c r="F129" i="15"/>
  <c r="O129" i="15" s="1"/>
  <c r="F130" i="15"/>
  <c r="O130" i="15" s="1"/>
  <c r="F131" i="15"/>
  <c r="O131" i="15" s="1"/>
  <c r="F108" i="15"/>
  <c r="O108" i="15" s="1"/>
  <c r="N113" i="15"/>
  <c r="N131" i="15" l="1"/>
  <c r="N127" i="15"/>
  <c r="N123" i="15"/>
  <c r="N119" i="15"/>
  <c r="P119" i="15" s="1"/>
  <c r="Q119" i="15"/>
  <c r="N115" i="15"/>
  <c r="N114" i="15"/>
  <c r="N95" i="15"/>
  <c r="P95" i="15" s="1"/>
  <c r="N97" i="15"/>
  <c r="P97" i="15" s="1"/>
  <c r="Q97" i="15"/>
  <c r="N132" i="15"/>
  <c r="P132" i="15" s="1"/>
  <c r="Q132" i="15"/>
  <c r="N125" i="15"/>
  <c r="Q125" i="15"/>
  <c r="N117" i="15"/>
  <c r="N116" i="15"/>
  <c r="P116" i="15" s="1"/>
  <c r="N96" i="15"/>
  <c r="N138" i="15"/>
  <c r="P138" i="15" s="1"/>
  <c r="Q138" i="15"/>
  <c r="Q135" i="15"/>
  <c r="N137" i="15"/>
  <c r="P137" i="15" s="1"/>
  <c r="N134" i="15"/>
  <c r="P134" i="15" s="1"/>
  <c r="N136" i="15"/>
  <c r="P136" i="15" s="1"/>
  <c r="N133" i="15"/>
  <c r="P133" i="15" s="1"/>
  <c r="N135" i="15"/>
  <c r="P135" i="15" s="1"/>
  <c r="Q137" i="15"/>
  <c r="Q136" i="15"/>
  <c r="Q134" i="15"/>
  <c r="Q133" i="15"/>
  <c r="Q95" i="15"/>
  <c r="P96" i="15"/>
  <c r="AA97" i="15"/>
  <c r="AA96" i="15"/>
  <c r="AA95" i="15"/>
  <c r="Q96" i="15"/>
  <c r="N112" i="15"/>
  <c r="P112" i="15" s="1"/>
  <c r="N124" i="15"/>
  <c r="P124" i="15" s="1"/>
  <c r="N118" i="15"/>
  <c r="P118" i="15" s="1"/>
  <c r="Q117" i="15"/>
  <c r="P125" i="15"/>
  <c r="P113" i="15"/>
  <c r="Q128" i="15"/>
  <c r="Q124" i="15"/>
  <c r="Q120" i="15"/>
  <c r="N128" i="15"/>
  <c r="P128" i="15" s="1"/>
  <c r="N122" i="15"/>
  <c r="P122" i="15" s="1"/>
  <c r="N129" i="15"/>
  <c r="P129" i="15" s="1"/>
  <c r="N126" i="15"/>
  <c r="P126" i="15" s="1"/>
  <c r="N121" i="15"/>
  <c r="P121" i="15" s="1"/>
  <c r="N130" i="15"/>
  <c r="P130" i="15" s="1"/>
  <c r="N120" i="15"/>
  <c r="P120" i="15" s="1"/>
  <c r="Q118" i="15"/>
  <c r="P117" i="15"/>
  <c r="P131" i="15"/>
  <c r="P127" i="15"/>
  <c r="P123" i="15"/>
  <c r="Q126" i="15"/>
  <c r="Q122" i="15"/>
  <c r="Q131" i="15"/>
  <c r="Q123" i="15"/>
  <c r="Q129" i="15"/>
  <c r="Q130" i="15"/>
  <c r="Q127" i="15"/>
  <c r="Q121" i="15"/>
  <c r="Q116" i="15"/>
  <c r="P115" i="15"/>
  <c r="Q115" i="15"/>
  <c r="P114" i="15"/>
  <c r="Q114" i="15"/>
  <c r="Q113" i="15"/>
  <c r="Q112" i="15"/>
  <c r="Y9" i="15"/>
  <c r="H5" i="15"/>
  <c r="H10" i="15"/>
  <c r="I10" i="15" s="1"/>
  <c r="H9" i="15"/>
  <c r="I9" i="15" s="1"/>
  <c r="Y10" i="15"/>
  <c r="Y6" i="15" l="1"/>
  <c r="Y7" i="15"/>
  <c r="Y8" i="15"/>
  <c r="Y11" i="15"/>
  <c r="Y12" i="15"/>
  <c r="Y13" i="15"/>
  <c r="Y14" i="15"/>
  <c r="Y15" i="15"/>
  <c r="Y16" i="15"/>
  <c r="Y17" i="15"/>
  <c r="Y18" i="15"/>
  <c r="Y19" i="15"/>
  <c r="Y33" i="15"/>
  <c r="Y34" i="15"/>
  <c r="Y35" i="15"/>
  <c r="Y36" i="15"/>
  <c r="Y37" i="15"/>
  <c r="Y38" i="15"/>
  <c r="Y39" i="15"/>
  <c r="Y40" i="15"/>
  <c r="Y41" i="15"/>
  <c r="Y42" i="15"/>
  <c r="Y43" i="15"/>
  <c r="Y44" i="15"/>
  <c r="Y45" i="15"/>
  <c r="Y46" i="15"/>
  <c r="Y47" i="15"/>
  <c r="Y48" i="15"/>
  <c r="Y49" i="15"/>
  <c r="Y50" i="15"/>
  <c r="Y51" i="15"/>
  <c r="Y52" i="15"/>
  <c r="Y53" i="15"/>
  <c r="Y54" i="15"/>
  <c r="Y55" i="15"/>
  <c r="Y56" i="15"/>
  <c r="Y57" i="15"/>
  <c r="Y62" i="15"/>
  <c r="Y63" i="15"/>
  <c r="Y64" i="15"/>
  <c r="Y65" i="15"/>
  <c r="Y66" i="15"/>
  <c r="Y67" i="15"/>
  <c r="Y68" i="15"/>
  <c r="Y69" i="15"/>
  <c r="Y70" i="15"/>
  <c r="Y71" i="15"/>
  <c r="Y72" i="15"/>
  <c r="Y73" i="15"/>
  <c r="Y74" i="15"/>
  <c r="Y75" i="15"/>
  <c r="Y76" i="15"/>
  <c r="Y77" i="15"/>
  <c r="Y78" i="15"/>
  <c r="Y79" i="15"/>
  <c r="Y80" i="15"/>
  <c r="Y81" i="15"/>
  <c r="Y82" i="15"/>
  <c r="Y83" i="15"/>
  <c r="Y84" i="15"/>
  <c r="Y85" i="15"/>
  <c r="Y86" i="15"/>
  <c r="Y87" i="15"/>
  <c r="Y88" i="15"/>
  <c r="Y89" i="15"/>
  <c r="Y90" i="15"/>
  <c r="Y91" i="15"/>
  <c r="Y92" i="15"/>
  <c r="Y93" i="15"/>
  <c r="Y94" i="15"/>
  <c r="Y98" i="15"/>
  <c r="Y99" i="15"/>
  <c r="Y100" i="15"/>
  <c r="Y101" i="15"/>
  <c r="Y102" i="15"/>
  <c r="Y103" i="15"/>
  <c r="Y104" i="15"/>
  <c r="Y105" i="15"/>
  <c r="Y106" i="15"/>
  <c r="Y107" i="15"/>
  <c r="Y108" i="15"/>
  <c r="Y109" i="15"/>
  <c r="Y110" i="15"/>
  <c r="Y111" i="15"/>
  <c r="Y5" i="15"/>
  <c r="F83" i="15" l="1"/>
  <c r="O83" i="15" s="1"/>
  <c r="G83" i="15"/>
  <c r="H83" i="15"/>
  <c r="I83" i="15" s="1"/>
  <c r="K83" i="15" s="1"/>
  <c r="J83" i="15"/>
  <c r="Z83" i="15"/>
  <c r="G72" i="15"/>
  <c r="H72" i="15"/>
  <c r="I72" i="15" s="1"/>
  <c r="K72" i="15" s="1"/>
  <c r="J72" i="15"/>
  <c r="F72" i="15"/>
  <c r="O72" i="15" s="1"/>
  <c r="Z72" i="15"/>
  <c r="G66" i="15"/>
  <c r="H66" i="15"/>
  <c r="I66" i="15" s="1"/>
  <c r="K66" i="15" s="1"/>
  <c r="J66" i="15"/>
  <c r="Z8" i="15"/>
  <c r="Z11" i="15"/>
  <c r="Z14" i="15"/>
  <c r="Z15" i="15"/>
  <c r="Z18" i="15"/>
  <c r="Z19" i="15"/>
  <c r="Z31" i="15"/>
  <c r="Z32" i="15"/>
  <c r="Z35" i="15"/>
  <c r="Z36" i="15"/>
  <c r="Z39" i="15"/>
  <c r="Z40" i="15"/>
  <c r="Z43" i="15"/>
  <c r="Z44" i="15"/>
  <c r="Z47" i="15"/>
  <c r="Z48" i="15"/>
  <c r="Z51" i="15"/>
  <c r="Z52" i="15"/>
  <c r="Z55" i="15"/>
  <c r="Z56" i="15"/>
  <c r="Z63" i="15"/>
  <c r="Z64" i="15"/>
  <c r="Z67" i="15"/>
  <c r="Z68" i="15"/>
  <c r="Z71" i="15"/>
  <c r="Z73" i="15"/>
  <c r="Z76" i="15"/>
  <c r="Z77" i="15"/>
  <c r="Z80" i="15"/>
  <c r="Z81" i="15"/>
  <c r="Z82" i="15"/>
  <c r="Z84" i="15"/>
  <c r="Z85" i="15"/>
  <c r="Z87" i="15"/>
  <c r="Z88" i="15"/>
  <c r="Z89" i="15"/>
  <c r="Z91" i="15"/>
  <c r="Z92" i="15"/>
  <c r="Z93" i="15"/>
  <c r="Z98" i="15"/>
  <c r="Z99" i="15"/>
  <c r="Z100" i="15"/>
  <c r="Z102" i="15"/>
  <c r="Z103" i="15"/>
  <c r="Z104" i="15"/>
  <c r="Z106" i="15"/>
  <c r="Z107" i="15"/>
  <c r="Z108" i="15"/>
  <c r="Z110" i="15"/>
  <c r="Z111" i="15"/>
  <c r="Z6" i="15"/>
  <c r="Z7" i="15"/>
  <c r="Z12" i="15"/>
  <c r="Z13" i="15"/>
  <c r="Z16" i="15"/>
  <c r="Z17" i="15"/>
  <c r="Z29" i="15"/>
  <c r="Z30" i="15"/>
  <c r="Z33" i="15"/>
  <c r="Z34" i="15"/>
  <c r="Z37" i="15"/>
  <c r="Z38" i="15"/>
  <c r="Z41" i="15"/>
  <c r="Z42" i="15"/>
  <c r="Z45" i="15"/>
  <c r="Z46" i="15"/>
  <c r="Z49" i="15"/>
  <c r="Z50" i="15"/>
  <c r="Z53" i="15"/>
  <c r="Z54" i="15"/>
  <c r="Z57" i="15"/>
  <c r="Z62" i="15"/>
  <c r="Z65" i="15"/>
  <c r="Z66" i="15"/>
  <c r="Z69" i="15"/>
  <c r="Z70" i="15"/>
  <c r="Z74" i="15"/>
  <c r="Z75" i="15"/>
  <c r="Z78" i="15"/>
  <c r="Z79" i="15"/>
  <c r="Z86" i="15"/>
  <c r="Z90" i="15"/>
  <c r="Z94" i="15"/>
  <c r="Z101" i="15"/>
  <c r="Z105" i="15"/>
  <c r="Z109" i="15"/>
  <c r="Z5" i="15"/>
  <c r="F66" i="15"/>
  <c r="O66" i="15" s="1"/>
  <c r="F107" i="15"/>
  <c r="O107" i="15" s="1"/>
  <c r="F106" i="15"/>
  <c r="O106" i="15" s="1"/>
  <c r="F105" i="15"/>
  <c r="O105" i="15" s="1"/>
  <c r="F104" i="15"/>
  <c r="O104" i="15" s="1"/>
  <c r="G105" i="15"/>
  <c r="G104" i="15"/>
  <c r="Q105" i="15" l="1"/>
  <c r="N105" i="15"/>
  <c r="P105" i="15" s="1"/>
  <c r="N109" i="15"/>
  <c r="P109" i="15" s="1"/>
  <c r="Q109" i="15"/>
  <c r="N106" i="15"/>
  <c r="P106" i="15" s="1"/>
  <c r="Q106" i="15"/>
  <c r="N110" i="15"/>
  <c r="P110" i="15" s="1"/>
  <c r="Q110" i="15"/>
  <c r="N107" i="15"/>
  <c r="P107" i="15" s="1"/>
  <c r="Q107" i="15"/>
  <c r="Q111" i="15"/>
  <c r="N111" i="15"/>
  <c r="P111" i="15" s="1"/>
  <c r="Q104" i="15"/>
  <c r="N104" i="15"/>
  <c r="P104" i="15" s="1"/>
  <c r="Q108" i="15"/>
  <c r="N108" i="15"/>
  <c r="P108" i="15" s="1"/>
  <c r="N66" i="15"/>
  <c r="P66" i="15" s="1"/>
  <c r="Q66" i="15"/>
  <c r="Q72" i="15"/>
  <c r="N72" i="15"/>
  <c r="P72" i="15" s="1"/>
  <c r="N83" i="15"/>
  <c r="P83" i="15" s="1"/>
  <c r="Q83" i="15"/>
  <c r="AA83" i="15"/>
  <c r="AA72" i="15"/>
  <c r="L72" i="15"/>
  <c r="L66" i="15"/>
  <c r="AA66" i="15"/>
  <c r="AA109" i="15"/>
  <c r="AA111" i="15"/>
  <c r="AA110" i="15"/>
  <c r="AA106" i="15"/>
  <c r="AA105" i="15"/>
  <c r="AA108" i="15"/>
  <c r="AA104" i="15"/>
  <c r="AA107" i="15"/>
  <c r="G86" i="15" l="1"/>
  <c r="G87" i="15"/>
  <c r="G88" i="15"/>
  <c r="G89" i="15"/>
  <c r="G90" i="15"/>
  <c r="G91" i="15"/>
  <c r="G92" i="15"/>
  <c r="G93" i="15"/>
  <c r="G94" i="15"/>
  <c r="G98" i="15"/>
  <c r="G99" i="15"/>
  <c r="G100" i="15"/>
  <c r="G101" i="15"/>
  <c r="G102" i="15"/>
  <c r="G103" i="15"/>
  <c r="G75" i="15"/>
  <c r="G76" i="15"/>
  <c r="G77" i="15"/>
  <c r="G78" i="15"/>
  <c r="G79" i="15"/>
  <c r="G80" i="15"/>
  <c r="G81" i="15"/>
  <c r="G82" i="15"/>
  <c r="G85" i="15"/>
  <c r="G73" i="15"/>
  <c r="G74" i="15"/>
  <c r="G6" i="15"/>
  <c r="G7" i="15"/>
  <c r="G8" i="15"/>
  <c r="G11" i="15"/>
  <c r="G12" i="15"/>
  <c r="G13" i="15"/>
  <c r="G14" i="15"/>
  <c r="G15" i="15"/>
  <c r="G16" i="15"/>
  <c r="G17" i="15"/>
  <c r="G18" i="15"/>
  <c r="G19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46" i="15"/>
  <c r="G47" i="15"/>
  <c r="G48" i="15"/>
  <c r="G49" i="15"/>
  <c r="G50" i="15"/>
  <c r="G51" i="15"/>
  <c r="G52" i="15"/>
  <c r="G53" i="15"/>
  <c r="G54" i="15"/>
  <c r="G55" i="15"/>
  <c r="G56" i="15"/>
  <c r="G57" i="15"/>
  <c r="G62" i="15"/>
  <c r="G63" i="15"/>
  <c r="G64" i="15"/>
  <c r="G65" i="15"/>
  <c r="G67" i="15"/>
  <c r="G68" i="15"/>
  <c r="G69" i="15"/>
  <c r="G70" i="15"/>
  <c r="G71" i="15"/>
  <c r="G5" i="15"/>
  <c r="F73" i="15"/>
  <c r="O73" i="15" s="1"/>
  <c r="F74" i="15"/>
  <c r="O74" i="15" s="1"/>
  <c r="F75" i="15"/>
  <c r="O75" i="15" s="1"/>
  <c r="F76" i="15"/>
  <c r="O76" i="15" s="1"/>
  <c r="F77" i="15"/>
  <c r="O77" i="15" s="1"/>
  <c r="F78" i="15"/>
  <c r="O78" i="15" s="1"/>
  <c r="F79" i="15"/>
  <c r="O79" i="15" s="1"/>
  <c r="F80" i="15"/>
  <c r="O80" i="15" s="1"/>
  <c r="F81" i="15"/>
  <c r="O81" i="15" s="1"/>
  <c r="F82" i="15"/>
  <c r="O82" i="15" s="1"/>
  <c r="F84" i="15"/>
  <c r="O84" i="15" s="1"/>
  <c r="F85" i="15"/>
  <c r="O85" i="15" s="1"/>
  <c r="F86" i="15"/>
  <c r="O86" i="15" s="1"/>
  <c r="F87" i="15"/>
  <c r="O87" i="15" s="1"/>
  <c r="F88" i="15"/>
  <c r="O88" i="15" s="1"/>
  <c r="F89" i="15"/>
  <c r="O89" i="15" s="1"/>
  <c r="F90" i="15"/>
  <c r="O90" i="15" s="1"/>
  <c r="F91" i="15"/>
  <c r="O91" i="15" s="1"/>
  <c r="F92" i="15"/>
  <c r="O92" i="15" s="1"/>
  <c r="F93" i="15"/>
  <c r="O93" i="15" s="1"/>
  <c r="F94" i="15"/>
  <c r="O94" i="15" s="1"/>
  <c r="F98" i="15"/>
  <c r="O98" i="15" s="1"/>
  <c r="F99" i="15"/>
  <c r="O99" i="15" s="1"/>
  <c r="F100" i="15"/>
  <c r="O100" i="15" s="1"/>
  <c r="F101" i="15"/>
  <c r="O101" i="15" s="1"/>
  <c r="F102" i="15"/>
  <c r="O102" i="15" s="1"/>
  <c r="F103" i="15"/>
  <c r="O103" i="15" s="1"/>
  <c r="F6" i="15"/>
  <c r="O6" i="15" s="1"/>
  <c r="F7" i="15"/>
  <c r="O7" i="15" s="1"/>
  <c r="F8" i="15"/>
  <c r="O8" i="15" s="1"/>
  <c r="F11" i="15"/>
  <c r="O11" i="15" s="1"/>
  <c r="F12" i="15"/>
  <c r="O12" i="15" s="1"/>
  <c r="F13" i="15"/>
  <c r="O13" i="15" s="1"/>
  <c r="F14" i="15"/>
  <c r="O14" i="15" s="1"/>
  <c r="F15" i="15"/>
  <c r="O15" i="15" s="1"/>
  <c r="F16" i="15"/>
  <c r="O16" i="15" s="1"/>
  <c r="F17" i="15"/>
  <c r="O17" i="15" s="1"/>
  <c r="F18" i="15"/>
  <c r="O18" i="15" s="1"/>
  <c r="F19" i="15"/>
  <c r="O19" i="15" s="1"/>
  <c r="F29" i="15"/>
  <c r="O29" i="15" s="1"/>
  <c r="F30" i="15"/>
  <c r="O30" i="15" s="1"/>
  <c r="F31" i="15"/>
  <c r="O31" i="15" s="1"/>
  <c r="F32" i="15"/>
  <c r="O32" i="15" s="1"/>
  <c r="F33" i="15"/>
  <c r="O33" i="15" s="1"/>
  <c r="F34" i="15"/>
  <c r="O34" i="15" s="1"/>
  <c r="F35" i="15"/>
  <c r="O35" i="15" s="1"/>
  <c r="F36" i="15"/>
  <c r="O36" i="15" s="1"/>
  <c r="F37" i="15"/>
  <c r="O37" i="15" s="1"/>
  <c r="F38" i="15"/>
  <c r="O38" i="15" s="1"/>
  <c r="F39" i="15"/>
  <c r="O39" i="15" s="1"/>
  <c r="F40" i="15"/>
  <c r="O40" i="15" s="1"/>
  <c r="F41" i="15"/>
  <c r="O41" i="15" s="1"/>
  <c r="F42" i="15"/>
  <c r="O42" i="15" s="1"/>
  <c r="F43" i="15"/>
  <c r="O43" i="15" s="1"/>
  <c r="F44" i="15"/>
  <c r="O44" i="15" s="1"/>
  <c r="F45" i="15"/>
  <c r="O45" i="15" s="1"/>
  <c r="F46" i="15"/>
  <c r="O46" i="15" s="1"/>
  <c r="F47" i="15"/>
  <c r="O47" i="15" s="1"/>
  <c r="F48" i="15"/>
  <c r="O48" i="15" s="1"/>
  <c r="F49" i="15"/>
  <c r="O49" i="15" s="1"/>
  <c r="F50" i="15"/>
  <c r="O50" i="15" s="1"/>
  <c r="F51" i="15"/>
  <c r="O51" i="15" s="1"/>
  <c r="F52" i="15"/>
  <c r="O52" i="15" s="1"/>
  <c r="F53" i="15"/>
  <c r="O53" i="15" s="1"/>
  <c r="F54" i="15"/>
  <c r="O54" i="15" s="1"/>
  <c r="F55" i="15"/>
  <c r="O55" i="15" s="1"/>
  <c r="F56" i="15"/>
  <c r="O56" i="15" s="1"/>
  <c r="F57" i="15"/>
  <c r="O57" i="15" s="1"/>
  <c r="F62" i="15"/>
  <c r="O62" i="15" s="1"/>
  <c r="F63" i="15"/>
  <c r="O63" i="15" s="1"/>
  <c r="F64" i="15"/>
  <c r="O64" i="15" s="1"/>
  <c r="F65" i="15"/>
  <c r="O65" i="15" s="1"/>
  <c r="F67" i="15"/>
  <c r="O67" i="15" s="1"/>
  <c r="F68" i="15"/>
  <c r="O68" i="15" s="1"/>
  <c r="F69" i="15"/>
  <c r="O69" i="15" s="1"/>
  <c r="F70" i="15"/>
  <c r="O70" i="15" s="1"/>
  <c r="F71" i="15"/>
  <c r="O71" i="15" s="1"/>
  <c r="F5" i="15"/>
  <c r="H52" i="15"/>
  <c r="I52" i="15" s="1"/>
  <c r="K52" i="15" s="1"/>
  <c r="J52" i="15"/>
  <c r="H53" i="15"/>
  <c r="I53" i="15" s="1"/>
  <c r="K53" i="15" s="1"/>
  <c r="J53" i="15"/>
  <c r="H54" i="15"/>
  <c r="I54" i="15" s="1"/>
  <c r="K54" i="15" s="1"/>
  <c r="J54" i="15"/>
  <c r="H48" i="15"/>
  <c r="I48" i="15" s="1"/>
  <c r="K48" i="15" s="1"/>
  <c r="J48" i="15"/>
  <c r="H49" i="15"/>
  <c r="I49" i="15" s="1"/>
  <c r="K49" i="15" s="1"/>
  <c r="L49" i="15" s="1"/>
  <c r="J49" i="15"/>
  <c r="H50" i="15"/>
  <c r="I50" i="15" s="1"/>
  <c r="K50" i="15" s="1"/>
  <c r="J50" i="15"/>
  <c r="E84" i="15"/>
  <c r="H84" i="15" s="1"/>
  <c r="I84" i="15" s="1"/>
  <c r="K84" i="15" s="1"/>
  <c r="H85" i="15"/>
  <c r="I85" i="15" s="1"/>
  <c r="H86" i="15"/>
  <c r="I86" i="15" s="1"/>
  <c r="H87" i="15"/>
  <c r="I87" i="15" s="1"/>
  <c r="J86" i="15"/>
  <c r="H79" i="15"/>
  <c r="J87" i="15"/>
  <c r="O5" i="15" l="1"/>
  <c r="Q5" i="15" s="1"/>
  <c r="N8" i="15"/>
  <c r="P8" i="15" s="1"/>
  <c r="N29" i="15"/>
  <c r="P29" i="15" s="1"/>
  <c r="N93" i="15"/>
  <c r="AA65" i="15"/>
  <c r="AA57" i="15"/>
  <c r="AA53" i="15"/>
  <c r="AA49" i="15"/>
  <c r="AA45" i="15"/>
  <c r="AA41" i="15"/>
  <c r="AA37" i="15"/>
  <c r="AA33" i="15"/>
  <c r="AA29" i="15"/>
  <c r="AA16" i="15"/>
  <c r="AA12" i="15"/>
  <c r="AA6" i="15"/>
  <c r="AA78" i="15"/>
  <c r="AA103" i="15"/>
  <c r="AA99" i="15"/>
  <c r="AA92" i="15"/>
  <c r="AA88" i="15"/>
  <c r="AA69" i="15"/>
  <c r="AA64" i="15"/>
  <c r="AA56" i="15"/>
  <c r="AA52" i="15"/>
  <c r="AA48" i="15"/>
  <c r="AA44" i="15"/>
  <c r="AA40" i="15"/>
  <c r="AA36" i="15"/>
  <c r="AA32" i="15"/>
  <c r="AA19" i="15"/>
  <c r="AA15" i="15"/>
  <c r="AA11" i="15"/>
  <c r="AA74" i="15"/>
  <c r="AA81" i="15"/>
  <c r="AA77" i="15"/>
  <c r="AA102" i="15"/>
  <c r="AA98" i="15"/>
  <c r="AA91" i="15"/>
  <c r="AA87" i="15"/>
  <c r="AA5" i="15"/>
  <c r="AA68" i="15"/>
  <c r="AA63" i="15"/>
  <c r="AA55" i="15"/>
  <c r="AA51" i="15"/>
  <c r="AA47" i="15"/>
  <c r="AA43" i="15"/>
  <c r="AA39" i="15"/>
  <c r="AA35" i="15"/>
  <c r="AA31" i="15"/>
  <c r="AA18" i="15"/>
  <c r="AA14" i="15"/>
  <c r="AA8" i="15"/>
  <c r="AA73" i="15"/>
  <c r="AA80" i="15"/>
  <c r="AA76" i="15"/>
  <c r="AA101" i="15"/>
  <c r="AA94" i="15"/>
  <c r="AA90" i="15"/>
  <c r="AA86" i="15"/>
  <c r="AA71" i="15"/>
  <c r="AA67" i="15"/>
  <c r="AA62" i="15"/>
  <c r="AA54" i="15"/>
  <c r="AA50" i="15"/>
  <c r="AA46" i="15"/>
  <c r="AA42" i="15"/>
  <c r="AA38" i="15"/>
  <c r="AA34" i="15"/>
  <c r="AA30" i="15"/>
  <c r="AA17" i="15"/>
  <c r="AA13" i="15"/>
  <c r="AA7" i="15"/>
  <c r="AA85" i="15"/>
  <c r="AA79" i="15"/>
  <c r="AA75" i="15"/>
  <c r="AA100" i="15"/>
  <c r="AA93" i="15"/>
  <c r="AA89" i="15"/>
  <c r="N71" i="15"/>
  <c r="P71" i="15" s="1"/>
  <c r="Q71" i="15"/>
  <c r="N67" i="15"/>
  <c r="P67" i="15" s="1"/>
  <c r="Q67" i="15"/>
  <c r="Q62" i="15"/>
  <c r="N62" i="15"/>
  <c r="P62" i="15" s="1"/>
  <c r="N54" i="15"/>
  <c r="P54" i="15" s="1"/>
  <c r="Q54" i="15"/>
  <c r="Q50" i="15"/>
  <c r="N50" i="15"/>
  <c r="P50" i="15" s="1"/>
  <c r="N46" i="15"/>
  <c r="P46" i="15" s="1"/>
  <c r="Q46" i="15"/>
  <c r="Q42" i="15"/>
  <c r="N42" i="15"/>
  <c r="P42" i="15" s="1"/>
  <c r="N38" i="15"/>
  <c r="P38" i="15" s="1"/>
  <c r="Q38" i="15"/>
  <c r="Q34" i="15"/>
  <c r="N34" i="15"/>
  <c r="P34" i="15" s="1"/>
  <c r="N30" i="15"/>
  <c r="P30" i="15" s="1"/>
  <c r="Q30" i="15"/>
  <c r="Q17" i="15"/>
  <c r="N17" i="15"/>
  <c r="P17" i="15" s="1"/>
  <c r="N13" i="15"/>
  <c r="P13" i="15" s="1"/>
  <c r="Q13" i="15"/>
  <c r="Q7" i="15"/>
  <c r="N7" i="15"/>
  <c r="P7" i="15" s="1"/>
  <c r="N101" i="15"/>
  <c r="P101" i="15" s="1"/>
  <c r="Q101" i="15"/>
  <c r="Q94" i="15"/>
  <c r="N94" i="15"/>
  <c r="P94" i="15" s="1"/>
  <c r="N90" i="15"/>
  <c r="P90" i="15" s="1"/>
  <c r="Q90" i="15"/>
  <c r="Q86" i="15"/>
  <c r="N86" i="15"/>
  <c r="P86" i="15" s="1"/>
  <c r="Q81" i="15"/>
  <c r="N81" i="15"/>
  <c r="P81" i="15" s="1"/>
  <c r="Q77" i="15"/>
  <c r="N77" i="15"/>
  <c r="P77" i="15" s="1"/>
  <c r="Q73" i="15"/>
  <c r="N73" i="15"/>
  <c r="P73" i="15" s="1"/>
  <c r="Q70" i="15"/>
  <c r="N70" i="15"/>
  <c r="P70" i="15" s="1"/>
  <c r="Q65" i="15"/>
  <c r="N65" i="15"/>
  <c r="P65" i="15" s="1"/>
  <c r="Q57" i="15"/>
  <c r="N57" i="15"/>
  <c r="P57" i="15" s="1"/>
  <c r="Q53" i="15"/>
  <c r="N53" i="15"/>
  <c r="P53" i="15" s="1"/>
  <c r="Q49" i="15"/>
  <c r="N49" i="15"/>
  <c r="P49" i="15" s="1"/>
  <c r="Q45" i="15"/>
  <c r="N45" i="15"/>
  <c r="P45" i="15" s="1"/>
  <c r="Q41" i="15"/>
  <c r="N41" i="15"/>
  <c r="P41" i="15" s="1"/>
  <c r="Q37" i="15"/>
  <c r="N37" i="15"/>
  <c r="P37" i="15" s="1"/>
  <c r="Q33" i="15"/>
  <c r="N33" i="15"/>
  <c r="P33" i="15" s="1"/>
  <c r="Q29" i="15"/>
  <c r="Q16" i="15"/>
  <c r="N16" i="15"/>
  <c r="P16" i="15" s="1"/>
  <c r="Q12" i="15"/>
  <c r="N12" i="15"/>
  <c r="P12" i="15" s="1"/>
  <c r="Q6" i="15"/>
  <c r="N6" i="15"/>
  <c r="P6" i="15" s="1"/>
  <c r="Q100" i="15"/>
  <c r="N100" i="15"/>
  <c r="P100" i="15" s="1"/>
  <c r="Q93" i="15"/>
  <c r="P93" i="15"/>
  <c r="Q89" i="15"/>
  <c r="N89" i="15"/>
  <c r="P89" i="15" s="1"/>
  <c r="Q85" i="15"/>
  <c r="N85" i="15"/>
  <c r="P85" i="15" s="1"/>
  <c r="N80" i="15"/>
  <c r="P80" i="15" s="1"/>
  <c r="Q80" i="15"/>
  <c r="N76" i="15"/>
  <c r="P76" i="15" s="1"/>
  <c r="Q76" i="15"/>
  <c r="Q69" i="15"/>
  <c r="N69" i="15"/>
  <c r="P69" i="15" s="1"/>
  <c r="N64" i="15"/>
  <c r="P64" i="15" s="1"/>
  <c r="Q64" i="15"/>
  <c r="Q56" i="15"/>
  <c r="N56" i="15"/>
  <c r="P56" i="15" s="1"/>
  <c r="N52" i="15"/>
  <c r="P52" i="15" s="1"/>
  <c r="Q52" i="15"/>
  <c r="Q48" i="15"/>
  <c r="N48" i="15"/>
  <c r="P48" i="15" s="1"/>
  <c r="N44" i="15"/>
  <c r="P44" i="15" s="1"/>
  <c r="Q44" i="15"/>
  <c r="N40" i="15"/>
  <c r="P40" i="15" s="1"/>
  <c r="Q40" i="15"/>
  <c r="Q36" i="15"/>
  <c r="N36" i="15"/>
  <c r="P36" i="15" s="1"/>
  <c r="N32" i="15"/>
  <c r="P32" i="15" s="1"/>
  <c r="Q32" i="15"/>
  <c r="N19" i="15"/>
  <c r="P19" i="15" s="1"/>
  <c r="Q19" i="15"/>
  <c r="Q15" i="15"/>
  <c r="N15" i="15"/>
  <c r="P15" i="15" s="1"/>
  <c r="N11" i="15"/>
  <c r="P11" i="15" s="1"/>
  <c r="Q11" i="15"/>
  <c r="N103" i="15"/>
  <c r="P103" i="15" s="1"/>
  <c r="Q103" i="15"/>
  <c r="Q99" i="15"/>
  <c r="N99" i="15"/>
  <c r="P99" i="15" s="1"/>
  <c r="N92" i="15"/>
  <c r="P92" i="15" s="1"/>
  <c r="Q92" i="15"/>
  <c r="N88" i="15"/>
  <c r="P88" i="15" s="1"/>
  <c r="Q88" i="15"/>
  <c r="N84" i="15"/>
  <c r="N79" i="15"/>
  <c r="P79" i="15" s="1"/>
  <c r="Q79" i="15"/>
  <c r="N75" i="15"/>
  <c r="P75" i="15" s="1"/>
  <c r="Q75" i="15"/>
  <c r="N5" i="15"/>
  <c r="P5" i="15" s="1"/>
  <c r="N68" i="15"/>
  <c r="P68" i="15" s="1"/>
  <c r="Q68" i="15"/>
  <c r="N63" i="15"/>
  <c r="P63" i="15" s="1"/>
  <c r="Q63" i="15"/>
  <c r="N55" i="15"/>
  <c r="P55" i="15" s="1"/>
  <c r="Q55" i="15"/>
  <c r="N51" i="15"/>
  <c r="P51" i="15" s="1"/>
  <c r="Q51" i="15"/>
  <c r="N47" i="15"/>
  <c r="P47" i="15" s="1"/>
  <c r="Q47" i="15"/>
  <c r="N43" i="15"/>
  <c r="P43" i="15" s="1"/>
  <c r="Q43" i="15"/>
  <c r="N39" i="15"/>
  <c r="P39" i="15" s="1"/>
  <c r="Q39" i="15"/>
  <c r="N35" i="15"/>
  <c r="P35" i="15" s="1"/>
  <c r="Q35" i="15"/>
  <c r="N31" i="15"/>
  <c r="P31" i="15" s="1"/>
  <c r="Q31" i="15"/>
  <c r="N18" i="15"/>
  <c r="P18" i="15" s="1"/>
  <c r="Q18" i="15"/>
  <c r="N14" i="15"/>
  <c r="P14" i="15" s="1"/>
  <c r="Q14" i="15"/>
  <c r="Q8" i="15"/>
  <c r="N102" i="15"/>
  <c r="P102" i="15" s="1"/>
  <c r="Q102" i="15"/>
  <c r="N98" i="15"/>
  <c r="P98" i="15" s="1"/>
  <c r="Q98" i="15"/>
  <c r="N91" i="15"/>
  <c r="P91" i="15" s="1"/>
  <c r="Q91" i="15"/>
  <c r="N87" i="15"/>
  <c r="P87" i="15" s="1"/>
  <c r="Q87" i="15"/>
  <c r="N82" i="15"/>
  <c r="P82" i="15" s="1"/>
  <c r="Q82" i="15"/>
  <c r="Q78" i="15"/>
  <c r="N78" i="15"/>
  <c r="P78" i="15" s="1"/>
  <c r="N74" i="15"/>
  <c r="P74" i="15" s="1"/>
  <c r="Q74" i="15"/>
  <c r="AA70" i="15"/>
  <c r="AA82" i="15"/>
  <c r="G84" i="15"/>
  <c r="L52" i="15"/>
  <c r="L53" i="15"/>
  <c r="L54" i="15"/>
  <c r="L50" i="15"/>
  <c r="L48" i="15"/>
  <c r="J85" i="15"/>
  <c r="K85" i="15" s="1"/>
  <c r="J74" i="15"/>
  <c r="J75" i="15"/>
  <c r="J76" i="15"/>
  <c r="J77" i="15"/>
  <c r="J78" i="15"/>
  <c r="J79" i="15"/>
  <c r="J80" i="15"/>
  <c r="J81" i="15"/>
  <c r="J82" i="15"/>
  <c r="J84" i="15"/>
  <c r="J73" i="15"/>
  <c r="K73" i="15" s="1"/>
  <c r="L73" i="15" s="1"/>
  <c r="J68" i="15"/>
  <c r="H6" i="15"/>
  <c r="H7" i="15"/>
  <c r="H8" i="15"/>
  <c r="H11" i="15"/>
  <c r="H12" i="15"/>
  <c r="H13" i="15"/>
  <c r="H14" i="15"/>
  <c r="H15" i="15"/>
  <c r="H16" i="15"/>
  <c r="H17" i="15"/>
  <c r="H18" i="15"/>
  <c r="H19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51" i="15"/>
  <c r="H55" i="15"/>
  <c r="H56" i="15"/>
  <c r="H57" i="15"/>
  <c r="H62" i="15"/>
  <c r="I62" i="15" s="1"/>
  <c r="K62" i="15" s="1"/>
  <c r="L62" i="15" s="1"/>
  <c r="H63" i="15"/>
  <c r="I63" i="15" s="1"/>
  <c r="K63" i="15" s="1"/>
  <c r="L63" i="15" s="1"/>
  <c r="H64" i="15"/>
  <c r="I64" i="15" s="1"/>
  <c r="K64" i="15" s="1"/>
  <c r="H65" i="15"/>
  <c r="I65" i="15" s="1"/>
  <c r="K65" i="15" s="1"/>
  <c r="L65" i="15" s="1"/>
  <c r="H67" i="15"/>
  <c r="I67" i="15" s="1"/>
  <c r="K67" i="15" s="1"/>
  <c r="H68" i="15"/>
  <c r="I68" i="15" s="1"/>
  <c r="K68" i="15" s="1"/>
  <c r="L68" i="15" s="1"/>
  <c r="H69" i="15"/>
  <c r="I69" i="15" s="1"/>
  <c r="K69" i="15" s="1"/>
  <c r="L69" i="15" s="1"/>
  <c r="H70" i="15"/>
  <c r="I70" i="15" s="1"/>
  <c r="H71" i="15"/>
  <c r="I71" i="15" s="1"/>
  <c r="K71" i="15" s="1"/>
  <c r="H73" i="15"/>
  <c r="I73" i="15" s="1"/>
  <c r="H74" i="15"/>
  <c r="I74" i="15" s="1"/>
  <c r="H75" i="15"/>
  <c r="I75" i="15" s="1"/>
  <c r="H76" i="15"/>
  <c r="I76" i="15" s="1"/>
  <c r="H77" i="15"/>
  <c r="I77" i="15" s="1"/>
  <c r="H78" i="15"/>
  <c r="I78" i="15" s="1"/>
  <c r="I79" i="15"/>
  <c r="H80" i="15"/>
  <c r="I80" i="15" s="1"/>
  <c r="H81" i="15"/>
  <c r="I81" i="15" s="1"/>
  <c r="H82" i="15"/>
  <c r="I82" i="15" s="1"/>
  <c r="J70" i="15"/>
  <c r="L74" i="15"/>
  <c r="L75" i="15"/>
  <c r="L76" i="15"/>
  <c r="L77" i="15"/>
  <c r="L78" i="15"/>
  <c r="L79" i="15"/>
  <c r="L80" i="15"/>
  <c r="L81" i="15"/>
  <c r="L82" i="15"/>
  <c r="J71" i="15"/>
  <c r="J69" i="15"/>
  <c r="J67" i="15"/>
  <c r="J65" i="15"/>
  <c r="J64" i="15"/>
  <c r="J63" i="15"/>
  <c r="J62" i="15"/>
  <c r="J45" i="15"/>
  <c r="J46" i="15"/>
  <c r="J47" i="15"/>
  <c r="J51" i="15"/>
  <c r="J55" i="15"/>
  <c r="J56" i="15"/>
  <c r="J57" i="15"/>
  <c r="J30" i="15"/>
  <c r="J31" i="15"/>
  <c r="J32" i="15"/>
  <c r="J33" i="15"/>
  <c r="J34" i="15"/>
  <c r="J35" i="15"/>
  <c r="J36" i="15"/>
  <c r="J37" i="15"/>
  <c r="J38" i="15"/>
  <c r="J39" i="15"/>
  <c r="J40" i="15"/>
  <c r="J41" i="15"/>
  <c r="J42" i="15"/>
  <c r="J43" i="15"/>
  <c r="J44" i="15"/>
  <c r="J6" i="15"/>
  <c r="J7" i="15"/>
  <c r="J8" i="15"/>
  <c r="J11" i="15"/>
  <c r="J12" i="15"/>
  <c r="J13" i="15"/>
  <c r="J14" i="15"/>
  <c r="J15" i="15"/>
  <c r="J16" i="15"/>
  <c r="J17" i="15"/>
  <c r="J18" i="15"/>
  <c r="J19" i="15"/>
  <c r="J29" i="15"/>
  <c r="J5" i="15"/>
  <c r="P84" i="15" l="1"/>
  <c r="R5" i="15" s="1"/>
  <c r="Q84" i="15"/>
  <c r="T5" i="15" s="1"/>
  <c r="AA84" i="15"/>
  <c r="AB5" i="15" s="1"/>
  <c r="L64" i="15"/>
  <c r="L67" i="15"/>
  <c r="L71" i="15"/>
  <c r="K70" i="15"/>
  <c r="I18" i="15"/>
  <c r="K18" i="15" s="1"/>
  <c r="I19" i="15"/>
  <c r="K19" i="15" s="1"/>
  <c r="I29" i="15"/>
  <c r="K29" i="15" s="1"/>
  <c r="L29" i="15" s="1"/>
  <c r="I30" i="15"/>
  <c r="K30" i="15" s="1"/>
  <c r="I31" i="15"/>
  <c r="K31" i="15" s="1"/>
  <c r="I32" i="15"/>
  <c r="K32" i="15" s="1"/>
  <c r="I33" i="15"/>
  <c r="K33" i="15" s="1"/>
  <c r="I34" i="15"/>
  <c r="K34" i="15" s="1"/>
  <c r="I35" i="15"/>
  <c r="K35" i="15" s="1"/>
  <c r="I36" i="15"/>
  <c r="K36" i="15" s="1"/>
  <c r="I37" i="15"/>
  <c r="K37" i="15" s="1"/>
  <c r="I38" i="15"/>
  <c r="K38" i="15" s="1"/>
  <c r="I39" i="15"/>
  <c r="K39" i="15" s="1"/>
  <c r="I40" i="15"/>
  <c r="K40" i="15" s="1"/>
  <c r="I41" i="15"/>
  <c r="K41" i="15" s="1"/>
  <c r="I42" i="15"/>
  <c r="K42" i="15" s="1"/>
  <c r="I43" i="15"/>
  <c r="K43" i="15" s="1"/>
  <c r="I44" i="15"/>
  <c r="K44" i="15" s="1"/>
  <c r="I45" i="15"/>
  <c r="K45" i="15" s="1"/>
  <c r="I46" i="15"/>
  <c r="K46" i="15" s="1"/>
  <c r="I47" i="15"/>
  <c r="K47" i="15" s="1"/>
  <c r="I51" i="15"/>
  <c r="K51" i="15" s="1"/>
  <c r="I55" i="15"/>
  <c r="K55" i="15" s="1"/>
  <c r="I56" i="15"/>
  <c r="K56" i="15" s="1"/>
  <c r="I57" i="15"/>
  <c r="K57" i="15" s="1"/>
  <c r="I7" i="15"/>
  <c r="K7" i="15" s="1"/>
  <c r="I8" i="15"/>
  <c r="K8" i="15" s="1"/>
  <c r="I5" i="15"/>
  <c r="K5" i="15" s="1"/>
  <c r="I12" i="15"/>
  <c r="K12" i="15" s="1"/>
  <c r="I13" i="15"/>
  <c r="K13" i="15" s="1"/>
  <c r="I14" i="15"/>
  <c r="K14" i="15" s="1"/>
  <c r="I15" i="15"/>
  <c r="K15" i="15" s="1"/>
  <c r="I16" i="15"/>
  <c r="K16" i="15" s="1"/>
  <c r="I17" i="15"/>
  <c r="K17" i="15" s="1"/>
  <c r="I11" i="15"/>
  <c r="K11" i="15" s="1"/>
  <c r="I6" i="15"/>
  <c r="K6" i="15" s="1"/>
  <c r="R7" i="15" l="1"/>
  <c r="U5" i="15" s="1"/>
  <c r="R11" i="15"/>
  <c r="R13" i="15"/>
  <c r="L12" i="15"/>
  <c r="L8" i="15"/>
  <c r="L55" i="15"/>
  <c r="L51" i="15"/>
  <c r="L47" i="15"/>
  <c r="L43" i="15"/>
  <c r="L39" i="15"/>
  <c r="L35" i="15"/>
  <c r="L31" i="15"/>
  <c r="L18" i="15"/>
  <c r="L6" i="15"/>
  <c r="L15" i="15"/>
  <c r="L7" i="15"/>
  <c r="L46" i="15"/>
  <c r="L42" i="15"/>
  <c r="L38" i="15"/>
  <c r="L34" i="15"/>
  <c r="L30" i="15"/>
  <c r="L11" i="15"/>
  <c r="L14" i="15"/>
  <c r="L57" i="15"/>
  <c r="L45" i="15"/>
  <c r="L41" i="15"/>
  <c r="L37" i="15"/>
  <c r="L33" i="15"/>
  <c r="L70" i="15"/>
  <c r="L13" i="15"/>
  <c r="L56" i="15"/>
  <c r="L44" i="15"/>
  <c r="L40" i="15"/>
  <c r="L36" i="15"/>
  <c r="L32" i="15"/>
  <c r="L19" i="15"/>
  <c r="L17" i="15"/>
  <c r="L16" i="15"/>
  <c r="S5" i="15" l="1"/>
  <c r="L5" i="15"/>
  <c r="C27" i="3" l="1"/>
  <c r="C29" i="3"/>
  <c r="D5" i="3" s="1"/>
  <c r="C28" i="2"/>
  <c r="I11" i="3" l="1"/>
  <c r="K11" i="3" s="1"/>
  <c r="D18" i="3"/>
  <c r="D10" i="3"/>
  <c r="I23" i="3"/>
  <c r="K23" i="3" s="1"/>
  <c r="I15" i="3"/>
  <c r="K15" i="3" s="1"/>
  <c r="I7" i="3"/>
  <c r="K7" i="3" s="1"/>
  <c r="I19" i="3"/>
  <c r="K19" i="3" s="1"/>
  <c r="D22" i="3"/>
  <c r="D14" i="3"/>
  <c r="D6" i="3"/>
  <c r="I24" i="3"/>
  <c r="D23" i="3"/>
  <c r="I20" i="3"/>
  <c r="K20" i="3" s="1"/>
  <c r="D19" i="3"/>
  <c r="I16" i="3"/>
  <c r="K16" i="3" s="1"/>
  <c r="D15" i="3"/>
  <c r="I12" i="3"/>
  <c r="K12" i="3" s="1"/>
  <c r="D11" i="3"/>
  <c r="I8" i="3"/>
  <c r="K8" i="3" s="1"/>
  <c r="D7" i="3"/>
  <c r="D24" i="3"/>
  <c r="I21" i="3"/>
  <c r="K21" i="3" s="1"/>
  <c r="D20" i="3"/>
  <c r="I17" i="3"/>
  <c r="K17" i="3" s="1"/>
  <c r="D16" i="3"/>
  <c r="I13" i="3"/>
  <c r="K13" i="3" s="1"/>
  <c r="D12" i="3"/>
  <c r="I9" i="3"/>
  <c r="K9" i="3" s="1"/>
  <c r="D8" i="3"/>
  <c r="I5" i="3"/>
  <c r="I22" i="3"/>
  <c r="K22" i="3" s="1"/>
  <c r="D21" i="3"/>
  <c r="I18" i="3"/>
  <c r="K18" i="3" s="1"/>
  <c r="D17" i="3"/>
  <c r="I14" i="3"/>
  <c r="K14" i="3" s="1"/>
  <c r="D13" i="3"/>
  <c r="I10" i="3"/>
  <c r="K10" i="3" s="1"/>
  <c r="D9" i="3"/>
  <c r="I6" i="3"/>
  <c r="K6" i="3" s="1"/>
  <c r="D6" i="2"/>
  <c r="D24" i="2"/>
  <c r="D22" i="2"/>
  <c r="D20" i="2"/>
  <c r="D18" i="2"/>
  <c r="D16" i="2"/>
  <c r="D14" i="2"/>
  <c r="D12" i="2"/>
  <c r="D10" i="2"/>
  <c r="D8" i="2"/>
  <c r="D23" i="2"/>
  <c r="D21" i="2"/>
  <c r="D19" i="2"/>
  <c r="D17" i="2"/>
  <c r="D15" i="2"/>
  <c r="D13" i="2"/>
  <c r="D11" i="2"/>
  <c r="D9" i="2"/>
  <c r="D7" i="2"/>
  <c r="M9" i="3" l="1"/>
  <c r="K5" i="3"/>
  <c r="M8" i="3" s="1"/>
  <c r="D27" i="3"/>
  <c r="D30" i="2"/>
  <c r="I5" i="2" s="1"/>
  <c r="D28" i="2"/>
  <c r="K28" i="3" l="1"/>
  <c r="I16" i="2"/>
  <c r="I11" i="2"/>
  <c r="I19" i="2"/>
  <c r="I21" i="2"/>
  <c r="I23" i="2"/>
  <c r="I8" i="2"/>
  <c r="I15" i="2"/>
  <c r="I13" i="2"/>
  <c r="I17" i="2"/>
  <c r="I22" i="2"/>
  <c r="I7" i="2"/>
  <c r="I20" i="2"/>
  <c r="I18" i="2"/>
  <c r="I24" i="2"/>
  <c r="I9" i="2"/>
  <c r="I14" i="2"/>
  <c r="I10" i="2"/>
  <c r="I12" i="2"/>
  <c r="I6" i="2"/>
</calcChain>
</file>

<file path=xl/sharedStrings.xml><?xml version="1.0" encoding="utf-8"?>
<sst xmlns="http://schemas.openxmlformats.org/spreadsheetml/2006/main" count="894" uniqueCount="354">
  <si>
    <r>
      <rPr>
        <b/>
        <sz val="10"/>
        <color indexed="18"/>
        <rFont val="Arial"/>
        <family val="2"/>
      </rPr>
      <t>Borates</t>
    </r>
    <r>
      <rPr>
        <sz val="10"/>
        <rFont val="Arial"/>
        <family val="2"/>
      </rPr>
      <t xml:space="preserve"> and </t>
    </r>
    <r>
      <rPr>
        <b/>
        <sz val="10"/>
        <color indexed="18"/>
        <rFont val="Arial"/>
        <family val="2"/>
      </rPr>
      <t>phosphate</t>
    </r>
    <r>
      <rPr>
        <sz val="10"/>
        <rFont val="Arial"/>
        <family val="2"/>
      </rPr>
      <t xml:space="preserve"> are melted even at lower temperature of 1000 - 1200°C, depending on liquidus.</t>
    </r>
  </si>
  <si>
    <r>
      <rPr>
        <b/>
        <sz val="10"/>
        <color indexed="10"/>
        <rFont val="Arial"/>
        <family val="2"/>
      </rPr>
      <t>Alkali silicates</t>
    </r>
    <r>
      <rPr>
        <sz val="10"/>
        <rFont val="Arial"/>
        <family val="2"/>
      </rPr>
      <t xml:space="preserve"> should be melted at lower temperature, to reduce alkali loss.</t>
    </r>
  </si>
  <si>
    <t>Crushing and re-melting further increases homogeneity.</t>
  </si>
  <si>
    <t>After complete melting, the melt should stay for 3-4 h at 1600°C for homogenization and for fining.</t>
  </si>
  <si>
    <r>
      <t xml:space="preserve">For </t>
    </r>
    <r>
      <rPr>
        <b/>
        <sz val="10"/>
        <color indexed="10"/>
        <rFont val="Arial"/>
        <family val="2"/>
      </rPr>
      <t>aluminosilicates</t>
    </r>
    <r>
      <rPr>
        <sz val="10"/>
        <rFont val="Arial"/>
        <family val="2"/>
      </rPr>
      <t xml:space="preserve"> (Rhyolite, dacite, andesite, basalt, trachyte, phonolite) the mixture may be inserted stepwise in a hot crucible with heating in the chamber furnace at 1600°C in between. </t>
    </r>
  </si>
  <si>
    <t>Depends very strongly on the composition, i.e. on melt viscosity and liquidus temperature!</t>
  </si>
  <si>
    <t>Heating program:</t>
  </si>
  <si>
    <t>g/100mol</t>
  </si>
  <si>
    <t>mol/100 g</t>
  </si>
  <si>
    <t>Sum</t>
  </si>
  <si>
    <t>Dried at 300°C for  24h (Klimm)</t>
  </si>
  <si>
    <r>
      <t>CaF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and AlF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 xml:space="preserve"> are other possibilities</t>
    </r>
  </si>
  <si>
    <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SiF</t>
    </r>
    <r>
      <rPr>
        <vertAlign val="subscript"/>
        <sz val="10"/>
        <rFont val="Arial"/>
        <family val="2"/>
      </rPr>
      <t>6</t>
    </r>
    <r>
      <rPr>
        <sz val="10"/>
        <rFont val="Arial"/>
        <family val="2"/>
      </rPr>
      <t xml:space="preserve"> </t>
    </r>
  </si>
  <si>
    <t>F</t>
  </si>
  <si>
    <r>
      <t>CaSO</t>
    </r>
    <r>
      <rPr>
        <vertAlign val="subscript"/>
        <sz val="10"/>
        <rFont val="Arial"/>
        <family val="2"/>
      </rPr>
      <t>4</t>
    </r>
  </si>
  <si>
    <t>S</t>
  </si>
  <si>
    <r>
      <t>Dried (NH</t>
    </r>
    <r>
      <rPr>
        <vertAlign val="subscript"/>
        <sz val="10"/>
        <rFont val="Arial"/>
        <family val="2"/>
      </rPr>
      <t>4</t>
    </r>
    <r>
      <rPr>
        <sz val="10"/>
        <rFont val="Arial"/>
        <family val="2"/>
      </rPr>
      <t>)H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PO</t>
    </r>
    <r>
      <rPr>
        <vertAlign val="subscript"/>
        <sz val="10"/>
        <rFont val="Arial"/>
        <family val="2"/>
      </rPr>
      <t>4</t>
    </r>
    <r>
      <rPr>
        <sz val="10"/>
        <rFont val="Arial"/>
        <family val="2"/>
      </rPr>
      <t xml:space="preserve"> at 150°C (no more because melting temperature is 190°C) (Parat)</t>
    </r>
  </si>
  <si>
    <r>
      <t>(NH</t>
    </r>
    <r>
      <rPr>
        <vertAlign val="subscript"/>
        <sz val="10"/>
        <rFont val="Arial"/>
        <family val="2"/>
      </rPr>
      <t>4</t>
    </r>
    <r>
      <rPr>
        <sz val="10"/>
        <rFont val="Arial"/>
        <family val="2"/>
      </rPr>
      <t>)H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PO</t>
    </r>
    <r>
      <rPr>
        <vertAlign val="subscript"/>
        <sz val="10"/>
        <rFont val="Arial"/>
        <family val="2"/>
      </rPr>
      <t>4</t>
    </r>
  </si>
  <si>
    <r>
      <t>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</si>
  <si>
    <r>
      <t>Cs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CO</t>
    </r>
    <r>
      <rPr>
        <vertAlign val="subscript"/>
        <sz val="10"/>
        <rFont val="Arial"/>
        <family val="2"/>
      </rPr>
      <t>3</t>
    </r>
  </si>
  <si>
    <r>
      <t>Cs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</si>
  <si>
    <r>
      <t>Rb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CO</t>
    </r>
    <r>
      <rPr>
        <vertAlign val="subscript"/>
        <sz val="10"/>
        <rFont val="Arial"/>
        <family val="2"/>
      </rPr>
      <t>3</t>
    </r>
  </si>
  <si>
    <r>
      <t>Rb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</si>
  <si>
    <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CO</t>
    </r>
    <r>
      <rPr>
        <vertAlign val="subscript"/>
        <sz val="10"/>
        <rFont val="Arial"/>
        <family val="2"/>
      </rPr>
      <t>3</t>
    </r>
  </si>
  <si>
    <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</si>
  <si>
    <r>
      <t>Na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CO</t>
    </r>
    <r>
      <rPr>
        <vertAlign val="subscript"/>
        <sz val="10"/>
        <rFont val="Arial"/>
        <family val="2"/>
      </rPr>
      <t>3</t>
    </r>
  </si>
  <si>
    <r>
      <t>Na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</si>
  <si>
    <r>
      <t>Li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CO</t>
    </r>
    <r>
      <rPr>
        <vertAlign val="subscript"/>
        <sz val="10"/>
        <rFont val="Arial"/>
        <family val="2"/>
      </rPr>
      <t>3</t>
    </r>
  </si>
  <si>
    <r>
      <t>Li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</si>
  <si>
    <t>PbO</t>
  </si>
  <si>
    <r>
      <t>BaCO</t>
    </r>
    <r>
      <rPr>
        <vertAlign val="subscript"/>
        <sz val="10"/>
        <rFont val="Arial"/>
        <family val="2"/>
      </rPr>
      <t>3</t>
    </r>
  </si>
  <si>
    <t>BaO</t>
  </si>
  <si>
    <r>
      <t>SrCO</t>
    </r>
    <r>
      <rPr>
        <vertAlign val="subscript"/>
        <sz val="10"/>
        <rFont val="Arial"/>
        <family val="2"/>
      </rPr>
      <t>3</t>
    </r>
  </si>
  <si>
    <t>SrO</t>
  </si>
  <si>
    <r>
      <t>CaCO</t>
    </r>
    <r>
      <rPr>
        <vertAlign val="subscript"/>
        <sz val="10"/>
        <rFont val="Arial"/>
        <family val="2"/>
      </rPr>
      <t>3</t>
    </r>
  </si>
  <si>
    <t>CaO</t>
  </si>
  <si>
    <r>
      <t>absorbs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, 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</si>
  <si>
    <t>MgO</t>
  </si>
  <si>
    <t>alternative?</t>
  </si>
  <si>
    <r>
      <t>Mn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4</t>
    </r>
  </si>
  <si>
    <t>MnO</t>
  </si>
  <si>
    <r>
      <t>Fe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3</t>
    </r>
  </si>
  <si>
    <t>FeO</t>
  </si>
  <si>
    <r>
      <t>Ga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3</t>
    </r>
  </si>
  <si>
    <r>
      <t>absorbs 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</si>
  <si>
    <r>
      <t>Al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3</t>
    </r>
  </si>
  <si>
    <r>
      <t>H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>BO</t>
    </r>
    <r>
      <rPr>
        <vertAlign val="subscript"/>
        <sz val="10"/>
        <rFont val="Arial"/>
        <family val="2"/>
      </rPr>
      <t>3</t>
    </r>
  </si>
  <si>
    <r>
      <t>B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3</t>
    </r>
  </si>
  <si>
    <r>
      <t>TiO</t>
    </r>
    <r>
      <rPr>
        <vertAlign val="subscript"/>
        <sz val="10"/>
        <rFont val="Arial"/>
        <family val="2"/>
      </rPr>
      <t>2</t>
    </r>
  </si>
  <si>
    <r>
      <t>GeO</t>
    </r>
    <r>
      <rPr>
        <vertAlign val="subscript"/>
        <sz val="10"/>
        <rFont val="Arial"/>
        <family val="2"/>
      </rPr>
      <t>2</t>
    </r>
  </si>
  <si>
    <t>silica glass!!!</t>
  </si>
  <si>
    <r>
      <t>SiO</t>
    </r>
    <r>
      <rPr>
        <vertAlign val="subscript"/>
        <sz val="10"/>
        <rFont val="Arial"/>
        <family val="2"/>
      </rPr>
      <t>2</t>
    </r>
  </si>
  <si>
    <t>components (g)</t>
  </si>
  <si>
    <t>Molmasse(g/mol)</t>
  </si>
  <si>
    <t>Oxide</t>
  </si>
  <si>
    <t>(g/mol)</t>
  </si>
  <si>
    <t>mol%</t>
  </si>
  <si>
    <r>
      <t>wt%</t>
    </r>
    <r>
      <rPr>
        <sz val="10"/>
        <rFont val="Arial"/>
        <family val="2"/>
      </rPr>
      <t xml:space="preserve"> </t>
    </r>
  </si>
  <si>
    <t>Mass of glass (g)</t>
  </si>
  <si>
    <t>Remarks</t>
  </si>
  <si>
    <t>Starting materials</t>
  </si>
  <si>
    <t>Glass composition</t>
  </si>
  <si>
    <t>Molar weight</t>
  </si>
  <si>
    <t>Program to calculate glass compositions. Input: Composition in wt% and mass of glass in g.</t>
  </si>
  <si>
    <t>g/100 mol</t>
  </si>
  <si>
    <r>
      <t>CaF</t>
    </r>
    <r>
      <rPr>
        <vertAlign val="subscript"/>
        <sz val="10"/>
        <rFont val="Arial"/>
        <family val="2"/>
      </rPr>
      <t>2</t>
    </r>
    <r>
      <rPr>
        <sz val="12"/>
        <color theme="1"/>
        <rFont val="Calibri"/>
        <family val="2"/>
        <scheme val="minor"/>
      </rPr>
      <t xml:space="preserve"> and AlF</t>
    </r>
    <r>
      <rPr>
        <vertAlign val="subscript"/>
        <sz val="10"/>
        <rFont val="Arial"/>
        <family val="2"/>
      </rPr>
      <t>3</t>
    </r>
    <r>
      <rPr>
        <sz val="12"/>
        <color theme="1"/>
        <rFont val="Calibri"/>
        <family val="2"/>
        <scheme val="minor"/>
      </rPr>
      <t xml:space="preserve"> are other possibilities</t>
    </r>
  </si>
  <si>
    <r>
      <t>K</t>
    </r>
    <r>
      <rPr>
        <vertAlign val="subscript"/>
        <sz val="10"/>
        <rFont val="Arial"/>
        <family val="2"/>
      </rPr>
      <t>2</t>
    </r>
    <r>
      <rPr>
        <sz val="12"/>
        <color theme="1"/>
        <rFont val="Calibri"/>
        <family val="2"/>
        <scheme val="minor"/>
      </rPr>
      <t>SiF</t>
    </r>
    <r>
      <rPr>
        <vertAlign val="subscript"/>
        <sz val="10"/>
        <rFont val="Arial"/>
        <family val="2"/>
      </rPr>
      <t>6</t>
    </r>
    <r>
      <rPr>
        <sz val="12"/>
        <color theme="1"/>
        <rFont val="Calibri"/>
        <family val="2"/>
        <scheme val="minor"/>
      </rPr>
      <t xml:space="preserve"> </t>
    </r>
  </si>
  <si>
    <r>
      <t>(NH</t>
    </r>
    <r>
      <rPr>
        <vertAlign val="subscript"/>
        <sz val="10"/>
        <rFont val="Arial"/>
        <family val="2"/>
      </rPr>
      <t>4</t>
    </r>
    <r>
      <rPr>
        <sz val="12"/>
        <color theme="1"/>
        <rFont val="Calibri"/>
        <family val="2"/>
        <scheme val="minor"/>
      </rPr>
      <t>)H</t>
    </r>
    <r>
      <rPr>
        <vertAlign val="subscript"/>
        <sz val="10"/>
        <rFont val="Arial"/>
        <family val="2"/>
      </rPr>
      <t>2</t>
    </r>
    <r>
      <rPr>
        <sz val="12"/>
        <color theme="1"/>
        <rFont val="Calibri"/>
        <family val="2"/>
        <scheme val="minor"/>
      </rPr>
      <t>PO</t>
    </r>
    <r>
      <rPr>
        <vertAlign val="subscript"/>
        <sz val="10"/>
        <rFont val="Arial"/>
        <family val="2"/>
      </rPr>
      <t>4</t>
    </r>
  </si>
  <si>
    <r>
      <t>P</t>
    </r>
    <r>
      <rPr>
        <vertAlign val="subscript"/>
        <sz val="10"/>
        <rFont val="Arial"/>
        <family val="2"/>
      </rPr>
      <t>2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0"/>
        <rFont val="Arial"/>
        <family val="2"/>
      </rPr>
      <t>5</t>
    </r>
  </si>
  <si>
    <r>
      <t>Cs</t>
    </r>
    <r>
      <rPr>
        <vertAlign val="subscript"/>
        <sz val="10"/>
        <rFont val="Arial"/>
        <family val="2"/>
      </rPr>
      <t>2</t>
    </r>
    <r>
      <rPr>
        <sz val="12"/>
        <color theme="1"/>
        <rFont val="Calibri"/>
        <family val="2"/>
        <scheme val="minor"/>
      </rPr>
      <t>CO</t>
    </r>
    <r>
      <rPr>
        <vertAlign val="subscript"/>
        <sz val="10"/>
        <rFont val="Arial"/>
        <family val="2"/>
      </rPr>
      <t>3</t>
    </r>
  </si>
  <si>
    <r>
      <t>Cs</t>
    </r>
    <r>
      <rPr>
        <vertAlign val="subscript"/>
        <sz val="10"/>
        <rFont val="Arial"/>
        <family val="2"/>
      </rPr>
      <t>2</t>
    </r>
    <r>
      <rPr>
        <sz val="12"/>
        <color theme="1"/>
        <rFont val="Calibri"/>
        <family val="2"/>
        <scheme val="minor"/>
      </rPr>
      <t>O</t>
    </r>
  </si>
  <si>
    <r>
      <t>Rb</t>
    </r>
    <r>
      <rPr>
        <vertAlign val="subscript"/>
        <sz val="10"/>
        <rFont val="Arial"/>
        <family val="2"/>
      </rPr>
      <t>2</t>
    </r>
    <r>
      <rPr>
        <sz val="12"/>
        <color theme="1"/>
        <rFont val="Calibri"/>
        <family val="2"/>
        <scheme val="minor"/>
      </rPr>
      <t>CO</t>
    </r>
    <r>
      <rPr>
        <vertAlign val="subscript"/>
        <sz val="10"/>
        <rFont val="Arial"/>
        <family val="2"/>
      </rPr>
      <t>3</t>
    </r>
  </si>
  <si>
    <r>
      <t>Rb</t>
    </r>
    <r>
      <rPr>
        <vertAlign val="subscript"/>
        <sz val="10"/>
        <rFont val="Arial"/>
        <family val="2"/>
      </rPr>
      <t>2</t>
    </r>
    <r>
      <rPr>
        <sz val="12"/>
        <color theme="1"/>
        <rFont val="Calibri"/>
        <family val="2"/>
        <scheme val="minor"/>
      </rPr>
      <t>O</t>
    </r>
  </si>
  <si>
    <r>
      <t>K</t>
    </r>
    <r>
      <rPr>
        <vertAlign val="subscript"/>
        <sz val="10"/>
        <rFont val="Arial"/>
        <family val="2"/>
      </rPr>
      <t>2</t>
    </r>
    <r>
      <rPr>
        <sz val="12"/>
        <color theme="1"/>
        <rFont val="Calibri"/>
        <family val="2"/>
        <scheme val="minor"/>
      </rPr>
      <t>CO</t>
    </r>
    <r>
      <rPr>
        <vertAlign val="subscript"/>
        <sz val="10"/>
        <rFont val="Arial"/>
        <family val="2"/>
      </rPr>
      <t>3</t>
    </r>
  </si>
  <si>
    <r>
      <t>K</t>
    </r>
    <r>
      <rPr>
        <vertAlign val="subscript"/>
        <sz val="10"/>
        <rFont val="Arial"/>
        <family val="2"/>
      </rPr>
      <t>2</t>
    </r>
    <r>
      <rPr>
        <sz val="12"/>
        <color theme="1"/>
        <rFont val="Calibri"/>
        <family val="2"/>
        <scheme val="minor"/>
      </rPr>
      <t>O</t>
    </r>
  </si>
  <si>
    <r>
      <t>Na</t>
    </r>
    <r>
      <rPr>
        <vertAlign val="subscript"/>
        <sz val="10"/>
        <rFont val="Arial"/>
        <family val="2"/>
      </rPr>
      <t>2</t>
    </r>
    <r>
      <rPr>
        <sz val="12"/>
        <color theme="1"/>
        <rFont val="Calibri"/>
        <family val="2"/>
        <scheme val="minor"/>
      </rPr>
      <t>CO</t>
    </r>
    <r>
      <rPr>
        <vertAlign val="subscript"/>
        <sz val="10"/>
        <rFont val="Arial"/>
        <family val="2"/>
      </rPr>
      <t>3</t>
    </r>
  </si>
  <si>
    <r>
      <t>Na</t>
    </r>
    <r>
      <rPr>
        <vertAlign val="subscript"/>
        <sz val="10"/>
        <rFont val="Arial"/>
        <family val="2"/>
      </rPr>
      <t>2</t>
    </r>
    <r>
      <rPr>
        <sz val="12"/>
        <color theme="1"/>
        <rFont val="Calibri"/>
        <family val="2"/>
        <scheme val="minor"/>
      </rPr>
      <t>O</t>
    </r>
  </si>
  <si>
    <r>
      <t>Li</t>
    </r>
    <r>
      <rPr>
        <vertAlign val="subscript"/>
        <sz val="10"/>
        <rFont val="Arial"/>
        <family val="2"/>
      </rPr>
      <t>2</t>
    </r>
    <r>
      <rPr>
        <sz val="12"/>
        <color theme="1"/>
        <rFont val="Calibri"/>
        <family val="2"/>
        <scheme val="minor"/>
      </rPr>
      <t>CO</t>
    </r>
    <r>
      <rPr>
        <vertAlign val="subscript"/>
        <sz val="10"/>
        <rFont val="Arial"/>
        <family val="2"/>
      </rPr>
      <t>3</t>
    </r>
  </si>
  <si>
    <r>
      <t>Li</t>
    </r>
    <r>
      <rPr>
        <vertAlign val="subscript"/>
        <sz val="10"/>
        <rFont val="Arial"/>
        <family val="2"/>
      </rPr>
      <t>2</t>
    </r>
    <r>
      <rPr>
        <sz val="12"/>
        <color theme="1"/>
        <rFont val="Calibri"/>
        <family val="2"/>
        <scheme val="minor"/>
      </rPr>
      <t>O</t>
    </r>
  </si>
  <si>
    <r>
      <t>absorbs CO</t>
    </r>
    <r>
      <rPr>
        <vertAlign val="subscript"/>
        <sz val="10"/>
        <rFont val="Arial"/>
        <family val="2"/>
      </rPr>
      <t>2</t>
    </r>
    <r>
      <rPr>
        <sz val="12"/>
        <color theme="1"/>
        <rFont val="Calibri"/>
        <family val="2"/>
        <scheme val="minor"/>
      </rPr>
      <t>, H</t>
    </r>
    <r>
      <rPr>
        <vertAlign val="subscript"/>
        <sz val="10"/>
        <rFont val="Arial"/>
        <family val="2"/>
      </rPr>
      <t>2</t>
    </r>
    <r>
      <rPr>
        <sz val="12"/>
        <color theme="1"/>
        <rFont val="Calibri"/>
        <family val="2"/>
        <scheme val="minor"/>
      </rPr>
      <t>O</t>
    </r>
  </si>
  <si>
    <r>
      <t>Mn</t>
    </r>
    <r>
      <rPr>
        <vertAlign val="subscript"/>
        <sz val="10"/>
        <rFont val="Arial"/>
        <family val="2"/>
      </rPr>
      <t>3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0"/>
        <rFont val="Arial"/>
        <family val="2"/>
      </rPr>
      <t>4</t>
    </r>
  </si>
  <si>
    <r>
      <t>Fe</t>
    </r>
    <r>
      <rPr>
        <vertAlign val="subscript"/>
        <sz val="10"/>
        <rFont val="Arial"/>
        <family val="2"/>
      </rPr>
      <t>2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0"/>
        <rFont val="Arial"/>
        <family val="2"/>
      </rPr>
      <t>3</t>
    </r>
  </si>
  <si>
    <r>
      <t>Ga</t>
    </r>
    <r>
      <rPr>
        <vertAlign val="subscript"/>
        <sz val="10"/>
        <rFont val="Arial"/>
        <family val="2"/>
      </rPr>
      <t>2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0"/>
        <rFont val="Arial"/>
        <family val="2"/>
      </rPr>
      <t>3</t>
    </r>
  </si>
  <si>
    <r>
      <t>absorbs H</t>
    </r>
    <r>
      <rPr>
        <vertAlign val="subscript"/>
        <sz val="10"/>
        <rFont val="Arial"/>
        <family val="2"/>
      </rPr>
      <t>2</t>
    </r>
    <r>
      <rPr>
        <sz val="12"/>
        <color theme="1"/>
        <rFont val="Calibri"/>
        <family val="2"/>
        <scheme val="minor"/>
      </rPr>
      <t>O</t>
    </r>
  </si>
  <si>
    <r>
      <t>Al</t>
    </r>
    <r>
      <rPr>
        <vertAlign val="subscript"/>
        <sz val="10"/>
        <rFont val="Arial"/>
        <family val="2"/>
      </rPr>
      <t>2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0"/>
        <rFont val="Arial"/>
        <family val="2"/>
      </rPr>
      <t>3</t>
    </r>
  </si>
  <si>
    <r>
      <t>H</t>
    </r>
    <r>
      <rPr>
        <vertAlign val="subscript"/>
        <sz val="10"/>
        <rFont val="Arial"/>
        <family val="2"/>
      </rPr>
      <t>3</t>
    </r>
    <r>
      <rPr>
        <sz val="12"/>
        <color theme="1"/>
        <rFont val="Calibri"/>
        <family val="2"/>
        <scheme val="minor"/>
      </rPr>
      <t>BO</t>
    </r>
    <r>
      <rPr>
        <vertAlign val="subscript"/>
        <sz val="10"/>
        <rFont val="Arial"/>
        <family val="2"/>
      </rPr>
      <t>3</t>
    </r>
  </si>
  <si>
    <r>
      <t>B</t>
    </r>
    <r>
      <rPr>
        <vertAlign val="subscript"/>
        <sz val="10"/>
        <rFont val="Arial"/>
        <family val="2"/>
      </rPr>
      <t>2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0"/>
        <rFont val="Arial"/>
        <family val="2"/>
      </rPr>
      <t>3</t>
    </r>
  </si>
  <si>
    <t>wt%</t>
  </si>
  <si>
    <r>
      <t>mol%</t>
    </r>
    <r>
      <rPr>
        <sz val="12"/>
        <color theme="1"/>
        <rFont val="Calibri"/>
        <family val="2"/>
        <scheme val="minor"/>
      </rPr>
      <t xml:space="preserve"> </t>
    </r>
  </si>
  <si>
    <r>
      <t>Program to calculate glass compositions.</t>
    </r>
    <r>
      <rPr>
        <sz val="10"/>
        <color indexed="10"/>
        <rFont val="Arial"/>
        <family val="2"/>
      </rPr>
      <t xml:space="preserve"> Input: Composition in mol% and mass of glass in g.</t>
    </r>
  </si>
  <si>
    <t>SiO2</t>
  </si>
  <si>
    <t>M</t>
  </si>
  <si>
    <t>G</t>
  </si>
  <si>
    <t>vl</t>
  </si>
  <si>
    <t>vt</t>
  </si>
  <si>
    <t>K/G</t>
  </si>
  <si>
    <t>NS10</t>
  </si>
  <si>
    <t>NS15</t>
  </si>
  <si>
    <t>NS20</t>
  </si>
  <si>
    <t>NS25</t>
  </si>
  <si>
    <t>NS30</t>
  </si>
  <si>
    <t>NS35</t>
  </si>
  <si>
    <t>NS40</t>
  </si>
  <si>
    <t>rho</t>
  </si>
  <si>
    <t>DGG</t>
  </si>
  <si>
    <t>str</t>
  </si>
  <si>
    <t>An</t>
  </si>
  <si>
    <t>Di</t>
  </si>
  <si>
    <t>GeO2</t>
  </si>
  <si>
    <t>E</t>
  </si>
  <si>
    <t>MSA</t>
  </si>
  <si>
    <t>NBS710</t>
  </si>
  <si>
    <t>RMSE</t>
  </si>
  <si>
    <t>RhJ</t>
  </si>
  <si>
    <t>RhD</t>
  </si>
  <si>
    <t>RhI</t>
  </si>
  <si>
    <t>RhH</t>
  </si>
  <si>
    <t>RhE</t>
  </si>
  <si>
    <t>RhA</t>
  </si>
  <si>
    <t>v</t>
  </si>
  <si>
    <t>And</t>
  </si>
  <si>
    <t>And (1)</t>
  </si>
  <si>
    <t>And (2.7)</t>
  </si>
  <si>
    <t>And (3.5)</t>
  </si>
  <si>
    <t>Bas</t>
  </si>
  <si>
    <t>Phon</t>
  </si>
  <si>
    <t>Trach</t>
  </si>
  <si>
    <t>Teph</t>
  </si>
  <si>
    <t>Foid</t>
  </si>
  <si>
    <t>Foid (1.00)</t>
  </si>
  <si>
    <t>Foid (1.35)</t>
  </si>
  <si>
    <t>Foid (1.88)</t>
  </si>
  <si>
    <t>HPG8_Na05</t>
  </si>
  <si>
    <t>HPG8_K05</t>
  </si>
  <si>
    <t>HPG8_Li05</t>
  </si>
  <si>
    <r>
      <t>Bas (3.02)</t>
    </r>
    <r>
      <rPr>
        <vertAlign val="superscript"/>
        <sz val="12"/>
        <color theme="1"/>
        <rFont val="Calibri"/>
        <family val="2"/>
        <scheme val="minor"/>
      </rPr>
      <t>*</t>
    </r>
  </si>
  <si>
    <r>
      <t>Phon (0.88)</t>
    </r>
    <r>
      <rPr>
        <vertAlign val="superscript"/>
        <sz val="12"/>
        <color theme="1"/>
        <rFont val="Calibri"/>
        <family val="2"/>
        <scheme val="minor"/>
      </rPr>
      <t>*</t>
    </r>
  </si>
  <si>
    <r>
      <t>Phon (2.15)</t>
    </r>
    <r>
      <rPr>
        <vertAlign val="superscript"/>
        <sz val="12"/>
        <color theme="1"/>
        <rFont val="Calibri"/>
        <family val="2"/>
        <scheme val="minor"/>
      </rPr>
      <t>*</t>
    </r>
  </si>
  <si>
    <r>
      <t>Phon (2.83)</t>
    </r>
    <r>
      <rPr>
        <vertAlign val="superscript"/>
        <sz val="12"/>
        <color theme="1"/>
        <rFont val="Calibri"/>
        <family val="2"/>
        <scheme val="minor"/>
      </rPr>
      <t>*</t>
    </r>
  </si>
  <si>
    <r>
      <t>Phon (4.72)</t>
    </r>
    <r>
      <rPr>
        <vertAlign val="superscript"/>
        <sz val="12"/>
        <color theme="1"/>
        <rFont val="Calibri"/>
        <family val="2"/>
        <scheme val="minor"/>
      </rPr>
      <t>*</t>
    </r>
  </si>
  <si>
    <r>
      <t>Trach (0.57)</t>
    </r>
    <r>
      <rPr>
        <vertAlign val="superscript"/>
        <sz val="12"/>
        <color theme="1"/>
        <rFont val="Calibri"/>
        <family val="2"/>
        <scheme val="minor"/>
      </rPr>
      <t>*</t>
    </r>
  </si>
  <si>
    <r>
      <t>Trach (0.83)</t>
    </r>
    <r>
      <rPr>
        <vertAlign val="superscript"/>
        <sz val="12"/>
        <color theme="1"/>
        <rFont val="Calibri"/>
        <family val="2"/>
        <scheme val="minor"/>
      </rPr>
      <t>*</t>
    </r>
  </si>
  <si>
    <r>
      <t>Trach (1.19)</t>
    </r>
    <r>
      <rPr>
        <vertAlign val="superscript"/>
        <sz val="12"/>
        <color theme="1"/>
        <rFont val="Calibri"/>
        <family val="2"/>
        <scheme val="minor"/>
      </rPr>
      <t>*</t>
    </r>
  </si>
  <si>
    <r>
      <t>Trach (2.19)</t>
    </r>
    <r>
      <rPr>
        <vertAlign val="superscript"/>
        <sz val="12"/>
        <color theme="1"/>
        <rFont val="Calibri"/>
        <family val="2"/>
        <scheme val="minor"/>
      </rPr>
      <t>*</t>
    </r>
  </si>
  <si>
    <r>
      <t>Trach (2.90)</t>
    </r>
    <r>
      <rPr>
        <vertAlign val="superscript"/>
        <sz val="12"/>
        <color theme="1"/>
        <rFont val="Calibri"/>
        <family val="2"/>
        <scheme val="minor"/>
      </rPr>
      <t>*</t>
    </r>
  </si>
  <si>
    <r>
      <t>Trach (4.92)</t>
    </r>
    <r>
      <rPr>
        <vertAlign val="superscript"/>
        <sz val="12"/>
        <color theme="1"/>
        <rFont val="Calibri"/>
        <family val="2"/>
        <scheme val="minor"/>
      </rPr>
      <t>*</t>
    </r>
  </si>
  <si>
    <r>
      <t>Teph (0.92)</t>
    </r>
    <r>
      <rPr>
        <vertAlign val="superscript"/>
        <sz val="12"/>
        <color theme="1"/>
        <rFont val="Calibri"/>
        <family val="2"/>
        <scheme val="minor"/>
      </rPr>
      <t>*</t>
    </r>
  </si>
  <si>
    <r>
      <t>Teph (1.60)</t>
    </r>
    <r>
      <rPr>
        <vertAlign val="superscript"/>
        <sz val="12"/>
        <color theme="1"/>
        <rFont val="Calibri"/>
        <family val="2"/>
        <scheme val="minor"/>
      </rPr>
      <t>*</t>
    </r>
  </si>
  <si>
    <r>
      <t>Teph (2.27)</t>
    </r>
    <r>
      <rPr>
        <vertAlign val="superscript"/>
        <sz val="12"/>
        <color theme="1"/>
        <rFont val="Calibri"/>
        <family val="2"/>
        <scheme val="minor"/>
      </rPr>
      <t>*</t>
    </r>
  </si>
  <si>
    <t>KS10</t>
  </si>
  <si>
    <t>KS20</t>
  </si>
  <si>
    <t>KS25</t>
  </si>
  <si>
    <t>KS33</t>
  </si>
  <si>
    <t>NCS5</t>
  </si>
  <si>
    <t>NCS6</t>
  </si>
  <si>
    <t>NCS7</t>
  </si>
  <si>
    <t>NCS11</t>
  </si>
  <si>
    <t>NCS12</t>
  </si>
  <si>
    <t>SLS</t>
  </si>
  <si>
    <t>BF</t>
  </si>
  <si>
    <t>BK7</t>
  </si>
  <si>
    <t>SF6</t>
  </si>
  <si>
    <t>NS45</t>
  </si>
  <si>
    <t>Ab</t>
  </si>
  <si>
    <t>Di60An40</t>
  </si>
  <si>
    <t>45S5</t>
  </si>
  <si>
    <t>CS-1</t>
  </si>
  <si>
    <t>CS-2</t>
  </si>
  <si>
    <t>NCS8</t>
  </si>
  <si>
    <t>NCS9</t>
  </si>
  <si>
    <t>LF5</t>
  </si>
  <si>
    <t>LLF1</t>
  </si>
  <si>
    <t>AZS</t>
  </si>
  <si>
    <t>PbS33</t>
  </si>
  <si>
    <t>PbS40</t>
  </si>
  <si>
    <t>PbS50</t>
  </si>
  <si>
    <t>PbS58</t>
  </si>
  <si>
    <t>PbS67</t>
  </si>
  <si>
    <t>PbS70</t>
  </si>
  <si>
    <t>M(calc)</t>
  </si>
  <si>
    <t>G(calc)</t>
  </si>
  <si>
    <t>delta G</t>
  </si>
  <si>
    <t>sommaQ</t>
  </si>
  <si>
    <t>tot</t>
  </si>
  <si>
    <t>Max</t>
  </si>
  <si>
    <t>Min</t>
  </si>
  <si>
    <t>G1</t>
  </si>
  <si>
    <t>G2</t>
  </si>
  <si>
    <t>G0</t>
  </si>
  <si>
    <t>G3</t>
  </si>
  <si>
    <t>B3</t>
  </si>
  <si>
    <t>B2</t>
  </si>
  <si>
    <t>B1</t>
  </si>
  <si>
    <t>B0</t>
  </si>
  <si>
    <t>cinesi</t>
  </si>
  <si>
    <t>giapponesi piombo</t>
  </si>
  <si>
    <t>resto di pan</t>
  </si>
  <si>
    <t>Vt (calc)</t>
  </si>
  <si>
    <t>G(calc) ln(M)</t>
  </si>
  <si>
    <t>delta G ln(M)</t>
  </si>
  <si>
    <t>sommaQ ln(M)</t>
  </si>
  <si>
    <t>RMSE ln(M)</t>
  </si>
  <si>
    <t>RhB</t>
  </si>
  <si>
    <t>P0</t>
  </si>
  <si>
    <t>P02</t>
  </si>
  <si>
    <t>P04</t>
  </si>
  <si>
    <t>P05</t>
  </si>
  <si>
    <t>P06</t>
  </si>
  <si>
    <t>P08</t>
  </si>
  <si>
    <t>P1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</si>
  <si>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</si>
  <si>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</si>
  <si>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</si>
  <si>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</si>
  <si>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</si>
  <si>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</si>
  <si>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</si>
  <si>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</si>
  <si>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</si>
  <si>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</si>
  <si>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</si>
  <si>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</si>
  <si>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</si>
  <si>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AS-1</t>
  </si>
  <si>
    <t>AS-2</t>
  </si>
  <si>
    <t>AS-3</t>
  </si>
  <si>
    <t>SABY-1</t>
  </si>
  <si>
    <t>SABY-2</t>
  </si>
  <si>
    <t>SABY-3</t>
  </si>
  <si>
    <t>SABY-4</t>
  </si>
  <si>
    <t>SABY-5</t>
  </si>
  <si>
    <t>SABY-6</t>
  </si>
  <si>
    <t>SABY-7</t>
  </si>
  <si>
    <t>Gra</t>
  </si>
  <si>
    <t>Gra (4.77)</t>
  </si>
  <si>
    <t>Gra (9.58)</t>
  </si>
  <si>
    <t>Gra (11.38)</t>
  </si>
  <si>
    <t>Alb</t>
  </si>
  <si>
    <t>Alb (0.67)</t>
  </si>
  <si>
    <t>Alb (2.39)</t>
  </si>
  <si>
    <t>Alb (3.64)</t>
  </si>
  <si>
    <t>Alb (3.77)</t>
  </si>
  <si>
    <t>Alb (6.46)</t>
  </si>
  <si>
    <t>MgSiO3</t>
  </si>
  <si>
    <r>
      <t>Mg</t>
    </r>
    <r>
      <rPr>
        <i/>
        <vertAlign val="subscript"/>
        <sz val="12"/>
        <color theme="1"/>
        <rFont val="Times New Roman"/>
        <family val="1"/>
      </rPr>
      <t>0.79</t>
    </r>
    <r>
      <rPr>
        <i/>
        <sz val="12"/>
        <color theme="1"/>
        <rFont val="Times New Roman"/>
        <family val="1"/>
      </rPr>
      <t>Fe</t>
    </r>
    <r>
      <rPr>
        <i/>
        <vertAlign val="subscript"/>
        <sz val="12"/>
        <color theme="1"/>
        <rFont val="Times New Roman"/>
        <family val="1"/>
      </rPr>
      <t>0.10</t>
    </r>
    <r>
      <rPr>
        <i/>
        <sz val="12"/>
        <color theme="1"/>
        <rFont val="Times New Roman"/>
        <family val="1"/>
      </rPr>
      <t>Al</t>
    </r>
    <r>
      <rPr>
        <i/>
        <vertAlign val="subscript"/>
        <sz val="12"/>
        <color theme="1"/>
        <rFont val="Times New Roman"/>
        <family val="1"/>
      </rPr>
      <t>0.10</t>
    </r>
    <r>
      <rPr>
        <i/>
        <sz val="12"/>
        <color theme="1"/>
        <rFont val="Times New Roman"/>
        <family val="1"/>
      </rPr>
      <t>Si</t>
    </r>
    <r>
      <rPr>
        <i/>
        <vertAlign val="subscript"/>
        <sz val="12"/>
        <color theme="1"/>
        <rFont val="Times New Roman"/>
        <family val="1"/>
      </rPr>
      <t>0.96</t>
    </r>
    <r>
      <rPr>
        <i/>
        <sz val="12"/>
        <color theme="1"/>
        <rFont val="Times New Roman"/>
        <family val="1"/>
      </rPr>
      <t>O</t>
    </r>
    <r>
      <rPr>
        <i/>
        <vertAlign val="subscript"/>
        <sz val="12"/>
        <color theme="1"/>
        <rFont val="Times New Roman"/>
        <family val="1"/>
      </rPr>
      <t>3</t>
    </r>
    <r>
      <rPr>
        <i/>
        <sz val="12"/>
        <color theme="1"/>
        <rFont val="Times New Roman"/>
        <family val="1"/>
      </rPr>
      <t xml:space="preserve"> </t>
    </r>
  </si>
  <si>
    <r>
      <t>Mg</t>
    </r>
    <r>
      <rPr>
        <i/>
        <vertAlign val="subscript"/>
        <sz val="12"/>
        <color theme="1"/>
        <rFont val="Times New Roman"/>
        <family val="1"/>
      </rPr>
      <t>0.9</t>
    </r>
    <r>
      <rPr>
        <i/>
        <sz val="12"/>
        <color theme="1"/>
        <rFont val="Times New Roman"/>
        <family val="1"/>
      </rPr>
      <t>Fe</t>
    </r>
    <r>
      <rPr>
        <i/>
        <vertAlign val="subscript"/>
        <sz val="12"/>
        <color theme="1"/>
        <rFont val="Times New Roman"/>
        <family val="1"/>
      </rPr>
      <t>0.1</t>
    </r>
    <r>
      <rPr>
        <i/>
        <sz val="12"/>
        <color theme="1"/>
        <rFont val="Times New Roman"/>
        <family val="1"/>
      </rPr>
      <t>SiO</t>
    </r>
    <r>
      <rPr>
        <i/>
        <vertAlign val="subscript"/>
        <sz val="12"/>
        <color theme="1"/>
        <rFont val="Times New Roman"/>
        <family val="1"/>
      </rPr>
      <t>3</t>
    </r>
    <r>
      <rPr>
        <i/>
        <sz val="12"/>
        <color theme="1"/>
        <rFont val="Times New Roman"/>
        <family val="1"/>
      </rPr>
      <t xml:space="preserve"> </t>
    </r>
  </si>
  <si>
    <t>IB</t>
  </si>
  <si>
    <t>linear</t>
  </si>
  <si>
    <t>non-linear</t>
  </si>
  <si>
    <t>NA50.25</t>
  </si>
  <si>
    <t>LA50.25</t>
  </si>
  <si>
    <t>KA50.25</t>
  </si>
  <si>
    <t>MA50.25</t>
  </si>
  <si>
    <t>CA50.26</t>
  </si>
  <si>
    <t>BA50.27</t>
  </si>
  <si>
    <t>ZA50.28</t>
  </si>
  <si>
    <t>SA50.25</t>
  </si>
  <si>
    <t>Mg-CaO</t>
  </si>
  <si>
    <t>mercurio</t>
  </si>
  <si>
    <t>LS35</t>
  </si>
  <si>
    <t>LS20</t>
  </si>
  <si>
    <t>Gr100</t>
  </si>
  <si>
    <t>Gr0</t>
  </si>
  <si>
    <t>Wo100</t>
  </si>
  <si>
    <t>pyrex</t>
  </si>
  <si>
    <t>EZ-1</t>
  </si>
  <si>
    <t>S53P4</t>
  </si>
  <si>
    <t>E-glass</t>
  </si>
  <si>
    <r>
      <t>SiO</t>
    </r>
    <r>
      <rPr>
        <b/>
        <vertAlign val="subscript"/>
        <sz val="12"/>
        <color theme="1"/>
        <rFont val="Arial"/>
        <family val="2"/>
      </rPr>
      <t>2</t>
    </r>
    <r>
      <rPr>
        <b/>
        <sz val="12"/>
        <color theme="1"/>
        <rFont val="Arial"/>
        <family val="2"/>
      </rPr>
      <t xml:space="preserve"> </t>
    </r>
  </si>
  <si>
    <t xml:space="preserve">tot </t>
  </si>
  <si>
    <t>FeO (t)</t>
  </si>
  <si>
    <r>
      <t>v</t>
    </r>
    <r>
      <rPr>
        <b/>
        <i/>
        <vertAlign val="subscript"/>
        <sz val="12"/>
        <color rgb="FFFF0000"/>
        <rFont val="Arial"/>
        <family val="2"/>
      </rPr>
      <t>t</t>
    </r>
  </si>
  <si>
    <r>
      <t>v</t>
    </r>
    <r>
      <rPr>
        <b/>
        <i/>
        <vertAlign val="subscript"/>
        <sz val="12"/>
        <color rgb="FFFF0000"/>
        <rFont val="Arial"/>
        <family val="2"/>
      </rPr>
      <t>l</t>
    </r>
    <r>
      <rPr>
        <b/>
        <i/>
        <sz val="12"/>
        <color rgb="FFFF0000"/>
        <rFont val="Arial"/>
        <family val="2"/>
      </rPr>
      <t xml:space="preserve"> </t>
    </r>
  </si>
  <si>
    <t>m</t>
  </si>
  <si>
    <r>
      <t>T</t>
    </r>
    <r>
      <rPr>
        <b/>
        <i/>
        <vertAlign val="subscript"/>
        <sz val="12"/>
        <color rgb="FFFF0000"/>
        <rFont val="Arial"/>
        <family val="2"/>
      </rPr>
      <t>g</t>
    </r>
    <r>
      <rPr>
        <b/>
        <i/>
        <sz val="12"/>
        <color rgb="FFFF0000"/>
        <rFont val="Arial"/>
        <family val="2"/>
      </rPr>
      <t xml:space="preserve"> </t>
    </r>
  </si>
  <si>
    <t>r</t>
  </si>
  <si>
    <t>sample iD</t>
  </si>
  <si>
    <t>MYEGA model</t>
  </si>
  <si>
    <t>chemical composition (wt. %)</t>
  </si>
  <si>
    <t xml:space="preserve">physical properties </t>
  </si>
  <si>
    <t>Normalizated chemical composition (wt. %)</t>
  </si>
  <si>
    <t>Normalizated chemical composition (mol %)</t>
  </si>
  <si>
    <r>
      <t>SiO</t>
    </r>
    <r>
      <rPr>
        <vertAlign val="subscript"/>
        <sz val="12"/>
        <rFont val="Arial"/>
        <family val="2"/>
      </rPr>
      <t>2</t>
    </r>
    <r>
      <rPr>
        <sz val="12"/>
        <rFont val="Arial"/>
        <family val="2"/>
      </rPr>
      <t xml:space="preserve"> </t>
    </r>
  </si>
  <si>
    <r>
      <t>SiO</t>
    </r>
    <r>
      <rPr>
        <vertAlign val="subscript"/>
        <sz val="12"/>
        <rFont val="Verdana"/>
        <family val="2"/>
      </rPr>
      <t>2</t>
    </r>
  </si>
  <si>
    <r>
      <t>TiO</t>
    </r>
    <r>
      <rPr>
        <vertAlign val="subscript"/>
        <sz val="12"/>
        <rFont val="Verdana"/>
        <family val="2"/>
      </rPr>
      <t>2</t>
    </r>
  </si>
  <si>
    <r>
      <t>Al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>O</t>
    </r>
    <r>
      <rPr>
        <vertAlign val="subscript"/>
        <sz val="12"/>
        <rFont val="Verdana"/>
        <family val="2"/>
      </rPr>
      <t>3</t>
    </r>
  </si>
  <si>
    <t>FeO(T)</t>
  </si>
  <si>
    <r>
      <t>Na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>O</t>
    </r>
  </si>
  <si>
    <r>
      <t>K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>O</t>
    </r>
  </si>
  <si>
    <r>
      <t>P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>O</t>
    </r>
    <r>
      <rPr>
        <vertAlign val="subscript"/>
        <sz val="12"/>
        <rFont val="Verdana"/>
        <family val="2"/>
      </rPr>
      <t>5</t>
    </r>
  </si>
  <si>
    <r>
      <t>H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>O</t>
    </r>
  </si>
  <si>
    <r>
      <t>F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>O</t>
    </r>
    <r>
      <rPr>
        <vertAlign val="subscript"/>
        <sz val="12"/>
        <rFont val="Verdana"/>
        <family val="2"/>
      </rPr>
      <t>-1</t>
    </r>
  </si>
  <si>
    <t>Total</t>
  </si>
  <si>
    <r>
      <t>SiO</t>
    </r>
    <r>
      <rPr>
        <b/>
        <i/>
        <vertAlign val="subscript"/>
        <sz val="12"/>
        <color rgb="FFFF0000"/>
        <rFont val="Arial"/>
        <family val="2"/>
      </rPr>
      <t>2</t>
    </r>
    <r>
      <rPr>
        <b/>
        <i/>
        <sz val="12"/>
        <color rgb="FFFF0000"/>
        <rFont val="Arial"/>
        <family val="2"/>
      </rPr>
      <t xml:space="preserve"> </t>
    </r>
  </si>
  <si>
    <r>
      <t>GeO</t>
    </r>
    <r>
      <rPr>
        <b/>
        <i/>
        <vertAlign val="subscript"/>
        <sz val="12"/>
        <color rgb="FFFF0000"/>
        <rFont val="Arial"/>
        <family val="2"/>
      </rPr>
      <t>2</t>
    </r>
  </si>
  <si>
    <r>
      <t>TiO</t>
    </r>
    <r>
      <rPr>
        <b/>
        <i/>
        <vertAlign val="subscript"/>
        <sz val="12"/>
        <color rgb="FFFF0000"/>
        <rFont val="Arial"/>
        <family val="2"/>
      </rPr>
      <t>2</t>
    </r>
  </si>
  <si>
    <r>
      <t>B</t>
    </r>
    <r>
      <rPr>
        <b/>
        <i/>
        <vertAlign val="subscript"/>
        <sz val="12"/>
        <color rgb="FFFF0000"/>
        <rFont val="Arial"/>
        <family val="2"/>
      </rPr>
      <t>2</t>
    </r>
    <r>
      <rPr>
        <b/>
        <i/>
        <sz val="12"/>
        <color rgb="FFFF0000"/>
        <rFont val="Arial"/>
        <family val="2"/>
      </rPr>
      <t>O</t>
    </r>
    <r>
      <rPr>
        <b/>
        <i/>
        <vertAlign val="subscript"/>
        <sz val="12"/>
        <color rgb="FFFF0000"/>
        <rFont val="Arial"/>
        <family val="2"/>
      </rPr>
      <t>3</t>
    </r>
  </si>
  <si>
    <r>
      <t>Al</t>
    </r>
    <r>
      <rPr>
        <b/>
        <i/>
        <vertAlign val="subscript"/>
        <sz val="12"/>
        <color rgb="FFFF0000"/>
        <rFont val="Arial"/>
        <family val="2"/>
      </rPr>
      <t>2</t>
    </r>
    <r>
      <rPr>
        <b/>
        <i/>
        <sz val="12"/>
        <color rgb="FFFF0000"/>
        <rFont val="Arial"/>
        <family val="2"/>
      </rPr>
      <t>O</t>
    </r>
    <r>
      <rPr>
        <b/>
        <i/>
        <vertAlign val="subscript"/>
        <sz val="12"/>
        <color rgb="FFFF0000"/>
        <rFont val="Arial"/>
        <family val="2"/>
      </rPr>
      <t>3</t>
    </r>
  </si>
  <si>
    <r>
      <t>Ga</t>
    </r>
    <r>
      <rPr>
        <b/>
        <i/>
        <vertAlign val="subscript"/>
        <sz val="12"/>
        <color rgb="FFFF0000"/>
        <rFont val="Arial"/>
        <family val="2"/>
      </rPr>
      <t>2</t>
    </r>
    <r>
      <rPr>
        <b/>
        <i/>
        <sz val="12"/>
        <color rgb="FFFF0000"/>
        <rFont val="Arial"/>
        <family val="2"/>
      </rPr>
      <t>O</t>
    </r>
    <r>
      <rPr>
        <b/>
        <i/>
        <vertAlign val="subscript"/>
        <sz val="12"/>
        <color rgb="FFFF0000"/>
        <rFont val="Arial"/>
        <family val="2"/>
      </rPr>
      <t>3</t>
    </r>
  </si>
  <si>
    <r>
      <t>Fe</t>
    </r>
    <r>
      <rPr>
        <b/>
        <i/>
        <vertAlign val="subscript"/>
        <sz val="12"/>
        <color rgb="FFFF0000"/>
        <rFont val="Arial"/>
        <family val="2"/>
      </rPr>
      <t>2</t>
    </r>
    <r>
      <rPr>
        <b/>
        <i/>
        <sz val="12"/>
        <color rgb="FFFF0000"/>
        <rFont val="Arial"/>
        <family val="2"/>
      </rPr>
      <t>O</t>
    </r>
    <r>
      <rPr>
        <b/>
        <i/>
        <vertAlign val="subscript"/>
        <sz val="12"/>
        <color rgb="FFFF0000"/>
        <rFont val="Arial"/>
        <family val="2"/>
      </rPr>
      <t>3</t>
    </r>
  </si>
  <si>
    <r>
      <t>Li</t>
    </r>
    <r>
      <rPr>
        <b/>
        <i/>
        <vertAlign val="subscript"/>
        <sz val="12"/>
        <color rgb="FFFF0000"/>
        <rFont val="Arial"/>
        <family val="2"/>
      </rPr>
      <t>2</t>
    </r>
    <r>
      <rPr>
        <b/>
        <i/>
        <sz val="12"/>
        <color rgb="FFFF0000"/>
        <rFont val="Arial"/>
        <family val="2"/>
      </rPr>
      <t>O</t>
    </r>
  </si>
  <si>
    <r>
      <t>Na</t>
    </r>
    <r>
      <rPr>
        <b/>
        <i/>
        <vertAlign val="subscript"/>
        <sz val="12"/>
        <color rgb="FFFF0000"/>
        <rFont val="Arial"/>
        <family val="2"/>
      </rPr>
      <t>2</t>
    </r>
    <r>
      <rPr>
        <b/>
        <i/>
        <sz val="12"/>
        <color rgb="FFFF0000"/>
        <rFont val="Arial"/>
        <family val="2"/>
      </rPr>
      <t>O</t>
    </r>
  </si>
  <si>
    <r>
      <t>K</t>
    </r>
    <r>
      <rPr>
        <b/>
        <i/>
        <vertAlign val="subscript"/>
        <sz val="12"/>
        <color rgb="FFFF0000"/>
        <rFont val="Arial"/>
        <family val="2"/>
      </rPr>
      <t>2</t>
    </r>
    <r>
      <rPr>
        <b/>
        <i/>
        <sz val="12"/>
        <color rgb="FFFF0000"/>
        <rFont val="Arial"/>
        <family val="2"/>
      </rPr>
      <t>O</t>
    </r>
  </si>
  <si>
    <r>
      <t>Rb</t>
    </r>
    <r>
      <rPr>
        <b/>
        <i/>
        <vertAlign val="subscript"/>
        <sz val="12"/>
        <color rgb="FFFF0000"/>
        <rFont val="Arial"/>
        <family val="2"/>
      </rPr>
      <t>2</t>
    </r>
    <r>
      <rPr>
        <b/>
        <i/>
        <sz val="12"/>
        <color rgb="FFFF0000"/>
        <rFont val="Arial"/>
        <family val="2"/>
      </rPr>
      <t>O</t>
    </r>
  </si>
  <si>
    <r>
      <t>Cs</t>
    </r>
    <r>
      <rPr>
        <b/>
        <i/>
        <vertAlign val="subscript"/>
        <sz val="12"/>
        <color rgb="FFFF0000"/>
        <rFont val="Arial"/>
        <family val="2"/>
      </rPr>
      <t>2</t>
    </r>
    <r>
      <rPr>
        <b/>
        <i/>
        <sz val="12"/>
        <color rgb="FFFF0000"/>
        <rFont val="Arial"/>
        <family val="2"/>
      </rPr>
      <t>O</t>
    </r>
  </si>
  <si>
    <r>
      <t>P</t>
    </r>
    <r>
      <rPr>
        <b/>
        <i/>
        <vertAlign val="subscript"/>
        <sz val="12"/>
        <color rgb="FFFF0000"/>
        <rFont val="Arial"/>
        <family val="2"/>
      </rPr>
      <t>2</t>
    </r>
    <r>
      <rPr>
        <b/>
        <i/>
        <sz val="12"/>
        <color rgb="FFFF0000"/>
        <rFont val="Arial"/>
        <family val="2"/>
      </rPr>
      <t>O</t>
    </r>
    <r>
      <rPr>
        <b/>
        <i/>
        <vertAlign val="subscript"/>
        <sz val="12"/>
        <color rgb="FFFF0000"/>
        <rFont val="Arial"/>
        <family val="2"/>
      </rPr>
      <t>5</t>
    </r>
  </si>
  <si>
    <r>
      <t>SiO</t>
    </r>
    <r>
      <rPr>
        <b/>
        <i/>
        <vertAlign val="subscript"/>
        <sz val="12"/>
        <color rgb="FFFF0000"/>
        <rFont val="Arial"/>
        <family val="2"/>
      </rPr>
      <t>2</t>
    </r>
  </si>
  <si>
    <t>g/mol</t>
  </si>
  <si>
    <t>mol /100g</t>
  </si>
  <si>
    <t>n atoms</t>
  </si>
  <si>
    <r>
      <rPr>
        <b/>
        <i/>
        <sz val="12"/>
        <color rgb="FFFF0000"/>
        <rFont val="Symbol"/>
        <charset val="2"/>
      </rPr>
      <t>r</t>
    </r>
    <r>
      <rPr>
        <b/>
        <i/>
        <vertAlign val="subscript"/>
        <sz val="12"/>
        <color rgb="FFFF0000"/>
        <rFont val="Arial"/>
        <family val="2"/>
      </rPr>
      <t>n</t>
    </r>
    <r>
      <rPr>
        <b/>
        <i/>
        <sz val="12"/>
        <color rgb="FFFF0000"/>
        <rFont val="Arial"/>
        <family val="2"/>
      </rPr>
      <t xml:space="preserve"> </t>
    </r>
  </si>
  <si>
    <t>P</t>
  </si>
  <si>
    <r>
      <t>k</t>
    </r>
    <r>
      <rPr>
        <b/>
        <i/>
        <vertAlign val="subscript"/>
        <sz val="12"/>
        <color rgb="FFFF0000"/>
        <rFont val="Arial"/>
        <family val="2"/>
      </rPr>
      <t>B</t>
    </r>
  </si>
  <si>
    <t>N</t>
  </si>
  <si>
    <t>T</t>
  </si>
  <si>
    <r>
      <rPr>
        <b/>
        <i/>
        <sz val="12"/>
        <color rgb="FFFF0000"/>
        <rFont val="Arial"/>
        <family val="2"/>
      </rPr>
      <t>M</t>
    </r>
    <r>
      <rPr>
        <b/>
        <sz val="12"/>
        <color rgb="FFFF0000"/>
        <rFont val="Arial"/>
        <family val="2"/>
      </rPr>
      <t>(</t>
    </r>
    <r>
      <rPr>
        <b/>
        <i/>
        <sz val="12"/>
        <color rgb="FFFF0000"/>
        <rFont val="Symbol"/>
        <charset val="2"/>
      </rPr>
      <t>r</t>
    </r>
    <r>
      <rPr>
        <b/>
        <i/>
        <vertAlign val="subscript"/>
        <sz val="12"/>
        <color rgb="FFFF0000"/>
        <rFont val="Arial"/>
        <family val="2"/>
      </rPr>
      <t>n</t>
    </r>
    <r>
      <rPr>
        <b/>
        <sz val="12"/>
        <color rgb="FFFF0000"/>
        <rFont val="Arial"/>
        <family val="2"/>
      </rPr>
      <t>)</t>
    </r>
    <r>
      <rPr>
        <b/>
        <i/>
        <sz val="12"/>
        <color rgb="FFFF0000"/>
        <rFont val="Arial"/>
        <family val="2"/>
        <charset val="2"/>
      </rPr>
      <t xml:space="preserve"> atom</t>
    </r>
  </si>
  <si>
    <r>
      <rPr>
        <b/>
        <i/>
        <sz val="12"/>
        <color rgb="FFFF0000"/>
        <rFont val="Arial"/>
        <family val="2"/>
      </rPr>
      <t>M</t>
    </r>
    <r>
      <rPr>
        <b/>
        <sz val="12"/>
        <color rgb="FFFF0000"/>
        <rFont val="Arial"/>
        <family val="2"/>
      </rPr>
      <t>(</t>
    </r>
    <r>
      <rPr>
        <b/>
        <i/>
        <sz val="12"/>
        <color rgb="FFFF0000"/>
        <rFont val="Symbol"/>
        <charset val="2"/>
      </rPr>
      <t>r</t>
    </r>
    <r>
      <rPr>
        <b/>
        <i/>
        <vertAlign val="subscript"/>
        <sz val="12"/>
        <color rgb="FFFF0000"/>
        <rFont val="Arial"/>
        <family val="2"/>
      </rPr>
      <t>n</t>
    </r>
    <r>
      <rPr>
        <b/>
        <sz val="12"/>
        <color rgb="FFFF0000"/>
        <rFont val="Arial"/>
        <family val="2"/>
      </rPr>
      <t>)</t>
    </r>
    <r>
      <rPr>
        <b/>
        <i/>
        <sz val="12"/>
        <color rgb="FFFF0000"/>
        <rFont val="Arial"/>
        <family val="2"/>
        <charset val="2"/>
      </rPr>
      <t xml:space="preserve"> units</t>
    </r>
  </si>
  <si>
    <t>Malfait 2011</t>
  </si>
  <si>
    <t>Andesite</t>
  </si>
  <si>
    <t>Basalt</t>
  </si>
  <si>
    <t>Haplogranite</t>
  </si>
  <si>
    <t>Richet and Polian 1998</t>
  </si>
  <si>
    <t>Meister 1989</t>
  </si>
  <si>
    <t>Rhyolite</t>
  </si>
  <si>
    <t xml:space="preserve">Rhyolite </t>
  </si>
  <si>
    <t>Malfait 2012</t>
  </si>
  <si>
    <t>Hushur 2013</t>
  </si>
  <si>
    <t>Wighttington 2012</t>
  </si>
  <si>
    <t>rhyolite</t>
  </si>
  <si>
    <t>albite</t>
  </si>
  <si>
    <t>Phonolite</t>
  </si>
  <si>
    <t xml:space="preserve">Trachyte </t>
  </si>
  <si>
    <t>Tephrite</t>
  </si>
  <si>
    <t>Foidite</t>
  </si>
  <si>
    <t>Wu 2017</t>
  </si>
  <si>
    <t>Gu 2021</t>
  </si>
  <si>
    <t>Giuliani 2024</t>
  </si>
  <si>
    <t>Phonotephrite</t>
  </si>
  <si>
    <r>
      <t>H</t>
    </r>
    <r>
      <rPr>
        <b/>
        <i/>
        <vertAlign val="subscript"/>
        <sz val="12"/>
        <color rgb="FFFF0000"/>
        <rFont val="Arial"/>
        <family val="2"/>
      </rPr>
      <t>2</t>
    </r>
    <r>
      <rPr>
        <b/>
        <i/>
        <sz val="12"/>
        <color rgb="FFFF0000"/>
        <rFont val="Arial"/>
        <family val="2"/>
      </rPr>
      <t>O</t>
    </r>
  </si>
  <si>
    <t>Seifert 2013</t>
  </si>
  <si>
    <t>Cassetta 2025</t>
  </si>
  <si>
    <t>B100</t>
  </si>
  <si>
    <t>B80R20</t>
  </si>
  <si>
    <t>B60R40</t>
  </si>
  <si>
    <t>B40R60</t>
  </si>
  <si>
    <t>B20R80</t>
  </si>
  <si>
    <t>R100</t>
  </si>
  <si>
    <t>B80-n</t>
  </si>
  <si>
    <t>R100-n</t>
  </si>
  <si>
    <t>NVP</t>
  </si>
  <si>
    <t>Yang</t>
  </si>
  <si>
    <t>HW</t>
  </si>
  <si>
    <t>Clark</t>
  </si>
  <si>
    <t>basalt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</si>
</sst>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#,##0.0"/>
    <numFmt numFmtId="166" formatCode="0.00000"/>
  </numFmts>
  <fonts count="54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name val="Arial"/>
      <family val="2"/>
    </font>
    <font>
      <b/>
      <sz val="10"/>
      <color indexed="18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vertAlign val="subscript"/>
      <sz val="10"/>
      <name val="Arial"/>
      <family val="2"/>
    </font>
    <font>
      <sz val="10"/>
      <color indexed="10"/>
      <name val="Arial"/>
      <family val="2"/>
    </font>
    <font>
      <sz val="10"/>
      <name val="Verdana"/>
      <family val="2"/>
    </font>
    <font>
      <sz val="12"/>
      <color rgb="FFFF0000"/>
      <name val="Calibri (Corpo)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 (Corpo)"/>
    </font>
    <font>
      <sz val="12"/>
      <color theme="9" tint="-0.499984740745262"/>
      <name val="Calibri"/>
      <family val="2"/>
      <scheme val="minor"/>
    </font>
    <font>
      <i/>
      <sz val="12"/>
      <color theme="1"/>
      <name val="Times New Roman"/>
      <family val="1"/>
    </font>
    <font>
      <i/>
      <vertAlign val="subscript"/>
      <sz val="12"/>
      <color theme="1"/>
      <name val="Times New Roman"/>
      <family val="1"/>
    </font>
    <font>
      <sz val="12"/>
      <color theme="1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000000"/>
      <name val="Arial"/>
      <family val="2"/>
    </font>
    <font>
      <b/>
      <vertAlign val="subscript"/>
      <sz val="12"/>
      <color theme="1"/>
      <name val="Arial"/>
      <family val="2"/>
    </font>
    <font>
      <b/>
      <i/>
      <sz val="12"/>
      <color rgb="FFFF0000"/>
      <name val="Arial"/>
      <family val="2"/>
    </font>
    <font>
      <b/>
      <i/>
      <vertAlign val="subscript"/>
      <sz val="12"/>
      <color rgb="FFFF0000"/>
      <name val="Arial"/>
      <family val="2"/>
    </font>
    <font>
      <b/>
      <i/>
      <sz val="12"/>
      <color rgb="FFFF0000"/>
      <name val="Symbol"/>
      <charset val="2"/>
    </font>
    <font>
      <b/>
      <i/>
      <sz val="12"/>
      <color theme="0" tint="-0.499984740745262"/>
      <name val="Arial"/>
      <family val="2"/>
    </font>
    <font>
      <i/>
      <sz val="12"/>
      <color theme="1"/>
      <name val="Calibri"/>
      <family val="2"/>
      <scheme val="minor"/>
    </font>
    <font>
      <b/>
      <i/>
      <sz val="20"/>
      <color rgb="FFFF0000"/>
      <name val="Arial"/>
      <family val="2"/>
    </font>
    <font>
      <sz val="12"/>
      <name val="Arial"/>
      <family val="2"/>
    </font>
    <font>
      <vertAlign val="subscript"/>
      <sz val="12"/>
      <name val="Arial"/>
      <family val="2"/>
    </font>
    <font>
      <sz val="12"/>
      <name val="Verdana"/>
      <family val="2"/>
    </font>
    <font>
      <vertAlign val="subscript"/>
      <sz val="12"/>
      <name val="Verdana"/>
      <family val="2"/>
    </font>
    <font>
      <i/>
      <sz val="10"/>
      <color theme="2" tint="-0.499984740745262"/>
      <name val="Arial"/>
      <family val="2"/>
    </font>
    <font>
      <b/>
      <i/>
      <sz val="12"/>
      <color theme="2" tint="-0.499984740745262"/>
      <name val="Calibri"/>
      <family val="2"/>
      <scheme val="minor"/>
    </font>
    <font>
      <b/>
      <i/>
      <sz val="12"/>
      <color theme="2" tint="-0.499984740745262"/>
      <name val="Arial"/>
      <family val="2"/>
    </font>
    <font>
      <b/>
      <i/>
      <sz val="18"/>
      <color rgb="FFFF0000"/>
      <name val="Calibri (Corpo)"/>
    </font>
    <font>
      <b/>
      <i/>
      <sz val="18"/>
      <color rgb="FFFF0000"/>
      <name val="Calibri"/>
      <family val="2"/>
      <scheme val="minor"/>
    </font>
    <font>
      <b/>
      <i/>
      <sz val="12"/>
      <color rgb="FFFF0000"/>
      <name val="Arial"/>
      <family val="2"/>
      <charset val="2"/>
    </font>
    <font>
      <sz val="10"/>
      <color theme="1"/>
      <name val="Calibri"/>
      <family val="2"/>
      <scheme val="minor"/>
    </font>
    <font>
      <b/>
      <i/>
      <sz val="12"/>
      <color rgb="FF202122"/>
      <name val="Arial"/>
      <family val="2"/>
    </font>
    <font>
      <b/>
      <i/>
      <sz val="12"/>
      <color rgb="FF1F1F1F"/>
      <name val="Arial"/>
      <family val="2"/>
    </font>
    <font>
      <b/>
      <i/>
      <sz val="12"/>
      <color theme="1"/>
      <name val="Arial"/>
      <family val="2"/>
    </font>
    <font>
      <b/>
      <sz val="12"/>
      <name val="Arial"/>
      <family val="2"/>
    </font>
    <font>
      <b/>
      <i/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9" fillId="0" borderId="0"/>
    <xf numFmtId="0" fontId="11" fillId="0" borderId="0"/>
    <xf numFmtId="0" fontId="11" fillId="0" borderId="0"/>
    <xf numFmtId="0" fontId="9" fillId="0" borderId="0"/>
    <xf numFmtId="0" fontId="12" fillId="0" borderId="0"/>
    <xf numFmtId="0" fontId="12" fillId="0" borderId="0"/>
  </cellStyleXfs>
  <cellXfs count="129">
    <xf numFmtId="0" fontId="0" fillId="0" borderId="0" xfId="0"/>
    <xf numFmtId="0" fontId="2" fillId="0" borderId="0" xfId="1"/>
    <xf numFmtId="0" fontId="2" fillId="0" borderId="0" xfId="1" applyAlignment="1">
      <alignment wrapText="1"/>
    </xf>
    <xf numFmtId="2" fontId="2" fillId="0" borderId="0" xfId="1" applyNumberFormat="1"/>
    <xf numFmtId="0" fontId="5" fillId="0" borderId="0" xfId="1" applyFont="1"/>
    <xf numFmtId="2" fontId="5" fillId="0" borderId="0" xfId="1" applyNumberFormat="1" applyFont="1"/>
    <xf numFmtId="0" fontId="6" fillId="0" borderId="0" xfId="1" applyFont="1"/>
    <xf numFmtId="2" fontId="2" fillId="0" borderId="0" xfId="1" applyNumberFormat="1" applyAlignment="1">
      <alignment horizontal="left"/>
    </xf>
    <xf numFmtId="0" fontId="2" fillId="0" borderId="0" xfId="1" applyAlignment="1">
      <alignment horizontal="right"/>
    </xf>
    <xf numFmtId="0" fontId="2" fillId="0" borderId="0" xfId="1" quotePrefix="1"/>
    <xf numFmtId="164" fontId="2" fillId="0" borderId="0" xfId="1" applyNumberFormat="1"/>
    <xf numFmtId="2" fontId="5" fillId="2" borderId="0" xfId="1" applyNumberFormat="1" applyFont="1" applyFill="1"/>
    <xf numFmtId="2" fontId="5" fillId="3" borderId="0" xfId="1" applyNumberFormat="1" applyFont="1" applyFill="1"/>
    <xf numFmtId="0" fontId="5" fillId="3" borderId="0" xfId="1" applyFont="1" applyFill="1"/>
    <xf numFmtId="2" fontId="4" fillId="2" borderId="0" xfId="1" applyNumberFormat="1" applyFont="1" applyFill="1"/>
    <xf numFmtId="2" fontId="4" fillId="3" borderId="0" xfId="1" applyNumberFormat="1" applyFont="1" applyFill="1"/>
    <xf numFmtId="0" fontId="1" fillId="0" borderId="0" xfId="0" applyFont="1"/>
    <xf numFmtId="0" fontId="0" fillId="4" borderId="0" xfId="0" applyFill="1"/>
    <xf numFmtId="0" fontId="0" fillId="7" borderId="0" xfId="0" applyFill="1"/>
    <xf numFmtId="0" fontId="0" fillId="10" borderId="0" xfId="0" applyFill="1"/>
    <xf numFmtId="0" fontId="0" fillId="11" borderId="0" xfId="0" applyFill="1"/>
    <xf numFmtId="0" fontId="0" fillId="5" borderId="0" xfId="0" applyFill="1"/>
    <xf numFmtId="2" fontId="0" fillId="0" borderId="0" xfId="0" applyNumberFormat="1"/>
    <xf numFmtId="0" fontId="0" fillId="12" borderId="0" xfId="0" applyFill="1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15" fillId="0" borderId="0" xfId="0" applyFont="1"/>
    <xf numFmtId="0" fontId="19" fillId="0" borderId="0" xfId="0" applyFont="1"/>
    <xf numFmtId="0" fontId="17" fillId="0" borderId="0" xfId="0" applyFont="1"/>
    <xf numFmtId="0" fontId="0" fillId="9" borderId="0" xfId="0" applyFill="1"/>
    <xf numFmtId="0" fontId="0" fillId="6" borderId="0" xfId="0" applyFill="1"/>
    <xf numFmtId="0" fontId="0" fillId="13" borderId="0" xfId="0" applyFill="1"/>
    <xf numFmtId="1" fontId="0" fillId="0" borderId="0" xfId="0" applyNumberFormat="1"/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0" fillId="8" borderId="0" xfId="0" applyFill="1"/>
    <xf numFmtId="0" fontId="20" fillId="0" borderId="0" xfId="0" applyFont="1"/>
    <xf numFmtId="0" fontId="0" fillId="14" borderId="0" xfId="0" applyFill="1"/>
    <xf numFmtId="0" fontId="0" fillId="0" borderId="0" xfId="0" applyAlignment="1">
      <alignment horizontal="center"/>
    </xf>
    <xf numFmtId="2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/>
    <xf numFmtId="0" fontId="24" fillId="0" borderId="0" xfId="0" applyFont="1"/>
    <xf numFmtId="0" fontId="26" fillId="0" borderId="0" xfId="0" applyFont="1"/>
    <xf numFmtId="0" fontId="22" fillId="0" borderId="0" xfId="0" applyFont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24" fillId="12" borderId="0" xfId="0" applyFont="1" applyFill="1"/>
    <xf numFmtId="2" fontId="27" fillId="0" borderId="0" xfId="7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4" fillId="0" borderId="0" xfId="7" applyFont="1" applyAlignment="1">
      <alignment wrapText="1"/>
    </xf>
    <xf numFmtId="0" fontId="25" fillId="0" borderId="0" xfId="0" applyFont="1"/>
    <xf numFmtId="0" fontId="29" fillId="4" borderId="0" xfId="0" applyFont="1" applyFill="1" applyAlignment="1">
      <alignment horizontal="center"/>
    </xf>
    <xf numFmtId="0" fontId="29" fillId="4" borderId="0" xfId="7" applyFont="1" applyFill="1" applyAlignment="1">
      <alignment horizontal="center" wrapText="1"/>
    </xf>
    <xf numFmtId="0" fontId="31" fillId="4" borderId="0" xfId="0" applyFont="1" applyFill="1" applyAlignment="1">
      <alignment horizontal="center"/>
    </xf>
    <xf numFmtId="0" fontId="32" fillId="0" borderId="0" xfId="0" applyFont="1"/>
    <xf numFmtId="0" fontId="37" fillId="0" borderId="0" xfId="0" applyFont="1"/>
    <xf numFmtId="0" fontId="3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5" fillId="0" borderId="0" xfId="7" applyFont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34" fillId="4" borderId="0" xfId="0" applyFont="1" applyFill="1" applyAlignment="1">
      <alignment horizontal="center"/>
    </xf>
    <xf numFmtId="0" fontId="29" fillId="15" borderId="0" xfId="7" applyFont="1" applyFill="1" applyAlignment="1">
      <alignment horizontal="center" vertical="center" wrapText="1"/>
    </xf>
    <xf numFmtId="0" fontId="29" fillId="15" borderId="0" xfId="1" applyFont="1" applyFill="1" applyAlignment="1">
      <alignment vertical="center"/>
    </xf>
    <xf numFmtId="0" fontId="29" fillId="15" borderId="0" xfId="0" applyFont="1" applyFill="1" applyAlignment="1">
      <alignment horizontal="center" vertical="center" wrapText="1"/>
    </xf>
    <xf numFmtId="0" fontId="33" fillId="0" borderId="0" xfId="0" applyFont="1"/>
    <xf numFmtId="0" fontId="29" fillId="15" borderId="0" xfId="1" applyFont="1" applyFill="1" applyAlignment="1">
      <alignment horizontal="center"/>
    </xf>
    <xf numFmtId="166" fontId="0" fillId="0" borderId="0" xfId="0" applyNumberFormat="1"/>
    <xf numFmtId="166" fontId="41" fillId="15" borderId="0" xfId="0" applyNumberFormat="1" applyFont="1" applyFill="1"/>
    <xf numFmtId="0" fontId="0" fillId="0" borderId="0" xfId="0" applyAlignment="1">
      <alignment vertical="center"/>
    </xf>
    <xf numFmtId="0" fontId="40" fillId="4" borderId="0" xfId="0" applyFont="1" applyFill="1" applyAlignment="1">
      <alignment vertical="center"/>
    </xf>
    <xf numFmtId="0" fontId="39" fillId="4" borderId="0" xfId="1" applyFont="1" applyFill="1" applyAlignment="1">
      <alignment horizontal="center" vertical="center"/>
    </xf>
    <xf numFmtId="0" fontId="29" fillId="17" borderId="0" xfId="0" applyFont="1" applyFill="1" applyAlignment="1">
      <alignment horizontal="center"/>
    </xf>
    <xf numFmtId="0" fontId="44" fillId="4" borderId="0" xfId="7" applyFont="1" applyFill="1" applyAlignment="1">
      <alignment horizontal="center" wrapText="1"/>
    </xf>
    <xf numFmtId="0" fontId="45" fillId="0" borderId="0" xfId="0" applyFont="1"/>
    <xf numFmtId="2" fontId="22" fillId="0" borderId="0" xfId="0" quotePrefix="1" applyNumberFormat="1" applyFont="1" applyAlignment="1">
      <alignment horizontal="center"/>
    </xf>
    <xf numFmtId="0" fontId="29" fillId="15" borderId="0" xfId="0" applyFont="1" applyFill="1" applyAlignment="1">
      <alignment horizontal="center" vertical="center"/>
    </xf>
    <xf numFmtId="0" fontId="29" fillId="15" borderId="0" xfId="0" applyFont="1" applyFill="1" applyAlignment="1">
      <alignment horizontal="right" vertical="center"/>
    </xf>
    <xf numFmtId="0" fontId="29" fillId="15" borderId="0" xfId="7" applyFont="1" applyFill="1" applyAlignment="1">
      <alignment horizontal="right" vertical="center" wrapText="1"/>
    </xf>
    <xf numFmtId="0" fontId="48" fillId="15" borderId="0" xfId="0" applyFont="1" applyFill="1" applyAlignment="1">
      <alignment horizontal="left" vertical="center"/>
    </xf>
    <xf numFmtId="0" fontId="46" fillId="15" borderId="0" xfId="0" applyFont="1" applyFill="1" applyAlignment="1">
      <alignment horizontal="left" vertical="center"/>
    </xf>
    <xf numFmtId="11" fontId="47" fillId="15" borderId="0" xfId="0" applyNumberFormat="1" applyFont="1" applyFill="1" applyAlignment="1">
      <alignment horizontal="left" vertical="center"/>
    </xf>
    <xf numFmtId="2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65" fontId="22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49" fillId="0" borderId="0" xfId="0" applyFont="1" applyAlignment="1">
      <alignment horizontal="left" vertical="center"/>
    </xf>
    <xf numFmtId="2" fontId="13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50" fillId="0" borderId="0" xfId="0" applyFont="1"/>
    <xf numFmtId="0" fontId="49" fillId="0" borderId="0" xfId="7" applyFont="1" applyAlignment="1">
      <alignment wrapText="1"/>
    </xf>
    <xf numFmtId="2" fontId="1" fillId="4" borderId="0" xfId="0" applyNumberFormat="1" applyFont="1" applyFill="1"/>
    <xf numFmtId="2" fontId="15" fillId="4" borderId="0" xfId="0" applyNumberFormat="1" applyFont="1" applyFill="1"/>
    <xf numFmtId="2" fontId="0" fillId="4" borderId="0" xfId="0" applyNumberFormat="1" applyFill="1"/>
    <xf numFmtId="0" fontId="0" fillId="18" borderId="0" xfId="0" applyFill="1"/>
    <xf numFmtId="0" fontId="1" fillId="18" borderId="0" xfId="0" applyFont="1" applyFill="1"/>
    <xf numFmtId="2" fontId="15" fillId="18" borderId="0" xfId="0" applyNumberFormat="1" applyFont="1" applyFill="1"/>
    <xf numFmtId="0" fontId="10" fillId="4" borderId="0" xfId="0" applyFont="1" applyFill="1"/>
    <xf numFmtId="0" fontId="15" fillId="5" borderId="0" xfId="0" applyFont="1" applyFill="1"/>
    <xf numFmtId="2" fontId="15" fillId="5" borderId="0" xfId="0" applyNumberFormat="1" applyFont="1" applyFill="1"/>
    <xf numFmtId="0" fontId="1" fillId="4" borderId="0" xfId="0" applyFont="1" applyFill="1"/>
    <xf numFmtId="0" fontId="18" fillId="4" borderId="0" xfId="0" applyFont="1" applyFill="1"/>
    <xf numFmtId="0" fontId="1" fillId="5" borderId="0" xfId="0" applyFont="1" applyFill="1"/>
    <xf numFmtId="0" fontId="1" fillId="0" borderId="2" xfId="0" applyFont="1" applyBorder="1"/>
    <xf numFmtId="0" fontId="0" fillId="0" borderId="3" xfId="0" applyBorder="1"/>
    <xf numFmtId="0" fontId="1" fillId="0" borderId="3" xfId="0" applyFont="1" applyBorder="1"/>
    <xf numFmtId="2" fontId="0" fillId="0" borderId="3" xfId="0" applyNumberFormat="1" applyBorder="1"/>
    <xf numFmtId="2" fontId="0" fillId="0" borderId="4" xfId="0" applyNumberFormat="1" applyBorder="1"/>
    <xf numFmtId="0" fontId="24" fillId="2" borderId="0" xfId="7" applyFont="1" applyFill="1" applyAlignment="1">
      <alignment wrapText="1"/>
    </xf>
    <xf numFmtId="0" fontId="22" fillId="2" borderId="0" xfId="0" applyFont="1" applyFill="1" applyAlignment="1">
      <alignment horizontal="center" vertical="center"/>
    </xf>
    <xf numFmtId="2" fontId="51" fillId="0" borderId="0" xfId="0" applyNumberFormat="1" applyFont="1" applyAlignment="1">
      <alignment horizontal="center" vertical="center"/>
    </xf>
    <xf numFmtId="2" fontId="51" fillId="19" borderId="0" xfId="0" applyNumberFormat="1" applyFont="1" applyFill="1" applyAlignment="1">
      <alignment horizontal="center" vertical="center"/>
    </xf>
    <xf numFmtId="2" fontId="52" fillId="0" borderId="0" xfId="0" applyNumberFormat="1" applyFont="1" applyAlignment="1">
      <alignment horizontal="center" vertical="center"/>
    </xf>
    <xf numFmtId="2" fontId="51" fillId="20" borderId="0" xfId="0" applyNumberFormat="1" applyFont="1" applyFill="1" applyAlignment="1">
      <alignment horizontal="center" vertical="center"/>
    </xf>
    <xf numFmtId="2" fontId="53" fillId="20" borderId="0" xfId="0" applyNumberFormat="1" applyFont="1" applyFill="1" applyAlignment="1">
      <alignment horizontal="center" vertical="center" wrapText="1"/>
    </xf>
    <xf numFmtId="0" fontId="42" fillId="15" borderId="0" xfId="0" applyFont="1" applyFill="1" applyAlignment="1">
      <alignment horizontal="center"/>
    </xf>
    <xf numFmtId="0" fontId="0" fillId="15" borderId="0" xfId="0" applyFill="1" applyAlignment="1">
      <alignment horizontal="center"/>
    </xf>
    <xf numFmtId="0" fontId="43" fillId="17" borderId="0" xfId="0" applyFont="1" applyFill="1" applyAlignment="1">
      <alignment horizontal="center"/>
    </xf>
    <xf numFmtId="0" fontId="34" fillId="4" borderId="0" xfId="0" applyFont="1" applyFill="1" applyAlignment="1">
      <alignment horizontal="center"/>
    </xf>
    <xf numFmtId="0" fontId="34" fillId="15" borderId="0" xfId="0" applyFont="1" applyFill="1" applyAlignment="1">
      <alignment horizontal="center" vertical="center"/>
    </xf>
    <xf numFmtId="0" fontId="33" fillId="16" borderId="0" xfId="0" applyFont="1" applyFill="1" applyAlignment="1">
      <alignment horizontal="center"/>
    </xf>
    <xf numFmtId="0" fontId="34" fillId="0" borderId="0" xfId="0" applyFont="1" applyAlignment="1">
      <alignment horizontal="center" vertical="center"/>
    </xf>
  </cellXfs>
  <cellStyles count="8">
    <cellStyle name="Normal 2 2" xfId="5" xr:uid="{1B877809-C670-B341-BC8A-022AD36BB398}"/>
    <cellStyle name="Normal 3" xfId="3" xr:uid="{8494D700-6841-1D4A-9FFA-5B20E5B896D7}"/>
    <cellStyle name="Normal 5" xfId="4" xr:uid="{E63CE843-91D3-BC45-9AD8-41AE841A2115}"/>
    <cellStyle name="Normale" xfId="0" builtinId="0"/>
    <cellStyle name="Normale 2" xfId="2" xr:uid="{C01A56FB-347F-2F4F-98AB-238CFC44EC10}"/>
    <cellStyle name="Normale 2 2" xfId="7" xr:uid="{1C3186E6-290E-EC4F-B71B-AAA3C0CDE085}"/>
    <cellStyle name="Normale 3" xfId="1" xr:uid="{1F139A3D-FD91-CD49-9467-6DA2392A7CD5}"/>
    <cellStyle name="Normale 3 2" xfId="6" xr:uid="{80FA6671-99A3-5B4F-BCD2-D56330747C2B}"/>
  </cellStyles>
  <dxfs count="0"/>
  <tableStyles count="0" defaultTableStyle="TableStyleMedium2" defaultPivotStyle="PivotStyleLight16"/>
  <colors>
    <mruColors>
      <color rgb="FF000000"/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chem!$J$5:$J$188</c:f>
              <c:numCache>
                <c:formatCode>0.00</c:formatCode>
                <c:ptCount val="184"/>
                <c:pt idx="0">
                  <c:v>78.462524800000011</c:v>
                </c:pt>
                <c:pt idx="1">
                  <c:v>78.989562000000006</c:v>
                </c:pt>
                <c:pt idx="2">
                  <c:v>78.534967080000001</c:v>
                </c:pt>
                <c:pt idx="3">
                  <c:v>77.301468999999997</c:v>
                </c:pt>
                <c:pt idx="4">
                  <c:v>76.986591989999994</c:v>
                </c:pt>
                <c:pt idx="5">
                  <c:v>82.696560000000005</c:v>
                </c:pt>
                <c:pt idx="6">
                  <c:v>98.338499999999996</c:v>
                </c:pt>
                <c:pt idx="7">
                  <c:v>104.65400268</c:v>
                </c:pt>
                <c:pt idx="8">
                  <c:v>0</c:v>
                </c:pt>
                <c:pt idx="9">
                  <c:v>94.358483711999995</c:v>
                </c:pt>
                <c:pt idx="11">
                  <c:v>0</c:v>
                </c:pt>
                <c:pt idx="12">
                  <c:v>69.333224481999991</c:v>
                </c:pt>
                <c:pt idx="13">
                  <c:v>84.536524799999995</c:v>
                </c:pt>
                <c:pt idx="14">
                  <c:v>86.328800000000001</c:v>
                </c:pt>
                <c:pt idx="15">
                  <c:v>118.17273295999999</c:v>
                </c:pt>
                <c:pt idx="16">
                  <c:v>0</c:v>
                </c:pt>
                <c:pt idx="17">
                  <c:v>144.05633599999999</c:v>
                </c:pt>
                <c:pt idx="18">
                  <c:v>72.463548662999997</c:v>
                </c:pt>
                <c:pt idx="19">
                  <c:v>124.547919593</c:v>
                </c:pt>
                <c:pt idx="20">
                  <c:v>0</c:v>
                </c:pt>
                <c:pt idx="21">
                  <c:v>127.149208515</c:v>
                </c:pt>
                <c:pt idx="22">
                  <c:v>38.232700999999999</c:v>
                </c:pt>
                <c:pt idx="23">
                  <c:v>97.850188799999998</c:v>
                </c:pt>
                <c:pt idx="24">
                  <c:v>114.20825247499999</c:v>
                </c:pt>
                <c:pt idx="25">
                  <c:v>83.939233502000008</c:v>
                </c:pt>
                <c:pt idx="26">
                  <c:v>86.423260544000001</c:v>
                </c:pt>
                <c:pt idx="27">
                  <c:v>103.96885484800001</c:v>
                </c:pt>
                <c:pt idx="28">
                  <c:v>111.343402872</c:v>
                </c:pt>
                <c:pt idx="29">
                  <c:v>79.673376059999981</c:v>
                </c:pt>
                <c:pt idx="30">
                  <c:v>77.389709044500009</c:v>
                </c:pt>
                <c:pt idx="31">
                  <c:v>86.055342029999991</c:v>
                </c:pt>
                <c:pt idx="32">
                  <c:v>62.890895184000009</c:v>
                </c:pt>
                <c:pt idx="33">
                  <c:v>58.297732113999999</c:v>
                </c:pt>
                <c:pt idx="34">
                  <c:v>57.513482499999995</c:v>
                </c:pt>
                <c:pt idx="35">
                  <c:v>56.843282195999997</c:v>
                </c:pt>
                <c:pt idx="36">
                  <c:v>73.952297594329991</c:v>
                </c:pt>
                <c:pt idx="37">
                  <c:v>73.276168250880005</c:v>
                </c:pt>
                <c:pt idx="38">
                  <c:v>72.903965944319992</c:v>
                </c:pt>
                <c:pt idx="39">
                  <c:v>73.338163734690013</c:v>
                </c:pt>
                <c:pt idx="40">
                  <c:v>80.930210832</c:v>
                </c:pt>
                <c:pt idx="41">
                  <c:v>76.542044544000007</c:v>
                </c:pt>
                <c:pt idx="42">
                  <c:v>60.900364225000004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94.476069597000006</c:v>
                </c:pt>
                <c:pt idx="48">
                  <c:v>94.549500100000003</c:v>
                </c:pt>
                <c:pt idx="49">
                  <c:v>88.592865885000009</c:v>
                </c:pt>
                <c:pt idx="50">
                  <c:v>87.035582808000001</c:v>
                </c:pt>
                <c:pt idx="51">
                  <c:v>80.82984888</c:v>
                </c:pt>
                <c:pt idx="52">
                  <c:v>82.94048355599999</c:v>
                </c:pt>
                <c:pt idx="53">
                  <c:v>65.429202047000004</c:v>
                </c:pt>
                <c:pt idx="54">
                  <c:v>68.473624000000001</c:v>
                </c:pt>
                <c:pt idx="55">
                  <c:v>94.027264044000006</c:v>
                </c:pt>
                <c:pt idx="56">
                  <c:v>120.977344475</c:v>
                </c:pt>
                <c:pt idx="57">
                  <c:v>121.539597552</c:v>
                </c:pt>
                <c:pt idx="58">
                  <c:v>123.26846963999999</c:v>
                </c:pt>
                <c:pt idx="59">
                  <c:v>124.547919593</c:v>
                </c:pt>
                <c:pt idx="60">
                  <c:v>126.64683865800001</c:v>
                </c:pt>
                <c:pt idx="61">
                  <c:v>128.378372122</c:v>
                </c:pt>
                <c:pt idx="62">
                  <c:v>129.92980018100002</c:v>
                </c:pt>
                <c:pt idx="63">
                  <c:v>127.964039082</c:v>
                </c:pt>
                <c:pt idx="64">
                  <c:v>130.10126124799999</c:v>
                </c:pt>
                <c:pt idx="65">
                  <c:v>129.74563097999999</c:v>
                </c:pt>
                <c:pt idx="66">
                  <c:v>130.22114416299999</c:v>
                </c:pt>
                <c:pt idx="67">
                  <c:v>132.51699514000001</c:v>
                </c:pt>
                <c:pt idx="68">
                  <c:v>134.19009868000001</c:v>
                </c:pt>
                <c:pt idx="69">
                  <c:v>135.15472851199999</c:v>
                </c:pt>
                <c:pt idx="70">
                  <c:v>136.22902950800002</c:v>
                </c:pt>
                <c:pt idx="71">
                  <c:v>137.23505280000001</c:v>
                </c:pt>
                <c:pt idx="72">
                  <c:v>138.15111913199999</c:v>
                </c:pt>
                <c:pt idx="73">
                  <c:v>142.39094502399999</c:v>
                </c:pt>
                <c:pt idx="74">
                  <c:v>140.714819011</c:v>
                </c:pt>
                <c:pt idx="75">
                  <c:v>142.136830108</c:v>
                </c:pt>
                <c:pt idx="76">
                  <c:v>65.206034999999986</c:v>
                </c:pt>
                <c:pt idx="77">
                  <c:v>64.477354043999995</c:v>
                </c:pt>
                <c:pt idx="78">
                  <c:v>62.414601900000008</c:v>
                </c:pt>
                <c:pt idx="79">
                  <c:v>60.104421263999996</c:v>
                </c:pt>
                <c:pt idx="80">
                  <c:v>55.039065088000001</c:v>
                </c:pt>
                <c:pt idx="81">
                  <c:v>52.268894463999999</c:v>
                </c:pt>
                <c:pt idx="82">
                  <c:v>97.893071784</c:v>
                </c:pt>
                <c:pt idx="83">
                  <c:v>96.161383436999998</c:v>
                </c:pt>
                <c:pt idx="84">
                  <c:v>93.589944336000002</c:v>
                </c:pt>
                <c:pt idx="85">
                  <c:v>91.279128095999994</c:v>
                </c:pt>
                <c:pt idx="86">
                  <c:v>115.50914713600001</c:v>
                </c:pt>
                <c:pt idx="87">
                  <c:v>117.592190032</c:v>
                </c:pt>
                <c:pt idx="88">
                  <c:v>112.46283526399999</c:v>
                </c:pt>
                <c:pt idx="89">
                  <c:v>111.76912401599999</c:v>
                </c:pt>
                <c:pt idx="90">
                  <c:v>109.9425844</c:v>
                </c:pt>
                <c:pt idx="91">
                  <c:v>78.993113949000005</c:v>
                </c:pt>
                <c:pt idx="92">
                  <c:v>79.685472496000003</c:v>
                </c:pt>
                <c:pt idx="93">
                  <c:v>77.451919033525826</c:v>
                </c:pt>
                <c:pt idx="94">
                  <c:v>75.908254160937489</c:v>
                </c:pt>
                <c:pt idx="95">
                  <c:v>74.563019284559999</c:v>
                </c:pt>
                <c:pt idx="96">
                  <c:v>97.850188799999998</c:v>
                </c:pt>
                <c:pt idx="97">
                  <c:v>97.9296875</c:v>
                </c:pt>
                <c:pt idx="98">
                  <c:v>96.915811300000001</c:v>
                </c:pt>
                <c:pt idx="99">
                  <c:v>90.523674</c:v>
                </c:pt>
                <c:pt idx="100">
                  <c:v>90.383699699999994</c:v>
                </c:pt>
                <c:pt idx="101">
                  <c:v>77.874980400000013</c:v>
                </c:pt>
                <c:pt idx="102">
                  <c:v>80.822748750000002</c:v>
                </c:pt>
                <c:pt idx="103">
                  <c:v>80.035713099999995</c:v>
                </c:pt>
                <c:pt idx="104">
                  <c:v>97.304904383999997</c:v>
                </c:pt>
                <c:pt idx="105">
                  <c:v>111.58797161699999</c:v>
                </c:pt>
                <c:pt idx="106">
                  <c:v>74.891600187999998</c:v>
                </c:pt>
                <c:pt idx="107">
                  <c:v>74.714411468999998</c:v>
                </c:pt>
                <c:pt idx="108">
                  <c:v>79.673376059999981</c:v>
                </c:pt>
                <c:pt idx="109">
                  <c:v>77.389709044500009</c:v>
                </c:pt>
                <c:pt idx="110">
                  <c:v>83.617008623999993</c:v>
                </c:pt>
                <c:pt idx="111">
                  <c:v>79.119250899999997</c:v>
                </c:pt>
                <c:pt idx="112">
                  <c:v>74.876811263999997</c:v>
                </c:pt>
                <c:pt idx="113">
                  <c:v>73.807417376000004</c:v>
                </c:pt>
                <c:pt idx="114">
                  <c:v>72.463548662999997</c:v>
                </c:pt>
                <c:pt idx="115">
                  <c:v>78.975098047999992</c:v>
                </c:pt>
                <c:pt idx="116">
                  <c:v>75.936301056000005</c:v>
                </c:pt>
                <c:pt idx="117">
                  <c:v>76.51293695999999</c:v>
                </c:pt>
                <c:pt idx="118">
                  <c:v>72.997848000000005</c:v>
                </c:pt>
                <c:pt idx="119">
                  <c:v>83.939233502000008</c:v>
                </c:pt>
                <c:pt idx="120">
                  <c:v>84.484736238000011</c:v>
                </c:pt>
                <c:pt idx="121">
                  <c:v>79.791910928000007</c:v>
                </c:pt>
                <c:pt idx="122">
                  <c:v>81.324168831999998</c:v>
                </c:pt>
                <c:pt idx="123">
                  <c:v>79.442014528000001</c:v>
                </c:pt>
                <c:pt idx="124">
                  <c:v>80.479704255999991</c:v>
                </c:pt>
                <c:pt idx="125">
                  <c:v>86.248521056000001</c:v>
                </c:pt>
                <c:pt idx="126">
                  <c:v>86.569011863999989</c:v>
                </c:pt>
                <c:pt idx="127">
                  <c:v>81.185223124999993</c:v>
                </c:pt>
                <c:pt idx="128">
                  <c:v>81.343011907999994</c:v>
                </c:pt>
                <c:pt idx="129">
                  <c:v>81.359926200000004</c:v>
                </c:pt>
                <c:pt idx="130">
                  <c:v>81.359926200000004</c:v>
                </c:pt>
                <c:pt idx="131">
                  <c:v>81.359926200000004</c:v>
                </c:pt>
                <c:pt idx="132">
                  <c:v>80.182490704000003</c:v>
                </c:pt>
                <c:pt idx="133">
                  <c:v>85.063107328000015</c:v>
                </c:pt>
                <c:pt idx="134">
                  <c:v>86.63481329199999</c:v>
                </c:pt>
                <c:pt idx="135">
                  <c:v>78.822761471999982</c:v>
                </c:pt>
                <c:pt idx="136">
                  <c:v>82.800335583000006</c:v>
                </c:pt>
                <c:pt idx="137">
                  <c:v>79.135261972000009</c:v>
                </c:pt>
                <c:pt idx="138">
                  <c:v>78.789662451999988</c:v>
                </c:pt>
                <c:pt idx="139">
                  <c:v>77.106130992000004</c:v>
                </c:pt>
                <c:pt idx="140">
                  <c:v>114.20825247499999</c:v>
                </c:pt>
                <c:pt idx="141">
                  <c:v>107.470894603</c:v>
                </c:pt>
                <c:pt idx="142">
                  <c:v>111.06596659200001</c:v>
                </c:pt>
                <c:pt idx="143">
                  <c:v>103.2035011</c:v>
                </c:pt>
                <c:pt idx="144">
                  <c:v>106.1024472</c:v>
                </c:pt>
                <c:pt idx="145">
                  <c:v>103.96885484800001</c:v>
                </c:pt>
                <c:pt idx="146">
                  <c:v>105.01710546000001</c:v>
                </c:pt>
                <c:pt idx="147">
                  <c:v>104.444848725</c:v>
                </c:pt>
                <c:pt idx="148">
                  <c:v>105.44214715199999</c:v>
                </c:pt>
                <c:pt idx="149">
                  <c:v>105.81208981300001</c:v>
                </c:pt>
                <c:pt idx="150">
                  <c:v>103.712605389</c:v>
                </c:pt>
                <c:pt idx="151">
                  <c:v>108.653815296</c:v>
                </c:pt>
                <c:pt idx="152">
                  <c:v>111.343402872</c:v>
                </c:pt>
                <c:pt idx="153">
                  <c:v>109.363987494</c:v>
                </c:pt>
                <c:pt idx="154">
                  <c:v>110.13613135000001</c:v>
                </c:pt>
                <c:pt idx="155">
                  <c:v>111.45421006400001</c:v>
                </c:pt>
                <c:pt idx="156">
                  <c:v>109.54737797499999</c:v>
                </c:pt>
                <c:pt idx="157">
                  <c:v>113.392401916</c:v>
                </c:pt>
                <c:pt idx="158">
                  <c:v>112.611000064</c:v>
                </c:pt>
                <c:pt idx="159">
                  <c:v>113.481055584</c:v>
                </c:pt>
                <c:pt idx="160">
                  <c:v>116.98522786400001</c:v>
                </c:pt>
                <c:pt idx="161">
                  <c:v>148.872001926</c:v>
                </c:pt>
                <c:pt idx="162">
                  <c:v>148.90714916600001</c:v>
                </c:pt>
                <c:pt idx="163">
                  <c:v>148.12186636800001</c:v>
                </c:pt>
                <c:pt idx="164">
                  <c:v>145.98936728000001</c:v>
                </c:pt>
                <c:pt idx="165">
                  <c:v>141.35017161200003</c:v>
                </c:pt>
                <c:pt idx="166">
                  <c:v>138.29915126399999</c:v>
                </c:pt>
                <c:pt idx="167">
                  <c:v>148.26267678599999</c:v>
                </c:pt>
                <c:pt idx="168">
                  <c:v>145.17309509999998</c:v>
                </c:pt>
                <c:pt idx="169">
                  <c:v>141.21420727500001</c:v>
                </c:pt>
                <c:pt idx="170">
                  <c:v>141.43703008</c:v>
                </c:pt>
                <c:pt idx="171">
                  <c:v>140.382486153</c:v>
                </c:pt>
                <c:pt idx="172">
                  <c:v>138.20639373199998</c:v>
                </c:pt>
                <c:pt idx="173">
                  <c:v>129.660610612</c:v>
                </c:pt>
                <c:pt idx="174">
                  <c:v>157.29968540000002</c:v>
                </c:pt>
                <c:pt idx="175">
                  <c:v>147.75655363199999</c:v>
                </c:pt>
                <c:pt idx="176">
                  <c:v>145.22671704799998</c:v>
                </c:pt>
                <c:pt idx="177">
                  <c:v>142.54434000000001</c:v>
                </c:pt>
                <c:pt idx="178">
                  <c:v>143.80595667199998</c:v>
                </c:pt>
                <c:pt idx="179">
                  <c:v>156.76334079999998</c:v>
                </c:pt>
                <c:pt idx="180">
                  <c:v>81.077085699999998</c:v>
                </c:pt>
                <c:pt idx="181">
                  <c:v>72.433095800000004</c:v>
                </c:pt>
                <c:pt idx="182">
                  <c:v>70.426523000000003</c:v>
                </c:pt>
                <c:pt idx="183">
                  <c:v>111.629260268064</c:v>
                </c:pt>
              </c:numCache>
            </c:numRef>
          </c:xVal>
          <c:yVal>
            <c:numRef>
              <c:f>chem!$M$5:$M$188</c:f>
              <c:numCache>
                <c:formatCode>0.00</c:formatCode>
                <c:ptCount val="184"/>
                <c:pt idx="0">
                  <c:v>88.366484242286816</c:v>
                </c:pt>
                <c:pt idx="1">
                  <c:v>84.865983322177513</c:v>
                </c:pt>
                <c:pt idx="2">
                  <c:v>83.731228559001025</c:v>
                </c:pt>
                <c:pt idx="3">
                  <c:v>83.372915945956862</c:v>
                </c:pt>
                <c:pt idx="4">
                  <c:v>81.919670201071597</c:v>
                </c:pt>
                <c:pt idx="5">
                  <c:v>86.686229015658355</c:v>
                </c:pt>
                <c:pt idx="6">
                  <c:v>95.55043184677362</c:v>
                </c:pt>
                <c:pt idx="7">
                  <c:v>96.411628700481657</c:v>
                </c:pt>
                <c:pt idx="8">
                  <c:v>1.9999999999999999E-6</c:v>
                </c:pt>
                <c:pt idx="9">
                  <c:v>85.189413875957229</c:v>
                </c:pt>
                <c:pt idx="10">
                  <c:v>1.9999999999999999E-6</c:v>
                </c:pt>
                <c:pt idx="12">
                  <c:v>72.992646066440997</c:v>
                </c:pt>
                <c:pt idx="13">
                  <c:v>77.556931569569272</c:v>
                </c:pt>
                <c:pt idx="14">
                  <c:v>82.690354784582368</c:v>
                </c:pt>
                <c:pt idx="15">
                  <c:v>0</c:v>
                </c:pt>
                <c:pt idx="17">
                  <c:v>114.89024229250803</c:v>
                </c:pt>
                <c:pt idx="18">
                  <c:v>76.035348182667121</c:v>
                </c:pt>
                <c:pt idx="19">
                  <c:v>108.67411344456167</c:v>
                </c:pt>
                <c:pt idx="20">
                  <c:v>1.9999999999999999E-6</c:v>
                </c:pt>
                <c:pt idx="21">
                  <c:v>111.15266113942113</c:v>
                </c:pt>
                <c:pt idx="22">
                  <c:v>41.161642365253549</c:v>
                </c:pt>
                <c:pt idx="23">
                  <c:v>97.273284751955174</c:v>
                </c:pt>
                <c:pt idx="24">
                  <c:v>105.24257210688171</c:v>
                </c:pt>
                <c:pt idx="25">
                  <c:v>84.340027474489176</c:v>
                </c:pt>
                <c:pt idx="26">
                  <c:v>88.619776202904475</c:v>
                </c:pt>
                <c:pt idx="27">
                  <c:v>95.53186631180354</c:v>
                </c:pt>
                <c:pt idx="28">
                  <c:v>98.411731087832095</c:v>
                </c:pt>
                <c:pt idx="29">
                  <c:v>84.66077090421085</c:v>
                </c:pt>
                <c:pt idx="30">
                  <c:v>83.314122184482002</c:v>
                </c:pt>
                <c:pt idx="31">
                  <c:v>90.704243525739727</c:v>
                </c:pt>
                <c:pt idx="32">
                  <c:v>67.131595497765773</c:v>
                </c:pt>
                <c:pt idx="33">
                  <c:v>57.891623660545925</c:v>
                </c:pt>
                <c:pt idx="34">
                  <c:v>49.815556581303547</c:v>
                </c:pt>
                <c:pt idx="35">
                  <c:v>47.555788627939421</c:v>
                </c:pt>
                <c:pt idx="36">
                  <c:v>78.208058710153736</c:v>
                </c:pt>
                <c:pt idx="37">
                  <c:v>74.875910047963799</c:v>
                </c:pt>
                <c:pt idx="38">
                  <c:v>71.994470930832534</c:v>
                </c:pt>
                <c:pt idx="39">
                  <c:v>70.046520412925076</c:v>
                </c:pt>
                <c:pt idx="40">
                  <c:v>70.682058119806811</c:v>
                </c:pt>
                <c:pt idx="41">
                  <c:v>69.397071902296247</c:v>
                </c:pt>
                <c:pt idx="42">
                  <c:v>69.796354571823585</c:v>
                </c:pt>
                <c:pt idx="43">
                  <c:v>1.9999999999999999E-6</c:v>
                </c:pt>
                <c:pt idx="44">
                  <c:v>1.9999999999999999E-6</c:v>
                </c:pt>
                <c:pt idx="47">
                  <c:v>90.953807635736297</c:v>
                </c:pt>
                <c:pt idx="48">
                  <c:v>92.145488044361102</c:v>
                </c:pt>
                <c:pt idx="49">
                  <c:v>83.922688774889352</c:v>
                </c:pt>
                <c:pt idx="50">
                  <c:v>88.588763102907535</c:v>
                </c:pt>
                <c:pt idx="51">
                  <c:v>80.885299575965064</c:v>
                </c:pt>
                <c:pt idx="52">
                  <c:v>85.208402757109241</c:v>
                </c:pt>
                <c:pt idx="53">
                  <c:v>61.493753929071303</c:v>
                </c:pt>
                <c:pt idx="54">
                  <c:v>71.702292197595824</c:v>
                </c:pt>
                <c:pt idx="55">
                  <c:v>98.412642414991396</c:v>
                </c:pt>
                <c:pt idx="56">
                  <c:v>109.33071485322154</c:v>
                </c:pt>
                <c:pt idx="57">
                  <c:v>109.06963160034022</c:v>
                </c:pt>
                <c:pt idx="58">
                  <c:v>110.08078464254369</c:v>
                </c:pt>
                <c:pt idx="59">
                  <c:v>110.88102240872163</c:v>
                </c:pt>
                <c:pt idx="60">
                  <c:v>112.85309547569688</c:v>
                </c:pt>
                <c:pt idx="61">
                  <c:v>113.89428807388668</c:v>
                </c:pt>
                <c:pt idx="62">
                  <c:v>114.28056802381781</c:v>
                </c:pt>
                <c:pt idx="63">
                  <c:v>113.94443935965828</c:v>
                </c:pt>
                <c:pt idx="64">
                  <c:v>115.21198713350819</c:v>
                </c:pt>
                <c:pt idx="65">
                  <c:v>114.40605949459309</c:v>
                </c:pt>
                <c:pt idx="66">
                  <c:v>114.77404620516528</c:v>
                </c:pt>
                <c:pt idx="67">
                  <c:v>117.40046145490955</c:v>
                </c:pt>
                <c:pt idx="68">
                  <c:v>118.33334414202459</c:v>
                </c:pt>
                <c:pt idx="69">
                  <c:v>118.73773533655218</c:v>
                </c:pt>
                <c:pt idx="70">
                  <c:v>119.22924287512153</c:v>
                </c:pt>
                <c:pt idx="71">
                  <c:v>120.37253252797734</c:v>
                </c:pt>
                <c:pt idx="72">
                  <c:v>121.69688449500717</c:v>
                </c:pt>
                <c:pt idx="73">
                  <c:v>123.80138507882231</c:v>
                </c:pt>
                <c:pt idx="74">
                  <c:v>122.65395707312786</c:v>
                </c:pt>
                <c:pt idx="75">
                  <c:v>123.65945798508099</c:v>
                </c:pt>
                <c:pt idx="76">
                  <c:v>63.336536908016754</c:v>
                </c:pt>
                <c:pt idx="77">
                  <c:v>61.421306126195773</c:v>
                </c:pt>
                <c:pt idx="78">
                  <c:v>55.739905201681751</c:v>
                </c:pt>
                <c:pt idx="79">
                  <c:v>52.611525847359616</c:v>
                </c:pt>
                <c:pt idx="80">
                  <c:v>46.227138173188933</c:v>
                </c:pt>
                <c:pt idx="81">
                  <c:v>44.940978824808269</c:v>
                </c:pt>
                <c:pt idx="82">
                  <c:v>97.548112740002438</c:v>
                </c:pt>
                <c:pt idx="83">
                  <c:v>94.215521309319456</c:v>
                </c:pt>
                <c:pt idx="84">
                  <c:v>91.596415018470836</c:v>
                </c:pt>
                <c:pt idx="85">
                  <c:v>89.949799139380929</c:v>
                </c:pt>
                <c:pt idx="86">
                  <c:v>102.39454970466653</c:v>
                </c:pt>
                <c:pt idx="87">
                  <c:v>104.61413919326881</c:v>
                </c:pt>
                <c:pt idx="88">
                  <c:v>100.80783924312365</c:v>
                </c:pt>
                <c:pt idx="89">
                  <c:v>99.654520007039068</c:v>
                </c:pt>
                <c:pt idx="90">
                  <c:v>98.504728444026497</c:v>
                </c:pt>
                <c:pt idx="91">
                  <c:v>83.925520269939895</c:v>
                </c:pt>
                <c:pt idx="92">
                  <c:v>84.434242892769333</c:v>
                </c:pt>
                <c:pt idx="93">
                  <c:v>78.571413606485621</c:v>
                </c:pt>
                <c:pt idx="94">
                  <c:v>77.515517360775519</c:v>
                </c:pt>
                <c:pt idx="95">
                  <c:v>73.591560623218953</c:v>
                </c:pt>
                <c:pt idx="96">
                  <c:v>97.273735309892203</c:v>
                </c:pt>
                <c:pt idx="97">
                  <c:v>98.717916946120098</c:v>
                </c:pt>
                <c:pt idx="98">
                  <c:v>99.444801439833213</c:v>
                </c:pt>
                <c:pt idx="99">
                  <c:v>87.373678699715185</c:v>
                </c:pt>
                <c:pt idx="100">
                  <c:v>90.050589702111935</c:v>
                </c:pt>
                <c:pt idx="101">
                  <c:v>84.724449942433324</c:v>
                </c:pt>
                <c:pt idx="102">
                  <c:v>87.115027410441272</c:v>
                </c:pt>
                <c:pt idx="103">
                  <c:v>84.879086084030135</c:v>
                </c:pt>
                <c:pt idx="104">
                  <c:v>94.908759896342232</c:v>
                </c:pt>
                <c:pt idx="105">
                  <c:v>103.27184610089138</c:v>
                </c:pt>
                <c:pt idx="106">
                  <c:v>77.360412661074633</c:v>
                </c:pt>
                <c:pt idx="107">
                  <c:v>73.723873659165875</c:v>
                </c:pt>
                <c:pt idx="108">
                  <c:v>84.660770904210864</c:v>
                </c:pt>
                <c:pt idx="109">
                  <c:v>83.314122184482002</c:v>
                </c:pt>
                <c:pt idx="110">
                  <c:v>87.144525245112604</c:v>
                </c:pt>
                <c:pt idx="111">
                  <c:v>82.767320993184299</c:v>
                </c:pt>
                <c:pt idx="112">
                  <c:v>77.208920387210611</c:v>
                </c:pt>
                <c:pt idx="113">
                  <c:v>75.692541005208199</c:v>
                </c:pt>
                <c:pt idx="114">
                  <c:v>76.043914007899588</c:v>
                </c:pt>
                <c:pt idx="115">
                  <c:v>84.29123677165498</c:v>
                </c:pt>
                <c:pt idx="116">
                  <c:v>79.070301713419369</c:v>
                </c:pt>
                <c:pt idx="117">
                  <c:v>79.858859127579422</c:v>
                </c:pt>
                <c:pt idx="118">
                  <c:v>74.234428277201744</c:v>
                </c:pt>
                <c:pt idx="119">
                  <c:v>84.340124961761504</c:v>
                </c:pt>
                <c:pt idx="120">
                  <c:v>84.317859340757508</c:v>
                </c:pt>
                <c:pt idx="121">
                  <c:v>78.945576032634989</c:v>
                </c:pt>
                <c:pt idx="122">
                  <c:v>79.175408892512507</c:v>
                </c:pt>
                <c:pt idx="123">
                  <c:v>77.887185703638991</c:v>
                </c:pt>
                <c:pt idx="124">
                  <c:v>76.838948728834708</c:v>
                </c:pt>
                <c:pt idx="125">
                  <c:v>89.200914207084992</c:v>
                </c:pt>
                <c:pt idx="126">
                  <c:v>88.040306847084992</c:v>
                </c:pt>
                <c:pt idx="127">
                  <c:v>81.410901277963148</c:v>
                </c:pt>
                <c:pt idx="128">
                  <c:v>80.557779383015372</c:v>
                </c:pt>
                <c:pt idx="129">
                  <c:v>81.44376801162403</c:v>
                </c:pt>
                <c:pt idx="130">
                  <c:v>80.884188529624026</c:v>
                </c:pt>
                <c:pt idx="131">
                  <c:v>80.884188529624026</c:v>
                </c:pt>
                <c:pt idx="132">
                  <c:v>79.223171920389319</c:v>
                </c:pt>
                <c:pt idx="133">
                  <c:v>83.894576936354511</c:v>
                </c:pt>
                <c:pt idx="134">
                  <c:v>88.434624173354493</c:v>
                </c:pt>
                <c:pt idx="135">
                  <c:v>76.956558116745853</c:v>
                </c:pt>
                <c:pt idx="136">
                  <c:v>80.42489926813721</c:v>
                </c:pt>
                <c:pt idx="137">
                  <c:v>77.888109736441521</c:v>
                </c:pt>
                <c:pt idx="138">
                  <c:v>77.362320036528544</c:v>
                </c:pt>
                <c:pt idx="139">
                  <c:v>74.48369482200691</c:v>
                </c:pt>
                <c:pt idx="140">
                  <c:v>105.24371316217328</c:v>
                </c:pt>
                <c:pt idx="141">
                  <c:v>96.701652147504959</c:v>
                </c:pt>
                <c:pt idx="142">
                  <c:v>100.2540674642763</c:v>
                </c:pt>
                <c:pt idx="143">
                  <c:v>96.407948263002481</c:v>
                </c:pt>
                <c:pt idx="144">
                  <c:v>99.398259626105528</c:v>
                </c:pt>
                <c:pt idx="145">
                  <c:v>95.531208467758546</c:v>
                </c:pt>
                <c:pt idx="146">
                  <c:v>97.081620803657671</c:v>
                </c:pt>
                <c:pt idx="147">
                  <c:v>96.213852143960196</c:v>
                </c:pt>
                <c:pt idx="148">
                  <c:v>98.06129470775852</c:v>
                </c:pt>
                <c:pt idx="149">
                  <c:v>96.792364583758513</c:v>
                </c:pt>
                <c:pt idx="150">
                  <c:v>96.843559166960205</c:v>
                </c:pt>
                <c:pt idx="151">
                  <c:v>101.70057791852322</c:v>
                </c:pt>
                <c:pt idx="152">
                  <c:v>98.411934735965602</c:v>
                </c:pt>
                <c:pt idx="153">
                  <c:v>97.04028327878045</c:v>
                </c:pt>
                <c:pt idx="154">
                  <c:v>99.651546878780451</c:v>
                </c:pt>
                <c:pt idx="155">
                  <c:v>100.13071466081755</c:v>
                </c:pt>
                <c:pt idx="156">
                  <c:v>97.167822980891742</c:v>
                </c:pt>
                <c:pt idx="157">
                  <c:v>102.41106256489172</c:v>
                </c:pt>
                <c:pt idx="158">
                  <c:v>102.41106256489172</c:v>
                </c:pt>
                <c:pt idx="159">
                  <c:v>103.1102410818179</c:v>
                </c:pt>
                <c:pt idx="160">
                  <c:v>107.06606217181786</c:v>
                </c:pt>
                <c:pt idx="161">
                  <c:v>133.27111886134759</c:v>
                </c:pt>
                <c:pt idx="162">
                  <c:v>133.45984609336398</c:v>
                </c:pt>
                <c:pt idx="163">
                  <c:v>132.43311028184849</c:v>
                </c:pt>
                <c:pt idx="164">
                  <c:v>130.93228923245996</c:v>
                </c:pt>
                <c:pt idx="165">
                  <c:v>127.51647754665832</c:v>
                </c:pt>
                <c:pt idx="166">
                  <c:v>125.04985487256212</c:v>
                </c:pt>
                <c:pt idx="167">
                  <c:v>131.06175862656156</c:v>
                </c:pt>
                <c:pt idx="168">
                  <c:v>131.27878616522716</c:v>
                </c:pt>
                <c:pt idx="169">
                  <c:v>128.14632543548183</c:v>
                </c:pt>
                <c:pt idx="170">
                  <c:v>128.97803740919878</c:v>
                </c:pt>
                <c:pt idx="171">
                  <c:v>128.40260443874016</c:v>
                </c:pt>
                <c:pt idx="172">
                  <c:v>126.60870462912384</c:v>
                </c:pt>
                <c:pt idx="173">
                  <c:v>118.88656334646805</c:v>
                </c:pt>
                <c:pt idx="174">
                  <c:v>143.81685683276731</c:v>
                </c:pt>
                <c:pt idx="175">
                  <c:v>132.36267215347561</c:v>
                </c:pt>
                <c:pt idx="176">
                  <c:v>129.74985662070057</c:v>
                </c:pt>
                <c:pt idx="177">
                  <c:v>127.04044448420011</c:v>
                </c:pt>
                <c:pt idx="178">
                  <c:v>128.21642183005093</c:v>
                </c:pt>
                <c:pt idx="179">
                  <c:v>142.3010392627161</c:v>
                </c:pt>
                <c:pt idx="180">
                  <c:v>87.394589371832865</c:v>
                </c:pt>
                <c:pt idx="181">
                  <c:v>73.925502302563388</c:v>
                </c:pt>
                <c:pt idx="182">
                  <c:v>69.651364109343504</c:v>
                </c:pt>
                <c:pt idx="183">
                  <c:v>105.80003039450261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E2-C942-9193-28146C4F646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chem!$J$5:$J$201</c:f>
              <c:numCache>
                <c:formatCode>0.00</c:formatCode>
                <c:ptCount val="197"/>
                <c:pt idx="0">
                  <c:v>78.462524800000011</c:v>
                </c:pt>
                <c:pt idx="1">
                  <c:v>78.989562000000006</c:v>
                </c:pt>
                <c:pt idx="2">
                  <c:v>78.534967080000001</c:v>
                </c:pt>
                <c:pt idx="3">
                  <c:v>77.301468999999997</c:v>
                </c:pt>
                <c:pt idx="4">
                  <c:v>76.986591989999994</c:v>
                </c:pt>
                <c:pt idx="5">
                  <c:v>82.696560000000005</c:v>
                </c:pt>
                <c:pt idx="6">
                  <c:v>98.338499999999996</c:v>
                </c:pt>
                <c:pt idx="7">
                  <c:v>104.65400268</c:v>
                </c:pt>
                <c:pt idx="8">
                  <c:v>0</c:v>
                </c:pt>
                <c:pt idx="9">
                  <c:v>94.358483711999995</c:v>
                </c:pt>
                <c:pt idx="11">
                  <c:v>0</c:v>
                </c:pt>
                <c:pt idx="12">
                  <c:v>69.333224481999991</c:v>
                </c:pt>
                <c:pt idx="13">
                  <c:v>84.536524799999995</c:v>
                </c:pt>
                <c:pt idx="14">
                  <c:v>86.328800000000001</c:v>
                </c:pt>
                <c:pt idx="15">
                  <c:v>118.17273295999999</c:v>
                </c:pt>
                <c:pt idx="16">
                  <c:v>0</c:v>
                </c:pt>
                <c:pt idx="17">
                  <c:v>144.05633599999999</c:v>
                </c:pt>
                <c:pt idx="18">
                  <c:v>72.463548662999997</c:v>
                </c:pt>
                <c:pt idx="19">
                  <c:v>124.547919593</c:v>
                </c:pt>
                <c:pt idx="20">
                  <c:v>0</c:v>
                </c:pt>
                <c:pt idx="21">
                  <c:v>127.149208515</c:v>
                </c:pt>
                <c:pt idx="22">
                  <c:v>38.232700999999999</c:v>
                </c:pt>
                <c:pt idx="23">
                  <c:v>97.850188799999998</c:v>
                </c:pt>
                <c:pt idx="24">
                  <c:v>114.20825247499999</c:v>
                </c:pt>
                <c:pt idx="25">
                  <c:v>83.939233502000008</c:v>
                </c:pt>
                <c:pt idx="26">
                  <c:v>86.423260544000001</c:v>
                </c:pt>
                <c:pt idx="27">
                  <c:v>103.96885484800001</c:v>
                </c:pt>
                <c:pt idx="28">
                  <c:v>111.343402872</c:v>
                </c:pt>
                <c:pt idx="29">
                  <c:v>79.673376059999981</c:v>
                </c:pt>
                <c:pt idx="30">
                  <c:v>77.389709044500009</c:v>
                </c:pt>
                <c:pt idx="31">
                  <c:v>86.055342029999991</c:v>
                </c:pt>
                <c:pt idx="32">
                  <c:v>62.890895184000009</c:v>
                </c:pt>
                <c:pt idx="33">
                  <c:v>58.297732113999999</c:v>
                </c:pt>
                <c:pt idx="34">
                  <c:v>57.513482499999995</c:v>
                </c:pt>
                <c:pt idx="35">
                  <c:v>56.843282195999997</c:v>
                </c:pt>
                <c:pt idx="36">
                  <c:v>73.952297594329991</c:v>
                </c:pt>
                <c:pt idx="37">
                  <c:v>73.276168250880005</c:v>
                </c:pt>
                <c:pt idx="38">
                  <c:v>72.903965944319992</c:v>
                </c:pt>
                <c:pt idx="39">
                  <c:v>73.338163734690013</c:v>
                </c:pt>
                <c:pt idx="40">
                  <c:v>80.930210832</c:v>
                </c:pt>
                <c:pt idx="41">
                  <c:v>76.542044544000007</c:v>
                </c:pt>
                <c:pt idx="42">
                  <c:v>60.900364225000004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94.476069597000006</c:v>
                </c:pt>
                <c:pt idx="48">
                  <c:v>94.549500100000003</c:v>
                </c:pt>
                <c:pt idx="49">
                  <c:v>88.592865885000009</c:v>
                </c:pt>
                <c:pt idx="50">
                  <c:v>87.035582808000001</c:v>
                </c:pt>
                <c:pt idx="51">
                  <c:v>80.82984888</c:v>
                </c:pt>
                <c:pt idx="52">
                  <c:v>82.94048355599999</c:v>
                </c:pt>
                <c:pt idx="53">
                  <c:v>65.429202047000004</c:v>
                </c:pt>
                <c:pt idx="54">
                  <c:v>68.473624000000001</c:v>
                </c:pt>
                <c:pt idx="55">
                  <c:v>94.027264044000006</c:v>
                </c:pt>
                <c:pt idx="56">
                  <c:v>120.977344475</c:v>
                </c:pt>
                <c:pt idx="57">
                  <c:v>121.539597552</c:v>
                </c:pt>
                <c:pt idx="58">
                  <c:v>123.26846963999999</c:v>
                </c:pt>
                <c:pt idx="59">
                  <c:v>124.547919593</c:v>
                </c:pt>
                <c:pt idx="60">
                  <c:v>126.64683865800001</c:v>
                </c:pt>
                <c:pt idx="61">
                  <c:v>128.378372122</c:v>
                </c:pt>
                <c:pt idx="62">
                  <c:v>129.92980018100002</c:v>
                </c:pt>
                <c:pt idx="63">
                  <c:v>127.964039082</c:v>
                </c:pt>
                <c:pt idx="64">
                  <c:v>130.10126124799999</c:v>
                </c:pt>
                <c:pt idx="65">
                  <c:v>129.74563097999999</c:v>
                </c:pt>
                <c:pt idx="66">
                  <c:v>130.22114416299999</c:v>
                </c:pt>
                <c:pt idx="67">
                  <c:v>132.51699514000001</c:v>
                </c:pt>
                <c:pt idx="68">
                  <c:v>134.19009868000001</c:v>
                </c:pt>
                <c:pt idx="69">
                  <c:v>135.15472851199999</c:v>
                </c:pt>
                <c:pt idx="70">
                  <c:v>136.22902950800002</c:v>
                </c:pt>
                <c:pt idx="71">
                  <c:v>137.23505280000001</c:v>
                </c:pt>
                <c:pt idx="72">
                  <c:v>138.15111913199999</c:v>
                </c:pt>
                <c:pt idx="73">
                  <c:v>142.39094502399999</c:v>
                </c:pt>
                <c:pt idx="74">
                  <c:v>140.714819011</c:v>
                </c:pt>
                <c:pt idx="75">
                  <c:v>142.136830108</c:v>
                </c:pt>
                <c:pt idx="76">
                  <c:v>65.206034999999986</c:v>
                </c:pt>
                <c:pt idx="77">
                  <c:v>64.477354043999995</c:v>
                </c:pt>
                <c:pt idx="78">
                  <c:v>62.414601900000008</c:v>
                </c:pt>
                <c:pt idx="79">
                  <c:v>60.104421263999996</c:v>
                </c:pt>
                <c:pt idx="80">
                  <c:v>55.039065088000001</c:v>
                </c:pt>
                <c:pt idx="81">
                  <c:v>52.268894463999999</c:v>
                </c:pt>
                <c:pt idx="82">
                  <c:v>97.893071784</c:v>
                </c:pt>
                <c:pt idx="83">
                  <c:v>96.161383436999998</c:v>
                </c:pt>
                <c:pt idx="84">
                  <c:v>93.589944336000002</c:v>
                </c:pt>
                <c:pt idx="85">
                  <c:v>91.279128095999994</c:v>
                </c:pt>
                <c:pt idx="86">
                  <c:v>115.50914713600001</c:v>
                </c:pt>
                <c:pt idx="87">
                  <c:v>117.592190032</c:v>
                </c:pt>
                <c:pt idx="88">
                  <c:v>112.46283526399999</c:v>
                </c:pt>
                <c:pt idx="89">
                  <c:v>111.76912401599999</c:v>
                </c:pt>
                <c:pt idx="90">
                  <c:v>109.9425844</c:v>
                </c:pt>
                <c:pt idx="91">
                  <c:v>78.993113949000005</c:v>
                </c:pt>
                <c:pt idx="92">
                  <c:v>79.685472496000003</c:v>
                </c:pt>
                <c:pt idx="93">
                  <c:v>77.451919033525826</c:v>
                </c:pt>
                <c:pt idx="94">
                  <c:v>75.908254160937489</c:v>
                </c:pt>
                <c:pt idx="95">
                  <c:v>74.563019284559999</c:v>
                </c:pt>
                <c:pt idx="96">
                  <c:v>97.850188799999998</c:v>
                </c:pt>
                <c:pt idx="97">
                  <c:v>97.9296875</c:v>
                </c:pt>
                <c:pt idx="98">
                  <c:v>96.915811300000001</c:v>
                </c:pt>
                <c:pt idx="99">
                  <c:v>90.523674</c:v>
                </c:pt>
                <c:pt idx="100">
                  <c:v>90.383699699999994</c:v>
                </c:pt>
                <c:pt idx="101">
                  <c:v>77.874980400000013</c:v>
                </c:pt>
                <c:pt idx="102">
                  <c:v>80.822748750000002</c:v>
                </c:pt>
                <c:pt idx="103">
                  <c:v>80.035713099999995</c:v>
                </c:pt>
                <c:pt idx="104">
                  <c:v>97.304904383999997</c:v>
                </c:pt>
                <c:pt idx="105">
                  <c:v>111.58797161699999</c:v>
                </c:pt>
                <c:pt idx="106">
                  <c:v>74.891600187999998</c:v>
                </c:pt>
                <c:pt idx="107">
                  <c:v>74.714411468999998</c:v>
                </c:pt>
                <c:pt idx="108">
                  <c:v>79.673376059999981</c:v>
                </c:pt>
                <c:pt idx="109">
                  <c:v>77.389709044500009</c:v>
                </c:pt>
                <c:pt idx="110">
                  <c:v>83.617008623999993</c:v>
                </c:pt>
                <c:pt idx="111">
                  <c:v>79.119250899999997</c:v>
                </c:pt>
                <c:pt idx="112">
                  <c:v>74.876811263999997</c:v>
                </c:pt>
                <c:pt idx="113">
                  <c:v>73.807417376000004</c:v>
                </c:pt>
                <c:pt idx="114">
                  <c:v>72.463548662999997</c:v>
                </c:pt>
                <c:pt idx="115">
                  <c:v>78.975098047999992</c:v>
                </c:pt>
                <c:pt idx="116">
                  <c:v>75.936301056000005</c:v>
                </c:pt>
                <c:pt idx="117">
                  <c:v>76.51293695999999</c:v>
                </c:pt>
                <c:pt idx="118">
                  <c:v>72.997848000000005</c:v>
                </c:pt>
                <c:pt idx="119">
                  <c:v>83.939233502000008</c:v>
                </c:pt>
                <c:pt idx="120">
                  <c:v>84.484736238000011</c:v>
                </c:pt>
                <c:pt idx="121">
                  <c:v>79.791910928000007</c:v>
                </c:pt>
                <c:pt idx="122">
                  <c:v>81.324168831999998</c:v>
                </c:pt>
                <c:pt idx="123">
                  <c:v>79.442014528000001</c:v>
                </c:pt>
                <c:pt idx="124">
                  <c:v>80.479704255999991</c:v>
                </c:pt>
                <c:pt idx="125">
                  <c:v>86.248521056000001</c:v>
                </c:pt>
                <c:pt idx="126">
                  <c:v>86.569011863999989</c:v>
                </c:pt>
                <c:pt idx="127">
                  <c:v>81.185223124999993</c:v>
                </c:pt>
                <c:pt idx="128">
                  <c:v>81.343011907999994</c:v>
                </c:pt>
                <c:pt idx="129">
                  <c:v>81.359926200000004</c:v>
                </c:pt>
                <c:pt idx="130">
                  <c:v>81.359926200000004</c:v>
                </c:pt>
                <c:pt idx="131">
                  <c:v>81.359926200000004</c:v>
                </c:pt>
                <c:pt idx="132">
                  <c:v>80.182490704000003</c:v>
                </c:pt>
                <c:pt idx="133">
                  <c:v>85.063107328000015</c:v>
                </c:pt>
                <c:pt idx="134">
                  <c:v>86.63481329199999</c:v>
                </c:pt>
                <c:pt idx="135">
                  <c:v>78.822761471999982</c:v>
                </c:pt>
                <c:pt idx="136">
                  <c:v>82.800335583000006</c:v>
                </c:pt>
                <c:pt idx="137">
                  <c:v>79.135261972000009</c:v>
                </c:pt>
                <c:pt idx="138">
                  <c:v>78.789662451999988</c:v>
                </c:pt>
                <c:pt idx="139">
                  <c:v>77.106130992000004</c:v>
                </c:pt>
                <c:pt idx="140">
                  <c:v>114.20825247499999</c:v>
                </c:pt>
                <c:pt idx="141">
                  <c:v>107.470894603</c:v>
                </c:pt>
                <c:pt idx="142">
                  <c:v>111.06596659200001</c:v>
                </c:pt>
                <c:pt idx="143">
                  <c:v>103.2035011</c:v>
                </c:pt>
                <c:pt idx="144">
                  <c:v>106.1024472</c:v>
                </c:pt>
                <c:pt idx="145">
                  <c:v>103.96885484800001</c:v>
                </c:pt>
                <c:pt idx="146">
                  <c:v>105.01710546000001</c:v>
                </c:pt>
                <c:pt idx="147">
                  <c:v>104.444848725</c:v>
                </c:pt>
                <c:pt idx="148">
                  <c:v>105.44214715199999</c:v>
                </c:pt>
                <c:pt idx="149">
                  <c:v>105.81208981300001</c:v>
                </c:pt>
                <c:pt idx="150">
                  <c:v>103.712605389</c:v>
                </c:pt>
                <c:pt idx="151">
                  <c:v>108.653815296</c:v>
                </c:pt>
                <c:pt idx="152">
                  <c:v>111.343402872</c:v>
                </c:pt>
                <c:pt idx="153">
                  <c:v>109.363987494</c:v>
                </c:pt>
                <c:pt idx="154">
                  <c:v>110.13613135000001</c:v>
                </c:pt>
                <c:pt idx="155">
                  <c:v>111.45421006400001</c:v>
                </c:pt>
                <c:pt idx="156">
                  <c:v>109.54737797499999</c:v>
                </c:pt>
                <c:pt idx="157">
                  <c:v>113.392401916</c:v>
                </c:pt>
                <c:pt idx="158">
                  <c:v>112.611000064</c:v>
                </c:pt>
                <c:pt idx="159">
                  <c:v>113.481055584</c:v>
                </c:pt>
                <c:pt idx="160">
                  <c:v>116.98522786400001</c:v>
                </c:pt>
                <c:pt idx="161">
                  <c:v>148.872001926</c:v>
                </c:pt>
                <c:pt idx="162">
                  <c:v>148.90714916600001</c:v>
                </c:pt>
                <c:pt idx="163">
                  <c:v>148.12186636800001</c:v>
                </c:pt>
                <c:pt idx="164">
                  <c:v>145.98936728000001</c:v>
                </c:pt>
                <c:pt idx="165">
                  <c:v>141.35017161200003</c:v>
                </c:pt>
                <c:pt idx="166">
                  <c:v>138.29915126399999</c:v>
                </c:pt>
                <c:pt idx="167">
                  <c:v>148.26267678599999</c:v>
                </c:pt>
                <c:pt idx="168">
                  <c:v>145.17309509999998</c:v>
                </c:pt>
                <c:pt idx="169">
                  <c:v>141.21420727500001</c:v>
                </c:pt>
                <c:pt idx="170">
                  <c:v>141.43703008</c:v>
                </c:pt>
                <c:pt idx="171">
                  <c:v>140.382486153</c:v>
                </c:pt>
                <c:pt idx="172">
                  <c:v>138.20639373199998</c:v>
                </c:pt>
                <c:pt idx="173">
                  <c:v>129.660610612</c:v>
                </c:pt>
                <c:pt idx="174">
                  <c:v>157.29968540000002</c:v>
                </c:pt>
                <c:pt idx="175">
                  <c:v>147.75655363199999</c:v>
                </c:pt>
                <c:pt idx="176">
                  <c:v>145.22671704799998</c:v>
                </c:pt>
                <c:pt idx="177">
                  <c:v>142.54434000000001</c:v>
                </c:pt>
                <c:pt idx="178">
                  <c:v>143.80595667199998</c:v>
                </c:pt>
                <c:pt idx="179">
                  <c:v>156.76334079999998</c:v>
                </c:pt>
                <c:pt idx="180">
                  <c:v>81.077085699999998</c:v>
                </c:pt>
                <c:pt idx="181">
                  <c:v>72.433095800000004</c:v>
                </c:pt>
                <c:pt idx="182">
                  <c:v>70.426523000000003</c:v>
                </c:pt>
                <c:pt idx="183">
                  <c:v>111.629260268064</c:v>
                </c:pt>
                <c:pt idx="184">
                  <c:v>122.11180467200001</c:v>
                </c:pt>
                <c:pt idx="185">
                  <c:v>90.547331200000002</c:v>
                </c:pt>
                <c:pt idx="186">
                  <c:v>77.253212222000002</c:v>
                </c:pt>
                <c:pt idx="187">
                  <c:v>118.54191521599999</c:v>
                </c:pt>
                <c:pt idx="188">
                  <c:v>105.60018780000001</c:v>
                </c:pt>
                <c:pt idx="189">
                  <c:v>99.519203056000009</c:v>
                </c:pt>
                <c:pt idx="190">
                  <c:v>89.774455260000011</c:v>
                </c:pt>
                <c:pt idx="191">
                  <c:v>82.025775104000004</c:v>
                </c:pt>
                <c:pt idx="192">
                  <c:v>73.839533568000007</c:v>
                </c:pt>
                <c:pt idx="193">
                  <c:v>109.56756572500001</c:v>
                </c:pt>
                <c:pt idx="194">
                  <c:v>78.540721875000003</c:v>
                </c:pt>
                <c:pt idx="195">
                  <c:v>99.733198747000003</c:v>
                </c:pt>
                <c:pt idx="196">
                  <c:v>108.23615120000001</c:v>
                </c:pt>
              </c:numCache>
            </c:numRef>
          </c:xVal>
          <c:yVal>
            <c:numRef>
              <c:f>chem!$L$5:$L$201</c:f>
              <c:numCache>
                <c:formatCode>0.00</c:formatCode>
                <c:ptCount val="197"/>
                <c:pt idx="0">
                  <c:v>91.959084480762272</c:v>
                </c:pt>
                <c:pt idx="1">
                  <c:v>88.628143835597712</c:v>
                </c:pt>
                <c:pt idx="2">
                  <c:v>87.413410164414017</c:v>
                </c:pt>
                <c:pt idx="3">
                  <c:v>87.051959437945627</c:v>
                </c:pt>
                <c:pt idx="4">
                  <c:v>85.608469266867729</c:v>
                </c:pt>
                <c:pt idx="5">
                  <c:v>90.485445301042674</c:v>
                </c:pt>
                <c:pt idx="6">
                  <c:v>99.564694766435238</c:v>
                </c:pt>
                <c:pt idx="7">
                  <c:v>100.35170937387329</c:v>
                </c:pt>
                <c:pt idx="8">
                  <c:v>1.9999999999999999E-6</c:v>
                </c:pt>
                <c:pt idx="9">
                  <c:v>89.145422346816872</c:v>
                </c:pt>
                <c:pt idx="10">
                  <c:v>1.9999999999999999E-6</c:v>
                </c:pt>
                <c:pt idx="12">
                  <c:v>76.981229428283413</c:v>
                </c:pt>
                <c:pt idx="13">
                  <c:v>81.361204562265428</c:v>
                </c:pt>
                <c:pt idx="14">
                  <c:v>86.552602967498899</c:v>
                </c:pt>
                <c:pt idx="15">
                  <c:v>0</c:v>
                </c:pt>
                <c:pt idx="17">
                  <c:v>119.34479780850889</c:v>
                </c:pt>
                <c:pt idx="18">
                  <c:v>79.972319450488584</c:v>
                </c:pt>
                <c:pt idx="19">
                  <c:v>112.68428855394076</c:v>
                </c:pt>
                <c:pt idx="20">
                  <c:v>1.9999999999999999E-6</c:v>
                </c:pt>
                <c:pt idx="21">
                  <c:v>115.00148209535934</c:v>
                </c:pt>
                <c:pt idx="22">
                  <c:v>43.684996788417848</c:v>
                </c:pt>
                <c:pt idx="23">
                  <c:v>101.29235265816268</c:v>
                </c:pt>
                <c:pt idx="24">
                  <c:v>109.36307785240584</c:v>
                </c:pt>
                <c:pt idx="25">
                  <c:v>88.309119831111587</c:v>
                </c:pt>
                <c:pt idx="26">
                  <c:v>92.558236367218839</c:v>
                </c:pt>
                <c:pt idx="27">
                  <c:v>99.530835372701631</c:v>
                </c:pt>
                <c:pt idx="28">
                  <c:v>102.36115513071728</c:v>
                </c:pt>
                <c:pt idx="29">
                  <c:v>88.55032120065701</c:v>
                </c:pt>
                <c:pt idx="30">
                  <c:v>87.122804241519205</c:v>
                </c:pt>
                <c:pt idx="31">
                  <c:v>94.783417568628394</c:v>
                </c:pt>
                <c:pt idx="32">
                  <c:v>70.687155032588606</c:v>
                </c:pt>
                <c:pt idx="33">
                  <c:v>61.390544020181977</c:v>
                </c:pt>
                <c:pt idx="34">
                  <c:v>53.283311860434516</c:v>
                </c:pt>
                <c:pt idx="35">
                  <c:v>50.940376675979806</c:v>
                </c:pt>
                <c:pt idx="36">
                  <c:v>82.097439765217914</c:v>
                </c:pt>
                <c:pt idx="37">
                  <c:v>78.816039141027943</c:v>
                </c:pt>
                <c:pt idx="38">
                  <c:v>75.960683382917523</c:v>
                </c:pt>
                <c:pt idx="39">
                  <c:v>74.040453278975022</c:v>
                </c:pt>
                <c:pt idx="40">
                  <c:v>74.83121563726894</c:v>
                </c:pt>
                <c:pt idx="41">
                  <c:v>73.483465706098755</c:v>
                </c:pt>
                <c:pt idx="42">
                  <c:v>73.868094265274522</c:v>
                </c:pt>
                <c:pt idx="43">
                  <c:v>1.9999999999999999E-6</c:v>
                </c:pt>
                <c:pt idx="44">
                  <c:v>1.9999999999999999E-6</c:v>
                </c:pt>
                <c:pt idx="47">
                  <c:v>94.871350560914919</c:v>
                </c:pt>
                <c:pt idx="48">
                  <c:v>95.949711908401355</c:v>
                </c:pt>
                <c:pt idx="49">
                  <c:v>87.85432399045412</c:v>
                </c:pt>
                <c:pt idx="50">
                  <c:v>92.435961131175901</c:v>
                </c:pt>
                <c:pt idx="51">
                  <c:v>84.738792420491293</c:v>
                </c:pt>
                <c:pt idx="52">
                  <c:v>89.189451573044707</c:v>
                </c:pt>
                <c:pt idx="53">
                  <c:v>64.686575609495875</c:v>
                </c:pt>
                <c:pt idx="54">
                  <c:v>75.676670296143556</c:v>
                </c:pt>
                <c:pt idx="55">
                  <c:v>102.56478768454232</c:v>
                </c:pt>
                <c:pt idx="56">
                  <c:v>113.60590956529632</c:v>
                </c:pt>
                <c:pt idx="57">
                  <c:v>113.25763312180744</c:v>
                </c:pt>
                <c:pt idx="58">
                  <c:v>114.20080247811374</c:v>
                </c:pt>
                <c:pt idx="59">
                  <c:v>114.97368949773642</c:v>
                </c:pt>
                <c:pt idx="60">
                  <c:v>116.90084392680158</c:v>
                </c:pt>
                <c:pt idx="61">
                  <c:v>117.87852150124735</c:v>
                </c:pt>
                <c:pt idx="62">
                  <c:v>118.17477779250169</c:v>
                </c:pt>
                <c:pt idx="63">
                  <c:v>118.18142193379008</c:v>
                </c:pt>
                <c:pt idx="64">
                  <c:v>119.37283718134186</c:v>
                </c:pt>
                <c:pt idx="65">
                  <c:v>118.48163126863462</c:v>
                </c:pt>
                <c:pt idx="66">
                  <c:v>118.74135781666197</c:v>
                </c:pt>
                <c:pt idx="67">
                  <c:v>121.5958418732797</c:v>
                </c:pt>
                <c:pt idx="68">
                  <c:v>122.49345795001875</c:v>
                </c:pt>
                <c:pt idx="69">
                  <c:v>122.83900630152495</c:v>
                </c:pt>
                <c:pt idx="70">
                  <c:v>123.25030666653625</c:v>
                </c:pt>
                <c:pt idx="71">
                  <c:v>124.58176073016955</c:v>
                </c:pt>
                <c:pt idx="72">
                  <c:v>125.85816892744835</c:v>
                </c:pt>
                <c:pt idx="73">
                  <c:v>127.93175032019779</c:v>
                </c:pt>
                <c:pt idx="74">
                  <c:v>126.71387211210028</c:v>
                </c:pt>
                <c:pt idx="75">
                  <c:v>127.88942211306971</c:v>
                </c:pt>
                <c:pt idx="76">
                  <c:v>66.64494702806239</c:v>
                </c:pt>
                <c:pt idx="77">
                  <c:v>64.647019339443801</c:v>
                </c:pt>
                <c:pt idx="78">
                  <c:v>58.838937974437833</c:v>
                </c:pt>
                <c:pt idx="79">
                  <c:v>55.567203432992201</c:v>
                </c:pt>
                <c:pt idx="80">
                  <c:v>48.98881416694104</c:v>
                </c:pt>
                <c:pt idx="81">
                  <c:v>47.619860875968214</c:v>
                </c:pt>
                <c:pt idx="82">
                  <c:v>101.57878025317517</c:v>
                </c:pt>
                <c:pt idx="83">
                  <c:v>98.215990603742071</c:v>
                </c:pt>
                <c:pt idx="84">
                  <c:v>95.5523816747354</c:v>
                </c:pt>
                <c:pt idx="85">
                  <c:v>93.869210057158512</c:v>
                </c:pt>
                <c:pt idx="86">
                  <c:v>106.51687930993951</c:v>
                </c:pt>
                <c:pt idx="87">
                  <c:v>108.72324678626543</c:v>
                </c:pt>
                <c:pt idx="88">
                  <c:v>104.85671322463909</c:v>
                </c:pt>
                <c:pt idx="89">
                  <c:v>103.67841907647694</c:v>
                </c:pt>
                <c:pt idx="90">
                  <c:v>102.47280123940864</c:v>
                </c:pt>
                <c:pt idx="91">
                  <c:v>87.771935377709028</c:v>
                </c:pt>
                <c:pt idx="92">
                  <c:v>88.297032692355273</c:v>
                </c:pt>
                <c:pt idx="93">
                  <c:v>82.365429700440956</c:v>
                </c:pt>
                <c:pt idx="94">
                  <c:v>81.28169647864226</c:v>
                </c:pt>
                <c:pt idx="95">
                  <c:v>77.315165542361981</c:v>
                </c:pt>
                <c:pt idx="96">
                  <c:v>101.29395561985473</c:v>
                </c:pt>
                <c:pt idx="97">
                  <c:v>102.72853864014159</c:v>
                </c:pt>
                <c:pt idx="98">
                  <c:v>103.43942544061969</c:v>
                </c:pt>
                <c:pt idx="99">
                  <c:v>91.317110082149568</c:v>
                </c:pt>
                <c:pt idx="100">
                  <c:v>93.949227543488234</c:v>
                </c:pt>
                <c:pt idx="101">
                  <c:v>88.514326306608083</c:v>
                </c:pt>
                <c:pt idx="102">
                  <c:v>90.973450892363886</c:v>
                </c:pt>
                <c:pt idx="103">
                  <c:v>88.73044240517082</c:v>
                </c:pt>
                <c:pt idx="104">
                  <c:v>98.96635510222923</c:v>
                </c:pt>
                <c:pt idx="105">
                  <c:v>107.43296084063958</c:v>
                </c:pt>
                <c:pt idx="106">
                  <c:v>81.291664440389965</c:v>
                </c:pt>
                <c:pt idx="107">
                  <c:v>77.746330433107474</c:v>
                </c:pt>
                <c:pt idx="108">
                  <c:v>88.55032120065701</c:v>
                </c:pt>
                <c:pt idx="109">
                  <c:v>87.122804241519205</c:v>
                </c:pt>
                <c:pt idx="110">
                  <c:v>91.084119373931301</c:v>
                </c:pt>
                <c:pt idx="111">
                  <c:v>86.609077519466112</c:v>
                </c:pt>
                <c:pt idx="112">
                  <c:v>81.014803125895568</c:v>
                </c:pt>
                <c:pt idx="113">
                  <c:v>79.501684997311045</c:v>
                </c:pt>
                <c:pt idx="114">
                  <c:v>80.022757243907947</c:v>
                </c:pt>
                <c:pt idx="115">
                  <c:v>88.303699299898312</c:v>
                </c:pt>
                <c:pt idx="116">
                  <c:v>83.094530993944943</c:v>
                </c:pt>
                <c:pt idx="117">
                  <c:v>83.867959726599253</c:v>
                </c:pt>
                <c:pt idx="118">
                  <c:v>78.226719230104095</c:v>
                </c:pt>
                <c:pt idx="119">
                  <c:v>88.309105235485688</c:v>
                </c:pt>
                <c:pt idx="120">
                  <c:v>88.312633149972996</c:v>
                </c:pt>
                <c:pt idx="121">
                  <c:v>82.924228882168421</c:v>
                </c:pt>
                <c:pt idx="122">
                  <c:v>83.13794078236387</c:v>
                </c:pt>
                <c:pt idx="123">
                  <c:v>81.84004501768112</c:v>
                </c:pt>
                <c:pt idx="124">
                  <c:v>80.738608875926019</c:v>
                </c:pt>
                <c:pt idx="125">
                  <c:v>93.139385133758935</c:v>
                </c:pt>
                <c:pt idx="126">
                  <c:v>91.978777773758935</c:v>
                </c:pt>
                <c:pt idx="127">
                  <c:v>85.383048055394497</c:v>
                </c:pt>
                <c:pt idx="128">
                  <c:v>84.515493652979259</c:v>
                </c:pt>
                <c:pt idx="129">
                  <c:v>85.417518400996201</c:v>
                </c:pt>
                <c:pt idx="130">
                  <c:v>84.857938918996197</c:v>
                </c:pt>
                <c:pt idx="131">
                  <c:v>84.857938918996197</c:v>
                </c:pt>
                <c:pt idx="132">
                  <c:v>83.169660906767405</c:v>
                </c:pt>
                <c:pt idx="133">
                  <c:v>87.850687594377575</c:v>
                </c:pt>
                <c:pt idx="134">
                  <c:v>92.390734831377557</c:v>
                </c:pt>
                <c:pt idx="135">
                  <c:v>80.896632655360619</c:v>
                </c:pt>
                <c:pt idx="136">
                  <c:v>84.348937687343707</c:v>
                </c:pt>
                <c:pt idx="137">
                  <c:v>81.82016621535216</c:v>
                </c:pt>
                <c:pt idx="138">
                  <c:v>81.270322336326757</c:v>
                </c:pt>
                <c:pt idx="139">
                  <c:v>78.351606823284413</c:v>
                </c:pt>
                <c:pt idx="140">
                  <c:v>109.36331251505112</c:v>
                </c:pt>
                <c:pt idx="141">
                  <c:v>100.79683001477849</c:v>
                </c:pt>
                <c:pt idx="142">
                  <c:v>104.3568770458012</c:v>
                </c:pt>
                <c:pt idx="143">
                  <c:v>100.46649390186955</c:v>
                </c:pt>
                <c:pt idx="144">
                  <c:v>103.44001549361963</c:v>
                </c:pt>
                <c:pt idx="145">
                  <c:v>99.530782127969985</c:v>
                </c:pt>
                <c:pt idx="146">
                  <c:v>101.09314686927878</c:v>
                </c:pt>
                <c:pt idx="147">
                  <c:v>100.18952099335229</c:v>
                </c:pt>
                <c:pt idx="148">
                  <c:v>102.06086836796996</c:v>
                </c:pt>
                <c:pt idx="149">
                  <c:v>100.79193824396995</c:v>
                </c:pt>
                <c:pt idx="150">
                  <c:v>100.8192280163523</c:v>
                </c:pt>
                <c:pt idx="151">
                  <c:v>105.66877651453427</c:v>
                </c:pt>
                <c:pt idx="152">
                  <c:v>102.36128151059719</c:v>
                </c:pt>
                <c:pt idx="153">
                  <c:v>100.98681712835889</c:v>
                </c:pt>
                <c:pt idx="154">
                  <c:v>103.59808072835889</c:v>
                </c:pt>
                <c:pt idx="155">
                  <c:v>104.0702161977631</c:v>
                </c:pt>
                <c:pt idx="156">
                  <c:v>101.09325989257151</c:v>
                </c:pt>
                <c:pt idx="157">
                  <c:v>106.33649947657149</c:v>
                </c:pt>
                <c:pt idx="158">
                  <c:v>106.33649947657149</c:v>
                </c:pt>
                <c:pt idx="159">
                  <c:v>107.01176813054585</c:v>
                </c:pt>
                <c:pt idx="160">
                  <c:v>110.9675892205458</c:v>
                </c:pt>
                <c:pt idx="161">
                  <c:v>137.79802178139639</c:v>
                </c:pt>
                <c:pt idx="162">
                  <c:v>138.01078269722669</c:v>
                </c:pt>
                <c:pt idx="163">
                  <c:v>136.98030906652517</c:v>
                </c:pt>
                <c:pt idx="164">
                  <c:v>135.44266456175652</c:v>
                </c:pt>
                <c:pt idx="165">
                  <c:v>131.93450486811659</c:v>
                </c:pt>
                <c:pt idx="166">
                  <c:v>129.39547510087317</c:v>
                </c:pt>
                <c:pt idx="167">
                  <c:v>135.55240072405249</c:v>
                </c:pt>
                <c:pt idx="168">
                  <c:v>135.6324695923596</c:v>
                </c:pt>
                <c:pt idx="169">
                  <c:v>132.46383849028155</c:v>
                </c:pt>
                <c:pt idx="170">
                  <c:v>133.31668570288093</c:v>
                </c:pt>
                <c:pt idx="171">
                  <c:v>132.71927579438184</c:v>
                </c:pt>
                <c:pt idx="172">
                  <c:v>130.87448872170168</c:v>
                </c:pt>
                <c:pt idx="173">
                  <c:v>122.9177266662478</c:v>
                </c:pt>
                <c:pt idx="174">
                  <c:v>148.42000467411017</c:v>
                </c:pt>
                <c:pt idx="175">
                  <c:v>136.90997657436202</c:v>
                </c:pt>
                <c:pt idx="176">
                  <c:v>134.26159663554154</c:v>
                </c:pt>
                <c:pt idx="177">
                  <c:v>131.46932223523041</c:v>
                </c:pt>
                <c:pt idx="178">
                  <c:v>132.68932138209414</c:v>
                </c:pt>
                <c:pt idx="179">
                  <c:v>146.9894383096474</c:v>
                </c:pt>
                <c:pt idx="180">
                  <c:v>91.235157474500639</c:v>
                </c:pt>
                <c:pt idx="181">
                  <c:v>77.694682273947052</c:v>
                </c:pt>
                <c:pt idx="182">
                  <c:v>73.346222762557218</c:v>
                </c:pt>
                <c:pt idx="183">
                  <c:v>110.35118716994829</c:v>
                </c:pt>
                <c:pt idx="184">
                  <c:v>115.27804009746446</c:v>
                </c:pt>
                <c:pt idx="185">
                  <c:v>94.35658183937835</c:v>
                </c:pt>
                <c:pt idx="186">
                  <c:v>88.660292197223953</c:v>
                </c:pt>
                <c:pt idx="187">
                  <c:v>108.63501710339035</c:v>
                </c:pt>
                <c:pt idx="188">
                  <c:v>100.47012822015841</c:v>
                </c:pt>
                <c:pt idx="189">
                  <c:v>98.343138663396587</c:v>
                </c:pt>
                <c:pt idx="190">
                  <c:v>92.407022706020072</c:v>
                </c:pt>
                <c:pt idx="191">
                  <c:v>87.669812131816755</c:v>
                </c:pt>
                <c:pt idx="192">
                  <c:v>82.222145725748348</c:v>
                </c:pt>
                <c:pt idx="193">
                  <c:v>104.34526876562045</c:v>
                </c:pt>
                <c:pt idx="194">
                  <c:v>87.10882389589419</c:v>
                </c:pt>
                <c:pt idx="195">
                  <c:v>99.690479390775948</c:v>
                </c:pt>
                <c:pt idx="196">
                  <c:v>101.11711197008985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E2-C942-9193-28146C4F6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605280"/>
        <c:axId val="359607008"/>
      </c:scatterChart>
      <c:valAx>
        <c:axId val="359605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59607008"/>
        <c:crosses val="autoZero"/>
        <c:crossBetween val="midCat"/>
      </c:valAx>
      <c:valAx>
        <c:axId val="359607008"/>
        <c:scaling>
          <c:orientation val="minMax"/>
          <c:max val="1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59605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838217783752638E-2"/>
          <c:y val="7.4960832164332247E-2"/>
          <c:w val="0.91721298252352601"/>
          <c:h val="0.8781542540367338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0"/>
          </c:trendline>
          <c:xVal>
            <c:numRef>
              <c:f>chem!$J$5:$J$201</c:f>
              <c:numCache>
                <c:formatCode>0.00</c:formatCode>
                <c:ptCount val="197"/>
                <c:pt idx="0">
                  <c:v>78.462524800000011</c:v>
                </c:pt>
                <c:pt idx="1">
                  <c:v>78.989562000000006</c:v>
                </c:pt>
                <c:pt idx="2">
                  <c:v>78.534967080000001</c:v>
                </c:pt>
                <c:pt idx="3">
                  <c:v>77.301468999999997</c:v>
                </c:pt>
                <c:pt idx="4">
                  <c:v>76.986591989999994</c:v>
                </c:pt>
                <c:pt idx="5">
                  <c:v>82.696560000000005</c:v>
                </c:pt>
                <c:pt idx="6">
                  <c:v>98.338499999999996</c:v>
                </c:pt>
                <c:pt idx="7">
                  <c:v>104.65400268</c:v>
                </c:pt>
                <c:pt idx="8">
                  <c:v>0</c:v>
                </c:pt>
                <c:pt idx="9">
                  <c:v>94.358483711999995</c:v>
                </c:pt>
                <c:pt idx="11">
                  <c:v>0</c:v>
                </c:pt>
                <c:pt idx="12">
                  <c:v>69.333224481999991</c:v>
                </c:pt>
                <c:pt idx="13">
                  <c:v>84.536524799999995</c:v>
                </c:pt>
                <c:pt idx="14">
                  <c:v>86.328800000000001</c:v>
                </c:pt>
                <c:pt idx="15">
                  <c:v>118.17273295999999</c:v>
                </c:pt>
                <c:pt idx="16">
                  <c:v>0</c:v>
                </c:pt>
                <c:pt idx="17">
                  <c:v>144.05633599999999</c:v>
                </c:pt>
                <c:pt idx="18">
                  <c:v>72.463548662999997</c:v>
                </c:pt>
                <c:pt idx="19">
                  <c:v>124.547919593</c:v>
                </c:pt>
                <c:pt idx="20">
                  <c:v>0</c:v>
                </c:pt>
                <c:pt idx="21">
                  <c:v>127.149208515</c:v>
                </c:pt>
                <c:pt idx="22">
                  <c:v>38.232700999999999</c:v>
                </c:pt>
                <c:pt idx="23">
                  <c:v>97.850188799999998</c:v>
                </c:pt>
                <c:pt idx="24">
                  <c:v>114.20825247499999</c:v>
                </c:pt>
                <c:pt idx="25">
                  <c:v>83.939233502000008</c:v>
                </c:pt>
                <c:pt idx="26">
                  <c:v>86.423260544000001</c:v>
                </c:pt>
                <c:pt idx="27">
                  <c:v>103.96885484800001</c:v>
                </c:pt>
                <c:pt idx="28">
                  <c:v>111.343402872</c:v>
                </c:pt>
                <c:pt idx="29">
                  <c:v>79.673376059999981</c:v>
                </c:pt>
                <c:pt idx="30">
                  <c:v>77.389709044500009</c:v>
                </c:pt>
                <c:pt idx="31">
                  <c:v>86.055342029999991</c:v>
                </c:pt>
                <c:pt idx="32">
                  <c:v>62.890895184000009</c:v>
                </c:pt>
                <c:pt idx="33">
                  <c:v>58.297732113999999</c:v>
                </c:pt>
                <c:pt idx="34">
                  <c:v>57.513482499999995</c:v>
                </c:pt>
                <c:pt idx="35">
                  <c:v>56.843282195999997</c:v>
                </c:pt>
                <c:pt idx="36">
                  <c:v>73.952297594329991</c:v>
                </c:pt>
                <c:pt idx="37">
                  <c:v>73.276168250880005</c:v>
                </c:pt>
                <c:pt idx="38">
                  <c:v>72.903965944319992</c:v>
                </c:pt>
                <c:pt idx="39">
                  <c:v>73.338163734690013</c:v>
                </c:pt>
                <c:pt idx="40">
                  <c:v>80.930210832</c:v>
                </c:pt>
                <c:pt idx="41">
                  <c:v>76.542044544000007</c:v>
                </c:pt>
                <c:pt idx="42">
                  <c:v>60.900364225000004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94.476069597000006</c:v>
                </c:pt>
                <c:pt idx="48">
                  <c:v>94.549500100000003</c:v>
                </c:pt>
                <c:pt idx="49">
                  <c:v>88.592865885000009</c:v>
                </c:pt>
                <c:pt idx="50">
                  <c:v>87.035582808000001</c:v>
                </c:pt>
                <c:pt idx="51">
                  <c:v>80.82984888</c:v>
                </c:pt>
                <c:pt idx="52">
                  <c:v>82.94048355599999</c:v>
                </c:pt>
                <c:pt idx="53">
                  <c:v>65.429202047000004</c:v>
                </c:pt>
                <c:pt idx="54">
                  <c:v>68.473624000000001</c:v>
                </c:pt>
                <c:pt idx="55">
                  <c:v>94.027264044000006</c:v>
                </c:pt>
                <c:pt idx="56">
                  <c:v>120.977344475</c:v>
                </c:pt>
                <c:pt idx="57">
                  <c:v>121.539597552</c:v>
                </c:pt>
                <c:pt idx="58">
                  <c:v>123.26846963999999</c:v>
                </c:pt>
                <c:pt idx="59">
                  <c:v>124.547919593</c:v>
                </c:pt>
                <c:pt idx="60">
                  <c:v>126.64683865800001</c:v>
                </c:pt>
                <c:pt idx="61">
                  <c:v>128.378372122</c:v>
                </c:pt>
                <c:pt idx="62">
                  <c:v>129.92980018100002</c:v>
                </c:pt>
                <c:pt idx="63">
                  <c:v>127.964039082</c:v>
                </c:pt>
                <c:pt idx="64">
                  <c:v>130.10126124799999</c:v>
                </c:pt>
                <c:pt idx="65">
                  <c:v>129.74563097999999</c:v>
                </c:pt>
                <c:pt idx="66">
                  <c:v>130.22114416299999</c:v>
                </c:pt>
                <c:pt idx="67">
                  <c:v>132.51699514000001</c:v>
                </c:pt>
                <c:pt idx="68">
                  <c:v>134.19009868000001</c:v>
                </c:pt>
                <c:pt idx="69">
                  <c:v>135.15472851199999</c:v>
                </c:pt>
                <c:pt idx="70">
                  <c:v>136.22902950800002</c:v>
                </c:pt>
                <c:pt idx="71">
                  <c:v>137.23505280000001</c:v>
                </c:pt>
                <c:pt idx="72">
                  <c:v>138.15111913199999</c:v>
                </c:pt>
                <c:pt idx="73">
                  <c:v>142.39094502399999</c:v>
                </c:pt>
                <c:pt idx="74">
                  <c:v>140.714819011</c:v>
                </c:pt>
                <c:pt idx="75">
                  <c:v>142.136830108</c:v>
                </c:pt>
                <c:pt idx="76">
                  <c:v>65.206034999999986</c:v>
                </c:pt>
                <c:pt idx="77">
                  <c:v>64.477354043999995</c:v>
                </c:pt>
                <c:pt idx="78">
                  <c:v>62.414601900000008</c:v>
                </c:pt>
                <c:pt idx="79">
                  <c:v>60.104421263999996</c:v>
                </c:pt>
                <c:pt idx="80">
                  <c:v>55.039065088000001</c:v>
                </c:pt>
                <c:pt idx="81">
                  <c:v>52.268894463999999</c:v>
                </c:pt>
                <c:pt idx="82">
                  <c:v>97.893071784</c:v>
                </c:pt>
                <c:pt idx="83">
                  <c:v>96.161383436999998</c:v>
                </c:pt>
                <c:pt idx="84">
                  <c:v>93.589944336000002</c:v>
                </c:pt>
                <c:pt idx="85">
                  <c:v>91.279128095999994</c:v>
                </c:pt>
                <c:pt idx="86">
                  <c:v>115.50914713600001</c:v>
                </c:pt>
                <c:pt idx="87">
                  <c:v>117.592190032</c:v>
                </c:pt>
                <c:pt idx="88">
                  <c:v>112.46283526399999</c:v>
                </c:pt>
                <c:pt idx="89">
                  <c:v>111.76912401599999</c:v>
                </c:pt>
                <c:pt idx="90">
                  <c:v>109.9425844</c:v>
                </c:pt>
                <c:pt idx="91">
                  <c:v>78.993113949000005</c:v>
                </c:pt>
                <c:pt idx="92">
                  <c:v>79.685472496000003</c:v>
                </c:pt>
                <c:pt idx="93">
                  <c:v>77.451919033525826</c:v>
                </c:pt>
                <c:pt idx="94">
                  <c:v>75.908254160937489</c:v>
                </c:pt>
                <c:pt idx="95">
                  <c:v>74.563019284559999</c:v>
                </c:pt>
                <c:pt idx="96">
                  <c:v>97.850188799999998</c:v>
                </c:pt>
                <c:pt idx="97">
                  <c:v>97.9296875</c:v>
                </c:pt>
                <c:pt idx="98">
                  <c:v>96.915811300000001</c:v>
                </c:pt>
                <c:pt idx="99">
                  <c:v>90.523674</c:v>
                </c:pt>
                <c:pt idx="100">
                  <c:v>90.383699699999994</c:v>
                </c:pt>
                <c:pt idx="101">
                  <c:v>77.874980400000013</c:v>
                </c:pt>
                <c:pt idx="102">
                  <c:v>80.822748750000002</c:v>
                </c:pt>
                <c:pt idx="103">
                  <c:v>80.035713099999995</c:v>
                </c:pt>
                <c:pt idx="104">
                  <c:v>97.304904383999997</c:v>
                </c:pt>
                <c:pt idx="105">
                  <c:v>111.58797161699999</c:v>
                </c:pt>
                <c:pt idx="106">
                  <c:v>74.891600187999998</c:v>
                </c:pt>
                <c:pt idx="107">
                  <c:v>74.714411468999998</c:v>
                </c:pt>
                <c:pt idx="108">
                  <c:v>79.673376059999981</c:v>
                </c:pt>
                <c:pt idx="109">
                  <c:v>77.389709044500009</c:v>
                </c:pt>
                <c:pt idx="110">
                  <c:v>83.617008623999993</c:v>
                </c:pt>
                <c:pt idx="111">
                  <c:v>79.119250899999997</c:v>
                </c:pt>
                <c:pt idx="112">
                  <c:v>74.876811263999997</c:v>
                </c:pt>
                <c:pt idx="113">
                  <c:v>73.807417376000004</c:v>
                </c:pt>
                <c:pt idx="114">
                  <c:v>72.463548662999997</c:v>
                </c:pt>
                <c:pt idx="115">
                  <c:v>78.975098047999992</c:v>
                </c:pt>
                <c:pt idx="116">
                  <c:v>75.936301056000005</c:v>
                </c:pt>
                <c:pt idx="117">
                  <c:v>76.51293695999999</c:v>
                </c:pt>
                <c:pt idx="118">
                  <c:v>72.997848000000005</c:v>
                </c:pt>
                <c:pt idx="119">
                  <c:v>83.939233502000008</c:v>
                </c:pt>
                <c:pt idx="120">
                  <c:v>84.484736238000011</c:v>
                </c:pt>
                <c:pt idx="121">
                  <c:v>79.791910928000007</c:v>
                </c:pt>
                <c:pt idx="122">
                  <c:v>81.324168831999998</c:v>
                </c:pt>
                <c:pt idx="123">
                  <c:v>79.442014528000001</c:v>
                </c:pt>
                <c:pt idx="124">
                  <c:v>80.479704255999991</c:v>
                </c:pt>
                <c:pt idx="125">
                  <c:v>86.248521056000001</c:v>
                </c:pt>
                <c:pt idx="126">
                  <c:v>86.569011863999989</c:v>
                </c:pt>
                <c:pt idx="127">
                  <c:v>81.185223124999993</c:v>
                </c:pt>
                <c:pt idx="128">
                  <c:v>81.343011907999994</c:v>
                </c:pt>
                <c:pt idx="129">
                  <c:v>81.359926200000004</c:v>
                </c:pt>
                <c:pt idx="130">
                  <c:v>81.359926200000004</c:v>
                </c:pt>
                <c:pt idx="131">
                  <c:v>81.359926200000004</c:v>
                </c:pt>
                <c:pt idx="132">
                  <c:v>80.182490704000003</c:v>
                </c:pt>
                <c:pt idx="133">
                  <c:v>85.063107328000015</c:v>
                </c:pt>
                <c:pt idx="134">
                  <c:v>86.63481329199999</c:v>
                </c:pt>
                <c:pt idx="135">
                  <c:v>78.822761471999982</c:v>
                </c:pt>
                <c:pt idx="136">
                  <c:v>82.800335583000006</c:v>
                </c:pt>
                <c:pt idx="137">
                  <c:v>79.135261972000009</c:v>
                </c:pt>
                <c:pt idx="138">
                  <c:v>78.789662451999988</c:v>
                </c:pt>
                <c:pt idx="139">
                  <c:v>77.106130992000004</c:v>
                </c:pt>
                <c:pt idx="140">
                  <c:v>114.20825247499999</c:v>
                </c:pt>
                <c:pt idx="141">
                  <c:v>107.470894603</c:v>
                </c:pt>
                <c:pt idx="142">
                  <c:v>111.06596659200001</c:v>
                </c:pt>
                <c:pt idx="143">
                  <c:v>103.2035011</c:v>
                </c:pt>
                <c:pt idx="144">
                  <c:v>106.1024472</c:v>
                </c:pt>
                <c:pt idx="145">
                  <c:v>103.96885484800001</c:v>
                </c:pt>
                <c:pt idx="146">
                  <c:v>105.01710546000001</c:v>
                </c:pt>
                <c:pt idx="147">
                  <c:v>104.444848725</c:v>
                </c:pt>
                <c:pt idx="148">
                  <c:v>105.44214715199999</c:v>
                </c:pt>
                <c:pt idx="149">
                  <c:v>105.81208981300001</c:v>
                </c:pt>
                <c:pt idx="150">
                  <c:v>103.712605389</c:v>
                </c:pt>
                <c:pt idx="151">
                  <c:v>108.653815296</c:v>
                </c:pt>
                <c:pt idx="152">
                  <c:v>111.343402872</c:v>
                </c:pt>
                <c:pt idx="153">
                  <c:v>109.363987494</c:v>
                </c:pt>
                <c:pt idx="154">
                  <c:v>110.13613135000001</c:v>
                </c:pt>
                <c:pt idx="155">
                  <c:v>111.45421006400001</c:v>
                </c:pt>
                <c:pt idx="156">
                  <c:v>109.54737797499999</c:v>
                </c:pt>
                <c:pt idx="157">
                  <c:v>113.392401916</c:v>
                </c:pt>
                <c:pt idx="158">
                  <c:v>112.611000064</c:v>
                </c:pt>
                <c:pt idx="159">
                  <c:v>113.481055584</c:v>
                </c:pt>
                <c:pt idx="160">
                  <c:v>116.98522786400001</c:v>
                </c:pt>
                <c:pt idx="161">
                  <c:v>148.872001926</c:v>
                </c:pt>
                <c:pt idx="162">
                  <c:v>148.90714916600001</c:v>
                </c:pt>
                <c:pt idx="163">
                  <c:v>148.12186636800001</c:v>
                </c:pt>
                <c:pt idx="164">
                  <c:v>145.98936728000001</c:v>
                </c:pt>
                <c:pt idx="165">
                  <c:v>141.35017161200003</c:v>
                </c:pt>
                <c:pt idx="166">
                  <c:v>138.29915126399999</c:v>
                </c:pt>
                <c:pt idx="167">
                  <c:v>148.26267678599999</c:v>
                </c:pt>
                <c:pt idx="168">
                  <c:v>145.17309509999998</c:v>
                </c:pt>
                <c:pt idx="169">
                  <c:v>141.21420727500001</c:v>
                </c:pt>
                <c:pt idx="170">
                  <c:v>141.43703008</c:v>
                </c:pt>
                <c:pt idx="171">
                  <c:v>140.382486153</c:v>
                </c:pt>
                <c:pt idx="172">
                  <c:v>138.20639373199998</c:v>
                </c:pt>
                <c:pt idx="173">
                  <c:v>129.660610612</c:v>
                </c:pt>
                <c:pt idx="174">
                  <c:v>157.29968540000002</c:v>
                </c:pt>
                <c:pt idx="175">
                  <c:v>147.75655363199999</c:v>
                </c:pt>
                <c:pt idx="176">
                  <c:v>145.22671704799998</c:v>
                </c:pt>
                <c:pt idx="177">
                  <c:v>142.54434000000001</c:v>
                </c:pt>
                <c:pt idx="178">
                  <c:v>143.80595667199998</c:v>
                </c:pt>
                <c:pt idx="179">
                  <c:v>156.76334079999998</c:v>
                </c:pt>
                <c:pt idx="180">
                  <c:v>81.077085699999998</c:v>
                </c:pt>
                <c:pt idx="181">
                  <c:v>72.433095800000004</c:v>
                </c:pt>
                <c:pt idx="182">
                  <c:v>70.426523000000003</c:v>
                </c:pt>
                <c:pt idx="183">
                  <c:v>111.629260268064</c:v>
                </c:pt>
                <c:pt idx="184">
                  <c:v>122.11180467200001</c:v>
                </c:pt>
                <c:pt idx="185">
                  <c:v>90.547331200000002</c:v>
                </c:pt>
                <c:pt idx="186">
                  <c:v>77.253212222000002</c:v>
                </c:pt>
                <c:pt idx="187">
                  <c:v>118.54191521599999</c:v>
                </c:pt>
                <c:pt idx="188">
                  <c:v>105.60018780000001</c:v>
                </c:pt>
                <c:pt idx="189">
                  <c:v>99.519203056000009</c:v>
                </c:pt>
                <c:pt idx="190">
                  <c:v>89.774455260000011</c:v>
                </c:pt>
                <c:pt idx="191">
                  <c:v>82.025775104000004</c:v>
                </c:pt>
                <c:pt idx="192">
                  <c:v>73.839533568000007</c:v>
                </c:pt>
                <c:pt idx="193">
                  <c:v>109.56756572500001</c:v>
                </c:pt>
                <c:pt idx="194">
                  <c:v>78.540721875000003</c:v>
                </c:pt>
                <c:pt idx="195">
                  <c:v>99.733198747000003</c:v>
                </c:pt>
                <c:pt idx="196">
                  <c:v>108.23615120000001</c:v>
                </c:pt>
              </c:numCache>
            </c:numRef>
          </c:xVal>
          <c:yVal>
            <c:numRef>
              <c:f>chem!$K$5:$K$201</c:f>
              <c:numCache>
                <c:formatCode>0.00</c:formatCode>
                <c:ptCount val="197"/>
                <c:pt idx="0">
                  <c:v>31.251794200000003</c:v>
                </c:pt>
                <c:pt idx="1">
                  <c:v>30.134053119999997</c:v>
                </c:pt>
                <c:pt idx="2">
                  <c:v>29.713187999999995</c:v>
                </c:pt>
                <c:pt idx="3">
                  <c:v>29.596017249999999</c:v>
                </c:pt>
                <c:pt idx="4">
                  <c:v>29.111775000000002</c:v>
                </c:pt>
                <c:pt idx="5">
                  <c:v>30.776546399999997</c:v>
                </c:pt>
                <c:pt idx="6">
                  <c:v>33.845926399999996</c:v>
                </c:pt>
                <c:pt idx="7">
                  <c:v>34.137199480000007</c:v>
                </c:pt>
                <c:pt idx="8">
                  <c:v>0</c:v>
                </c:pt>
                <c:pt idx="9">
                  <c:v>30.433742562999996</c:v>
                </c:pt>
                <c:pt idx="10">
                  <c:v>0</c:v>
                </c:pt>
                <c:pt idx="11">
                  <c:v>0</c:v>
                </c:pt>
                <c:pt idx="12">
                  <c:v>26.254008328000001</c:v>
                </c:pt>
                <c:pt idx="13">
                  <c:v>27.798193332000004</c:v>
                </c:pt>
                <c:pt idx="14">
                  <c:v>29.53531448</c:v>
                </c:pt>
                <c:pt idx="15">
                  <c:v>38.05037549</c:v>
                </c:pt>
                <c:pt idx="16">
                  <c:v>0</c:v>
                </c:pt>
                <c:pt idx="17">
                  <c:v>40.5764</c:v>
                </c:pt>
                <c:pt idx="18">
                  <c:v>27.266031611999999</c:v>
                </c:pt>
                <c:pt idx="19">
                  <c:v>38.326001825000006</c:v>
                </c:pt>
                <c:pt idx="20">
                  <c:v>0</c:v>
                </c:pt>
                <c:pt idx="21">
                  <c:v>39.189690540000001</c:v>
                </c:pt>
                <c:pt idx="22">
                  <c:v>14.982224</c:v>
                </c:pt>
                <c:pt idx="23">
                  <c:v>34.402970000000003</c:v>
                </c:pt>
                <c:pt idx="24">
                  <c:v>37.169335179000001</c:v>
                </c:pt>
                <c:pt idx="25">
                  <c:v>30.038982638000004</c:v>
                </c:pt>
                <c:pt idx="26">
                  <c:v>31.4770784</c:v>
                </c:pt>
                <c:pt idx="27">
                  <c:v>33.889117428000006</c:v>
                </c:pt>
                <c:pt idx="28">
                  <c:v>34.891154999999998</c:v>
                </c:pt>
                <c:pt idx="29">
                  <c:v>30.120077759999997</c:v>
                </c:pt>
                <c:pt idx="30">
                  <c:v>29.630968199999998</c:v>
                </c:pt>
                <c:pt idx="31">
                  <c:v>32.225223870000001</c:v>
                </c:pt>
                <c:pt idx="32">
                  <c:v>24.154977600000002</c:v>
                </c:pt>
                <c:pt idx="33">
                  <c:v>21.0466674</c:v>
                </c:pt>
                <c:pt idx="34">
                  <c:v>18.339062500000001</c:v>
                </c:pt>
                <c:pt idx="35">
                  <c:v>17.544222899999998</c:v>
                </c:pt>
                <c:pt idx="36">
                  <c:v>28.01404276425</c:v>
                </c:pt>
                <c:pt idx="37">
                  <c:v>26.928700562520003</c:v>
                </c:pt>
                <c:pt idx="38">
                  <c:v>25.981262536320006</c:v>
                </c:pt>
                <c:pt idx="39">
                  <c:v>25.345805903999999</c:v>
                </c:pt>
                <c:pt idx="40">
                  <c:v>25.635264132</c:v>
                </c:pt>
                <c:pt idx="41">
                  <c:v>25.175553535999999</c:v>
                </c:pt>
                <c:pt idx="42">
                  <c:v>25.301320703999998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32.339334612000002</c:v>
                </c:pt>
                <c:pt idx="48">
                  <c:v>32.697660995999996</c:v>
                </c:pt>
                <c:pt idx="49">
                  <c:v>29.983723964999999</c:v>
                </c:pt>
                <c:pt idx="50">
                  <c:v>31.495936607999997</c:v>
                </c:pt>
                <c:pt idx="51">
                  <c:v>28.922318000000001</c:v>
                </c:pt>
                <c:pt idx="52">
                  <c:v>30.435878116000001</c:v>
                </c:pt>
                <c:pt idx="53">
                  <c:v>22.230099502999998</c:v>
                </c:pt>
                <c:pt idx="54">
                  <c:v>25.801580334999997</c:v>
                </c:pt>
                <c:pt idx="55">
                  <c:v>34.824287211000005</c:v>
                </c:pt>
                <c:pt idx="56">
                  <c:v>38.503202570999996</c:v>
                </c:pt>
                <c:pt idx="57">
                  <c:v>38.430291132000001</c:v>
                </c:pt>
                <c:pt idx="58">
                  <c:v>38.791802759999996</c:v>
                </c:pt>
                <c:pt idx="59">
                  <c:v>39.072392777000005</c:v>
                </c:pt>
                <c:pt idx="60">
                  <c:v>39.740082311999998</c:v>
                </c:pt>
                <c:pt idx="61">
                  <c:v>40.114969258000002</c:v>
                </c:pt>
                <c:pt idx="62">
                  <c:v>40.254272861000004</c:v>
                </c:pt>
                <c:pt idx="63">
                  <c:v>40.114319999999999</c:v>
                </c:pt>
                <c:pt idx="64">
                  <c:v>40.554416007</c:v>
                </c:pt>
                <c:pt idx="65">
                  <c:v>40.293287999999997</c:v>
                </c:pt>
                <c:pt idx="66">
                  <c:v>40.414681747000003</c:v>
                </c:pt>
                <c:pt idx="67">
                  <c:v>41.280662499999998</c:v>
                </c:pt>
                <c:pt idx="68">
                  <c:v>41.621446749999997</c:v>
                </c:pt>
                <c:pt idx="69">
                  <c:v>41.770189508000001</c:v>
                </c:pt>
                <c:pt idx="70">
                  <c:v>41.945917793000007</c:v>
                </c:pt>
                <c:pt idx="71">
                  <c:v>42.319991425000005</c:v>
                </c:pt>
                <c:pt idx="72">
                  <c:v>42.771551472000006</c:v>
                </c:pt>
                <c:pt idx="73">
                  <c:v>43.507696895999999</c:v>
                </c:pt>
                <c:pt idx="74">
                  <c:v>43.126825650999997</c:v>
                </c:pt>
                <c:pt idx="75">
                  <c:v>43.456950207999995</c:v>
                </c:pt>
                <c:pt idx="76">
                  <c:v>22.875340000000001</c:v>
                </c:pt>
                <c:pt idx="77">
                  <c:v>22.221048278999998</c:v>
                </c:pt>
                <c:pt idx="78">
                  <c:v>20.3016051</c:v>
                </c:pt>
                <c:pt idx="79">
                  <c:v>19.216247844000002</c:v>
                </c:pt>
                <c:pt idx="80">
                  <c:v>17.021713408</c:v>
                </c:pt>
                <c:pt idx="81">
                  <c:v>16.560219136000001</c:v>
                </c:pt>
                <c:pt idx="82">
                  <c:v>34.511716456000002</c:v>
                </c:pt>
                <c:pt idx="83">
                  <c:v>33.385900788000001</c:v>
                </c:pt>
                <c:pt idx="84">
                  <c:v>32.490831041</c:v>
                </c:pt>
                <c:pt idx="85">
                  <c:v>31.923859464000003</c:v>
                </c:pt>
                <c:pt idx="86">
                  <c:v>36.244641815999998</c:v>
                </c:pt>
                <c:pt idx="87">
                  <c:v>36.977727311999999</c:v>
                </c:pt>
                <c:pt idx="88">
                  <c:v>35.678084624</c:v>
                </c:pt>
                <c:pt idx="89">
                  <c:v>35.280842618999998</c:v>
                </c:pt>
                <c:pt idx="90">
                  <c:v>34.868961949000003</c:v>
                </c:pt>
                <c:pt idx="91">
                  <c:v>29.853969525000004</c:v>
                </c:pt>
                <c:pt idx="92">
                  <c:v>30.031542016</c:v>
                </c:pt>
                <c:pt idx="93">
                  <c:v>28.043672797000003</c:v>
                </c:pt>
                <c:pt idx="94">
                  <c:v>27.678110299999997</c:v>
                </c:pt>
                <c:pt idx="95">
                  <c:v>26.349329184000002</c:v>
                </c:pt>
                <c:pt idx="96">
                  <c:v>34.402970000000003</c:v>
                </c:pt>
                <c:pt idx="97">
                  <c:v>34.879640300000005</c:v>
                </c:pt>
                <c:pt idx="98">
                  <c:v>35.114062500000003</c:v>
                </c:pt>
                <c:pt idx="99">
                  <c:v>31.0651625</c:v>
                </c:pt>
                <c:pt idx="100">
                  <c:v>31.935422799999998</c:v>
                </c:pt>
                <c:pt idx="101">
                  <c:v>30.092391818999999</c:v>
                </c:pt>
                <c:pt idx="102">
                  <c:v>30.922192637999999</c:v>
                </c:pt>
                <c:pt idx="103">
                  <c:v>30.167392418999999</c:v>
                </c:pt>
                <c:pt idx="104">
                  <c:v>33.616997376</c:v>
                </c:pt>
                <c:pt idx="105">
                  <c:v>36.491515624999998</c:v>
                </c:pt>
                <c:pt idx="106">
                  <c:v>27.710464742999999</c:v>
                </c:pt>
                <c:pt idx="107">
                  <c:v>26.546295428999997</c:v>
                </c:pt>
                <c:pt idx="108">
                  <c:v>30.120077759999997</c:v>
                </c:pt>
                <c:pt idx="109">
                  <c:v>29.630968199999998</c:v>
                </c:pt>
                <c:pt idx="110">
                  <c:v>30.9644224</c:v>
                </c:pt>
                <c:pt idx="111">
                  <c:v>29.457765375999998</c:v>
                </c:pt>
                <c:pt idx="112">
                  <c:v>27.587515896000003</c:v>
                </c:pt>
                <c:pt idx="113">
                  <c:v>27.083642399999999</c:v>
                </c:pt>
                <c:pt idx="114">
                  <c:v>27.266031611999999</c:v>
                </c:pt>
                <c:pt idx="115">
                  <c:v>30.031345883</c:v>
                </c:pt>
                <c:pt idx="116">
                  <c:v>28.296706536000002</c:v>
                </c:pt>
                <c:pt idx="117">
                  <c:v>28.552265999999996</c:v>
                </c:pt>
                <c:pt idx="118">
                  <c:v>26.669352374999999</c:v>
                </c:pt>
                <c:pt idx="119">
                  <c:v>30.038982638000004</c:v>
                </c:pt>
                <c:pt idx="120">
                  <c:v>30.044074872000003</c:v>
                </c:pt>
                <c:pt idx="121">
                  <c:v>28.245492452000001</c:v>
                </c:pt>
                <c:pt idx="122">
                  <c:v>28.314282088000002</c:v>
                </c:pt>
                <c:pt idx="123">
                  <c:v>27.880181568000001</c:v>
                </c:pt>
                <c:pt idx="124">
                  <c:v>27.504958896000002</c:v>
                </c:pt>
                <c:pt idx="125">
                  <c:v>31.670810136</c:v>
                </c:pt>
                <c:pt idx="126">
                  <c:v>31.283941016</c:v>
                </c:pt>
                <c:pt idx="127">
                  <c:v>29.090702932999999</c:v>
                </c:pt>
                <c:pt idx="128">
                  <c:v>28.799230208000001</c:v>
                </c:pt>
                <c:pt idx="129">
                  <c:v>29.102447262000002</c:v>
                </c:pt>
                <c:pt idx="130">
                  <c:v>28.915920768000003</c:v>
                </c:pt>
                <c:pt idx="131">
                  <c:v>28.915920768000003</c:v>
                </c:pt>
                <c:pt idx="132">
                  <c:v>28.348839796</c:v>
                </c:pt>
                <c:pt idx="133">
                  <c:v>29.910707308000003</c:v>
                </c:pt>
                <c:pt idx="134">
                  <c:v>31.424056387</c:v>
                </c:pt>
                <c:pt idx="135">
                  <c:v>27.590146856999997</c:v>
                </c:pt>
                <c:pt idx="136">
                  <c:v>28.738373063000001</c:v>
                </c:pt>
                <c:pt idx="137">
                  <c:v>27.896720307999999</c:v>
                </c:pt>
                <c:pt idx="138">
                  <c:v>27.709625807999998</c:v>
                </c:pt>
                <c:pt idx="139">
                  <c:v>26.730365291999998</c:v>
                </c:pt>
                <c:pt idx="140">
                  <c:v>37.169335179000001</c:v>
                </c:pt>
                <c:pt idx="141">
                  <c:v>34.309603008000003</c:v>
                </c:pt>
                <c:pt idx="142">
                  <c:v>35.497609728</c:v>
                </c:pt>
                <c:pt idx="143">
                  <c:v>34.193133963999998</c:v>
                </c:pt>
                <c:pt idx="144">
                  <c:v>35.1813942</c:v>
                </c:pt>
                <c:pt idx="145">
                  <c:v>33.889117428000006</c:v>
                </c:pt>
                <c:pt idx="146">
                  <c:v>34.412033999999998</c:v>
                </c:pt>
                <c:pt idx="147">
                  <c:v>34.104440400000001</c:v>
                </c:pt>
                <c:pt idx="148">
                  <c:v>34.732479508000004</c:v>
                </c:pt>
                <c:pt idx="149">
                  <c:v>34.309502799999997</c:v>
                </c:pt>
                <c:pt idx="150">
                  <c:v>34.314342741000004</c:v>
                </c:pt>
                <c:pt idx="151">
                  <c:v>35.929528704000006</c:v>
                </c:pt>
                <c:pt idx="152">
                  <c:v>34.891154999999998</c:v>
                </c:pt>
                <c:pt idx="153">
                  <c:v>34.432451254</c:v>
                </c:pt>
                <c:pt idx="154">
                  <c:v>35.302872454000003</c:v>
                </c:pt>
                <c:pt idx="155">
                  <c:v>35.458878564000003</c:v>
                </c:pt>
                <c:pt idx="156">
                  <c:v>34.463815036</c:v>
                </c:pt>
                <c:pt idx="157">
                  <c:v>36.211561563999993</c:v>
                </c:pt>
                <c:pt idx="158">
                  <c:v>36.211561563999993</c:v>
                </c:pt>
                <c:pt idx="159">
                  <c:v>36.431985024000006</c:v>
                </c:pt>
                <c:pt idx="160">
                  <c:v>37.750592053999995</c:v>
                </c:pt>
                <c:pt idx="161">
                  <c:v>46.769411423999998</c:v>
                </c:pt>
                <c:pt idx="162">
                  <c:v>46.840626104000002</c:v>
                </c:pt>
                <c:pt idx="163">
                  <c:v>46.492452481999997</c:v>
                </c:pt>
                <c:pt idx="164">
                  <c:v>45.971013020000001</c:v>
                </c:pt>
                <c:pt idx="165">
                  <c:v>44.785143423000001</c:v>
                </c:pt>
                <c:pt idx="166">
                  <c:v>43.928628863999997</c:v>
                </c:pt>
                <c:pt idx="167">
                  <c:v>46.014771905999993</c:v>
                </c:pt>
                <c:pt idx="168">
                  <c:v>45.988307904000003</c:v>
                </c:pt>
                <c:pt idx="169">
                  <c:v>44.916435531000005</c:v>
                </c:pt>
                <c:pt idx="170">
                  <c:v>45.204208874999999</c:v>
                </c:pt>
                <c:pt idx="171">
                  <c:v>45.001951487999996</c:v>
                </c:pt>
                <c:pt idx="172">
                  <c:v>44.380371200000006</c:v>
                </c:pt>
                <c:pt idx="173">
                  <c:v>41.681320716999998</c:v>
                </c:pt>
                <c:pt idx="174">
                  <c:v>50.302460000000004</c:v>
                </c:pt>
                <c:pt idx="175">
                  <c:v>46.445505767999997</c:v>
                </c:pt>
                <c:pt idx="176">
                  <c:v>45.546862592000004</c:v>
                </c:pt>
                <c:pt idx="177">
                  <c:v>44.609402400000008</c:v>
                </c:pt>
                <c:pt idx="178">
                  <c:v>45.021994073000002</c:v>
                </c:pt>
                <c:pt idx="179">
                  <c:v>49.826615642999997</c:v>
                </c:pt>
                <c:pt idx="180">
                  <c:v>31.005245700000003</c:v>
                </c:pt>
                <c:pt idx="181">
                  <c:v>26.481759199999999</c:v>
                </c:pt>
                <c:pt idx="182">
                  <c:v>25.020848000000001</c:v>
                </c:pt>
                <c:pt idx="183">
                  <c:v>37.543928141249999</c:v>
                </c:pt>
                <c:pt idx="184">
                  <c:v>39.150926671999997</c:v>
                </c:pt>
                <c:pt idx="185">
                  <c:v>32.059586952000004</c:v>
                </c:pt>
                <c:pt idx="186">
                  <c:v>30.141501048000002</c:v>
                </c:pt>
                <c:pt idx="187">
                  <c:v>36.927673364</c:v>
                </c:pt>
                <c:pt idx="188">
                  <c:v>34.165724671999996</c:v>
                </c:pt>
                <c:pt idx="189">
                  <c:v>33.440212831000004</c:v>
                </c:pt>
                <c:pt idx="190">
                  <c:v>31.422750960000002</c:v>
                </c:pt>
                <c:pt idx="191">
                  <c:v>29.817515</c:v>
                </c:pt>
                <c:pt idx="192">
                  <c:v>27.966551550000002</c:v>
                </c:pt>
                <c:pt idx="193">
                  <c:v>35.492800725000002</c:v>
                </c:pt>
                <c:pt idx="194">
                  <c:v>29.628747194999999</c:v>
                </c:pt>
                <c:pt idx="195">
                  <c:v>33.957295723000001</c:v>
                </c:pt>
                <c:pt idx="196">
                  <c:v>34.417005799999998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6B-4E35-9FF3-EA152D903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769215"/>
        <c:axId val="426769695"/>
      </c:scatterChart>
      <c:valAx>
        <c:axId val="426769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769695"/>
        <c:crosses val="autoZero"/>
        <c:crossBetween val="midCat"/>
      </c:valAx>
      <c:valAx>
        <c:axId val="42676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769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071504192648685"/>
                  <c:y val="-1.101725218603656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trendline>
            <c:trendlineType val="log"/>
            <c:dispRSqr val="0"/>
            <c:dispEq val="1"/>
            <c:trendlineLbl>
              <c:layout>
                <c:manualLayout>
                  <c:x val="-0.50312208997720587"/>
                  <c:y val="9.9802863149757795E-3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2000"/>
                  </a:pPr>
                  <a:endParaRPr lang="it-IT"/>
                </a:p>
              </c:txPr>
            </c:trendlineLbl>
          </c:trendline>
          <c:xVal>
            <c:numRef>
              <c:f>'M vs G'!$F$5:$F$146</c:f>
              <c:numCache>
                <c:formatCode>0.00</c:formatCode>
                <c:ptCount val="142"/>
                <c:pt idx="0">
                  <c:v>78.462524800000011</c:v>
                </c:pt>
                <c:pt idx="1">
                  <c:v>78.989562000000006</c:v>
                </c:pt>
                <c:pt idx="2">
                  <c:v>78.534967080000001</c:v>
                </c:pt>
                <c:pt idx="3">
                  <c:v>77.301468999999997</c:v>
                </c:pt>
                <c:pt idx="6">
                  <c:v>76.986591989999994</c:v>
                </c:pt>
                <c:pt idx="7">
                  <c:v>82.696560000000005</c:v>
                </c:pt>
                <c:pt idx="8">
                  <c:v>98.338499999999996</c:v>
                </c:pt>
                <c:pt idx="9">
                  <c:v>104.65400268</c:v>
                </c:pt>
                <c:pt idx="10">
                  <c:v>86.328800000000001</c:v>
                </c:pt>
                <c:pt idx="11">
                  <c:v>118.17273295999999</c:v>
                </c:pt>
                <c:pt idx="12">
                  <c:v>127.149208515</c:v>
                </c:pt>
                <c:pt idx="13">
                  <c:v>63.95805</c:v>
                </c:pt>
                <c:pt idx="14">
                  <c:v>97.850188799999998</c:v>
                </c:pt>
                <c:pt idx="15">
                  <c:v>83.617008623999993</c:v>
                </c:pt>
                <c:pt idx="16">
                  <c:v>79.146559295999992</c:v>
                </c:pt>
                <c:pt idx="17">
                  <c:v>74.876811263999997</c:v>
                </c:pt>
                <c:pt idx="18">
                  <c:v>73.807417376000004</c:v>
                </c:pt>
                <c:pt idx="19">
                  <c:v>72.463548662999997</c:v>
                </c:pt>
                <c:pt idx="20">
                  <c:v>78.975098047999992</c:v>
                </c:pt>
                <c:pt idx="21">
                  <c:v>75.936301056000005</c:v>
                </c:pt>
                <c:pt idx="22">
                  <c:v>76.51293695999999</c:v>
                </c:pt>
                <c:pt idx="23">
                  <c:v>72.997848000000005</c:v>
                </c:pt>
                <c:pt idx="24">
                  <c:v>97.9296875</c:v>
                </c:pt>
                <c:pt idx="25">
                  <c:v>96.915811300000001</c:v>
                </c:pt>
                <c:pt idx="26">
                  <c:v>90.193161599999996</c:v>
                </c:pt>
                <c:pt idx="27">
                  <c:v>90.383699699999994</c:v>
                </c:pt>
                <c:pt idx="28">
                  <c:v>114.20825247499999</c:v>
                </c:pt>
                <c:pt idx="29">
                  <c:v>102.77655920000001</c:v>
                </c:pt>
                <c:pt idx="30">
                  <c:v>83.939233502000008</c:v>
                </c:pt>
                <c:pt idx="31">
                  <c:v>84.484736238000011</c:v>
                </c:pt>
                <c:pt idx="32">
                  <c:v>81.324168831999998</c:v>
                </c:pt>
                <c:pt idx="33">
                  <c:v>79.442014528000001</c:v>
                </c:pt>
                <c:pt idx="34">
                  <c:v>80.479704255999991</c:v>
                </c:pt>
                <c:pt idx="35">
                  <c:v>86.423260544000001</c:v>
                </c:pt>
                <c:pt idx="36">
                  <c:v>81.185223124999993</c:v>
                </c:pt>
                <c:pt idx="37">
                  <c:v>81.343011907999994</c:v>
                </c:pt>
                <c:pt idx="38">
                  <c:v>80.182490704000003</c:v>
                </c:pt>
                <c:pt idx="39">
                  <c:v>78.822761471999982</c:v>
                </c:pt>
                <c:pt idx="40">
                  <c:v>79.135261972000009</c:v>
                </c:pt>
                <c:pt idx="41">
                  <c:v>77.106130992000004</c:v>
                </c:pt>
                <c:pt idx="42">
                  <c:v>103.96885484800001</c:v>
                </c:pt>
                <c:pt idx="43">
                  <c:v>105.218706</c:v>
                </c:pt>
                <c:pt idx="44">
                  <c:v>105.643853748</c:v>
                </c:pt>
                <c:pt idx="45">
                  <c:v>103.712605389</c:v>
                </c:pt>
                <c:pt idx="46">
                  <c:v>111.343402872</c:v>
                </c:pt>
                <c:pt idx="47">
                  <c:v>109.749719896</c:v>
                </c:pt>
                <c:pt idx="48">
                  <c:v>111.45421006400001</c:v>
                </c:pt>
                <c:pt idx="49">
                  <c:v>109.54737797499999</c:v>
                </c:pt>
                <c:pt idx="50">
                  <c:v>79.673376059999981</c:v>
                </c:pt>
                <c:pt idx="51">
                  <c:v>77.389709044500009</c:v>
                </c:pt>
                <c:pt idx="52">
                  <c:v>86.055342029999991</c:v>
                </c:pt>
                <c:pt idx="53">
                  <c:v>143.35310000000001</c:v>
                </c:pt>
                <c:pt idx="54">
                  <c:v>135.60460399999999</c:v>
                </c:pt>
                <c:pt idx="55">
                  <c:v>137.29688100000001</c:v>
                </c:pt>
                <c:pt idx="56">
                  <c:v>124.49649599999999</c:v>
                </c:pt>
                <c:pt idx="57">
                  <c:v>62.890895184000009</c:v>
                </c:pt>
                <c:pt idx="58">
                  <c:v>58.297732113999999</c:v>
                </c:pt>
                <c:pt idx="59">
                  <c:v>57.513482499999995</c:v>
                </c:pt>
                <c:pt idx="60">
                  <c:v>54.502378995999997</c:v>
                </c:pt>
                <c:pt idx="61">
                  <c:v>72.886392479999984</c:v>
                </c:pt>
                <c:pt idx="62">
                  <c:v>72.620830350000006</c:v>
                </c:pt>
                <c:pt idx="63">
                  <c:v>72.113587109999997</c:v>
                </c:pt>
                <c:pt idx="64">
                  <c:v>72.362603070000006</c:v>
                </c:pt>
                <c:pt idx="65">
                  <c:v>73.365174999999994</c:v>
                </c:pt>
                <c:pt idx="66">
                  <c:v>74.856960000000001</c:v>
                </c:pt>
                <c:pt idx="67">
                  <c:v>81.024425280000003</c:v>
                </c:pt>
                <c:pt idx="68">
                  <c:v>84.536524799999995</c:v>
                </c:pt>
                <c:pt idx="69">
                  <c:v>94.476069597000006</c:v>
                </c:pt>
                <c:pt idx="70">
                  <c:v>94.549500100000003</c:v>
                </c:pt>
                <c:pt idx="71">
                  <c:v>88.592865885000009</c:v>
                </c:pt>
                <c:pt idx="72">
                  <c:v>87.035582808000001</c:v>
                </c:pt>
                <c:pt idx="73">
                  <c:v>80.82984888</c:v>
                </c:pt>
                <c:pt idx="74">
                  <c:v>82.94048355599999</c:v>
                </c:pt>
                <c:pt idx="75">
                  <c:v>65.429202047000004</c:v>
                </c:pt>
                <c:pt idx="76">
                  <c:v>68.473624000000001</c:v>
                </c:pt>
                <c:pt idx="77">
                  <c:v>81.024425280000003</c:v>
                </c:pt>
                <c:pt idx="78">
                  <c:v>76.868893079999992</c:v>
                </c:pt>
                <c:pt idx="79">
                  <c:v>76.542044544000007</c:v>
                </c:pt>
                <c:pt idx="80">
                  <c:v>72.463548662999997</c:v>
                </c:pt>
                <c:pt idx="81">
                  <c:v>124.547919593</c:v>
                </c:pt>
                <c:pt idx="82">
                  <c:v>94.358483711999995</c:v>
                </c:pt>
                <c:pt idx="83">
                  <c:v>117.032254208</c:v>
                </c:pt>
                <c:pt idx="84">
                  <c:v>107.28215950800001</c:v>
                </c:pt>
                <c:pt idx="85">
                  <c:v>97.979680463999998</c:v>
                </c:pt>
                <c:pt idx="86">
                  <c:v>101.51077108299999</c:v>
                </c:pt>
                <c:pt idx="87">
                  <c:v>69.502976613000001</c:v>
                </c:pt>
                <c:pt idx="88">
                  <c:v>67.850194200999994</c:v>
                </c:pt>
                <c:pt idx="89">
                  <c:v>77.673862863999986</c:v>
                </c:pt>
                <c:pt idx="90">
                  <c:v>82.440484068000004</c:v>
                </c:pt>
                <c:pt idx="91">
                  <c:v>84.587181162999983</c:v>
                </c:pt>
                <c:pt idx="92">
                  <c:v>87.763042303999995</c:v>
                </c:pt>
                <c:pt idx="93">
                  <c:v>65.206034999999986</c:v>
                </c:pt>
                <c:pt idx="94">
                  <c:v>64.477354043999995</c:v>
                </c:pt>
                <c:pt idx="95">
                  <c:v>62.414601900000008</c:v>
                </c:pt>
                <c:pt idx="96">
                  <c:v>60.104421263999996</c:v>
                </c:pt>
                <c:pt idx="97">
                  <c:v>55.039065088000001</c:v>
                </c:pt>
                <c:pt idx="98">
                  <c:v>52.268894463999999</c:v>
                </c:pt>
                <c:pt idx="99">
                  <c:v>76.44915420800001</c:v>
                </c:pt>
                <c:pt idx="100">
                  <c:v>82.977825392</c:v>
                </c:pt>
                <c:pt idx="101">
                  <c:v>84.332670043999997</c:v>
                </c:pt>
                <c:pt idx="102">
                  <c:v>91.375038554999989</c:v>
                </c:pt>
                <c:pt idx="103">
                  <c:v>97.909103071999994</c:v>
                </c:pt>
                <c:pt idx="104">
                  <c:v>106.78678020000001</c:v>
                </c:pt>
                <c:pt idx="105">
                  <c:v>118.44869646399998</c:v>
                </c:pt>
                <c:pt idx="106">
                  <c:v>123.99123098700001</c:v>
                </c:pt>
                <c:pt idx="107">
                  <c:v>120.977344475</c:v>
                </c:pt>
                <c:pt idx="108">
                  <c:v>121.539597552</c:v>
                </c:pt>
                <c:pt idx="109">
                  <c:v>123.26846963999999</c:v>
                </c:pt>
                <c:pt idx="110">
                  <c:v>124.547919593</c:v>
                </c:pt>
                <c:pt idx="111">
                  <c:v>126.64683865800001</c:v>
                </c:pt>
                <c:pt idx="112">
                  <c:v>128.378372122</c:v>
                </c:pt>
                <c:pt idx="113">
                  <c:v>129.92980018100002</c:v>
                </c:pt>
                <c:pt idx="114">
                  <c:v>127.964039082</c:v>
                </c:pt>
                <c:pt idx="115">
                  <c:v>130.10126124799999</c:v>
                </c:pt>
                <c:pt idx="116">
                  <c:v>129.74563097999999</c:v>
                </c:pt>
                <c:pt idx="117">
                  <c:v>130.22114416299999</c:v>
                </c:pt>
                <c:pt idx="118">
                  <c:v>132.51699514000001</c:v>
                </c:pt>
                <c:pt idx="119">
                  <c:v>134.19009868000001</c:v>
                </c:pt>
                <c:pt idx="120">
                  <c:v>135.15472851199999</c:v>
                </c:pt>
                <c:pt idx="121">
                  <c:v>136.22902950800002</c:v>
                </c:pt>
                <c:pt idx="122">
                  <c:v>137.23505280000001</c:v>
                </c:pt>
                <c:pt idx="123">
                  <c:v>138.15111913199999</c:v>
                </c:pt>
                <c:pt idx="124">
                  <c:v>142.39094502399999</c:v>
                </c:pt>
                <c:pt idx="125">
                  <c:v>140.714819011</c:v>
                </c:pt>
                <c:pt idx="126">
                  <c:v>142.136830108</c:v>
                </c:pt>
                <c:pt idx="127">
                  <c:v>79.741571488000005</c:v>
                </c:pt>
                <c:pt idx="128">
                  <c:v>79.811999999999998</c:v>
                </c:pt>
                <c:pt idx="129">
                  <c:v>77.697157824000001</c:v>
                </c:pt>
                <c:pt idx="130">
                  <c:v>73.788884780000004</c:v>
                </c:pt>
                <c:pt idx="131">
                  <c:v>68.895903090999994</c:v>
                </c:pt>
                <c:pt idx="132">
                  <c:v>64.543912104</c:v>
                </c:pt>
                <c:pt idx="133">
                  <c:v>64.220467554999999</c:v>
                </c:pt>
                <c:pt idx="134" formatCode="General">
                  <c:v>104.3</c:v>
                </c:pt>
                <c:pt idx="135" formatCode="General">
                  <c:v>85.4</c:v>
                </c:pt>
                <c:pt idx="136" formatCode="General">
                  <c:v>83.4</c:v>
                </c:pt>
                <c:pt idx="137" formatCode="General">
                  <c:v>130.6</c:v>
                </c:pt>
                <c:pt idx="138" formatCode="General">
                  <c:v>115</c:v>
                </c:pt>
                <c:pt idx="139" formatCode="General">
                  <c:v>105</c:v>
                </c:pt>
                <c:pt idx="140" formatCode="General">
                  <c:v>95.1</c:v>
                </c:pt>
                <c:pt idx="141" formatCode="General">
                  <c:v>135.5</c:v>
                </c:pt>
              </c:numCache>
            </c:numRef>
          </c:xVal>
          <c:yVal>
            <c:numRef>
              <c:f>'M vs G'!$G$5:$G$146</c:f>
              <c:numCache>
                <c:formatCode>0.00</c:formatCode>
                <c:ptCount val="142"/>
                <c:pt idx="0">
                  <c:v>31.251794200000003</c:v>
                </c:pt>
                <c:pt idx="1">
                  <c:v>30.134053119999997</c:v>
                </c:pt>
                <c:pt idx="2">
                  <c:v>29.713187999999995</c:v>
                </c:pt>
                <c:pt idx="3">
                  <c:v>29.596017249999999</c:v>
                </c:pt>
                <c:pt idx="6">
                  <c:v>29.111775000000002</c:v>
                </c:pt>
                <c:pt idx="7">
                  <c:v>30.776546399999997</c:v>
                </c:pt>
                <c:pt idx="8">
                  <c:v>33.845926399999996</c:v>
                </c:pt>
                <c:pt idx="9">
                  <c:v>34.137199480000007</c:v>
                </c:pt>
                <c:pt idx="10">
                  <c:v>29.53531448</c:v>
                </c:pt>
                <c:pt idx="11">
                  <c:v>38.05037549</c:v>
                </c:pt>
                <c:pt idx="12">
                  <c:v>39.189690540000001</c:v>
                </c:pt>
                <c:pt idx="13">
                  <c:v>25.063199999999998</c:v>
                </c:pt>
                <c:pt idx="14">
                  <c:v>34.402970000000003</c:v>
                </c:pt>
                <c:pt idx="15">
                  <c:v>30.9644224</c:v>
                </c:pt>
                <c:pt idx="16">
                  <c:v>29.457765375999998</c:v>
                </c:pt>
                <c:pt idx="17">
                  <c:v>27.587515896000003</c:v>
                </c:pt>
                <c:pt idx="18">
                  <c:v>27.083642399999999</c:v>
                </c:pt>
                <c:pt idx="19">
                  <c:v>27.266031611999999</c:v>
                </c:pt>
                <c:pt idx="20">
                  <c:v>30.031345883</c:v>
                </c:pt>
                <c:pt idx="21">
                  <c:v>28.296706536000002</c:v>
                </c:pt>
                <c:pt idx="22">
                  <c:v>28.552265999999996</c:v>
                </c:pt>
                <c:pt idx="23">
                  <c:v>26.669352374999999</c:v>
                </c:pt>
                <c:pt idx="24">
                  <c:v>34.879640300000005</c:v>
                </c:pt>
                <c:pt idx="25">
                  <c:v>35.114062500000003</c:v>
                </c:pt>
                <c:pt idx="26">
                  <c:v>30.951740000000001</c:v>
                </c:pt>
                <c:pt idx="27">
                  <c:v>31.935422799999998</c:v>
                </c:pt>
                <c:pt idx="28">
                  <c:v>37.169335179000001</c:v>
                </c:pt>
                <c:pt idx="29">
                  <c:v>34.051680608000005</c:v>
                </c:pt>
                <c:pt idx="30">
                  <c:v>30.038982638000004</c:v>
                </c:pt>
                <c:pt idx="31">
                  <c:v>30.044074872000003</c:v>
                </c:pt>
                <c:pt idx="32">
                  <c:v>28.314282088000002</c:v>
                </c:pt>
                <c:pt idx="33">
                  <c:v>27.880181568000001</c:v>
                </c:pt>
                <c:pt idx="34">
                  <c:v>27.504958896000002</c:v>
                </c:pt>
                <c:pt idx="35">
                  <c:v>31.4770784</c:v>
                </c:pt>
                <c:pt idx="36">
                  <c:v>29.090702932999999</c:v>
                </c:pt>
                <c:pt idx="37">
                  <c:v>28.799230208000001</c:v>
                </c:pt>
                <c:pt idx="38">
                  <c:v>28.348839796</c:v>
                </c:pt>
                <c:pt idx="39">
                  <c:v>27.590146856999997</c:v>
                </c:pt>
                <c:pt idx="40">
                  <c:v>27.896720307999999</c:v>
                </c:pt>
                <c:pt idx="41">
                  <c:v>26.730365291999998</c:v>
                </c:pt>
                <c:pt idx="42">
                  <c:v>33.889117428000006</c:v>
                </c:pt>
                <c:pt idx="43">
                  <c:v>34.412033999999998</c:v>
                </c:pt>
                <c:pt idx="44">
                  <c:v>34.520667237000005</c:v>
                </c:pt>
                <c:pt idx="45">
                  <c:v>34.314342741000004</c:v>
                </c:pt>
                <c:pt idx="46">
                  <c:v>34.891154999999998</c:v>
                </c:pt>
                <c:pt idx="47">
                  <c:v>34.86630375</c:v>
                </c:pt>
                <c:pt idx="48">
                  <c:v>35.458878564000003</c:v>
                </c:pt>
                <c:pt idx="49">
                  <c:v>34.463815036</c:v>
                </c:pt>
                <c:pt idx="50">
                  <c:v>30.120077759999997</c:v>
                </c:pt>
                <c:pt idx="51">
                  <c:v>29.630968199999998</c:v>
                </c:pt>
                <c:pt idx="52">
                  <c:v>32.225223870000001</c:v>
                </c:pt>
                <c:pt idx="53">
                  <c:v>44</c:v>
                </c:pt>
                <c:pt idx="54">
                  <c:v>41.009599999999999</c:v>
                </c:pt>
                <c:pt idx="55">
                  <c:v>41.004643999999999</c:v>
                </c:pt>
                <c:pt idx="56">
                  <c:v>38.816991000000002</c:v>
                </c:pt>
                <c:pt idx="57">
                  <c:v>24.154977600000002</c:v>
                </c:pt>
                <c:pt idx="58">
                  <c:v>21.0466674</c:v>
                </c:pt>
                <c:pt idx="59">
                  <c:v>18.339062500000001</c:v>
                </c:pt>
                <c:pt idx="60">
                  <c:v>17.544222899999998</c:v>
                </c:pt>
                <c:pt idx="61">
                  <c:v>28.426951079999998</c:v>
                </c:pt>
                <c:pt idx="62">
                  <c:v>27.50261635</c:v>
                </c:pt>
                <c:pt idx="63">
                  <c:v>26.502471</c:v>
                </c:pt>
                <c:pt idx="64">
                  <c:v>25.777559069999999</c:v>
                </c:pt>
                <c:pt idx="65">
                  <c:v>25.356071520000004</c:v>
                </c:pt>
                <c:pt idx="66">
                  <c:v>25.09056</c:v>
                </c:pt>
                <c:pt idx="67">
                  <c:v>27.318371280000001</c:v>
                </c:pt>
                <c:pt idx="68">
                  <c:v>27.798193332000004</c:v>
                </c:pt>
                <c:pt idx="69">
                  <c:v>32.339334612000002</c:v>
                </c:pt>
                <c:pt idx="70">
                  <c:v>32.697660995999996</c:v>
                </c:pt>
                <c:pt idx="71">
                  <c:v>29.983723964999999</c:v>
                </c:pt>
                <c:pt idx="72">
                  <c:v>31.495936607999997</c:v>
                </c:pt>
                <c:pt idx="73">
                  <c:v>28.922318000000001</c:v>
                </c:pt>
                <c:pt idx="74">
                  <c:v>28.693068516</c:v>
                </c:pt>
                <c:pt idx="75">
                  <c:v>22.230099502999998</c:v>
                </c:pt>
                <c:pt idx="76">
                  <c:v>25.801580334999997</c:v>
                </c:pt>
                <c:pt idx="77">
                  <c:v>25.665107280000001</c:v>
                </c:pt>
                <c:pt idx="78">
                  <c:v>25.036462080000003</c:v>
                </c:pt>
                <c:pt idx="79">
                  <c:v>25.309952569169955</c:v>
                </c:pt>
                <c:pt idx="80">
                  <c:v>27.266031611999999</c:v>
                </c:pt>
                <c:pt idx="81">
                  <c:v>38.326001825000006</c:v>
                </c:pt>
                <c:pt idx="82">
                  <c:v>30.433742562999996</c:v>
                </c:pt>
                <c:pt idx="83">
                  <c:v>35.326051874999997</c:v>
                </c:pt>
                <c:pt idx="84">
                  <c:v>34.725520557000003</c:v>
                </c:pt>
                <c:pt idx="85">
                  <c:v>32.225774399999999</c:v>
                </c:pt>
                <c:pt idx="86">
                  <c:v>33.035996322999999</c:v>
                </c:pt>
                <c:pt idx="87">
                  <c:v>24.920750925</c:v>
                </c:pt>
                <c:pt idx="88">
                  <c:v>24.939626595999997</c:v>
                </c:pt>
                <c:pt idx="89">
                  <c:v>29.243388564</c:v>
                </c:pt>
                <c:pt idx="90">
                  <c:v>31.912464612000001</c:v>
                </c:pt>
                <c:pt idx="91">
                  <c:v>32.480262746999998</c:v>
                </c:pt>
                <c:pt idx="92">
                  <c:v>33.241007599999996</c:v>
                </c:pt>
                <c:pt idx="93">
                  <c:v>22.875340000000001</c:v>
                </c:pt>
                <c:pt idx="94">
                  <c:v>22.221048278999998</c:v>
                </c:pt>
                <c:pt idx="95">
                  <c:v>20.3016051</c:v>
                </c:pt>
                <c:pt idx="96">
                  <c:v>19.216247844000002</c:v>
                </c:pt>
                <c:pt idx="97">
                  <c:v>17.021713408</c:v>
                </c:pt>
                <c:pt idx="98">
                  <c:v>16.560219136000001</c:v>
                </c:pt>
                <c:pt idx="99">
                  <c:v>29.377883808000004</c:v>
                </c:pt>
                <c:pt idx="100">
                  <c:v>31.175696686999999</c:v>
                </c:pt>
                <c:pt idx="101">
                  <c:v>31.811021424000003</c:v>
                </c:pt>
                <c:pt idx="102">
                  <c:v>34.0062</c:v>
                </c:pt>
                <c:pt idx="103">
                  <c:v>33.924542432000003</c:v>
                </c:pt>
                <c:pt idx="104">
                  <c:v>35.398883898000001</c:v>
                </c:pt>
                <c:pt idx="105">
                  <c:v>37.816377648999996</c:v>
                </c:pt>
                <c:pt idx="106">
                  <c:v>38.452442067</c:v>
                </c:pt>
                <c:pt idx="107">
                  <c:v>38.503202570999996</c:v>
                </c:pt>
                <c:pt idx="108">
                  <c:v>38.430291132000001</c:v>
                </c:pt>
                <c:pt idx="109">
                  <c:v>38.791802759999996</c:v>
                </c:pt>
                <c:pt idx="110">
                  <c:v>39.072392777000005</c:v>
                </c:pt>
                <c:pt idx="111">
                  <c:v>39.740082311999998</c:v>
                </c:pt>
                <c:pt idx="112">
                  <c:v>40.114969258000002</c:v>
                </c:pt>
                <c:pt idx="113">
                  <c:v>40.254272861000004</c:v>
                </c:pt>
                <c:pt idx="114">
                  <c:v>40.114319999999999</c:v>
                </c:pt>
                <c:pt idx="115">
                  <c:v>40.554416007</c:v>
                </c:pt>
                <c:pt idx="116">
                  <c:v>40.293287999999997</c:v>
                </c:pt>
                <c:pt idx="117">
                  <c:v>40.414681747000003</c:v>
                </c:pt>
                <c:pt idx="118">
                  <c:v>41.280662499999998</c:v>
                </c:pt>
                <c:pt idx="119">
                  <c:v>41.621446749999997</c:v>
                </c:pt>
                <c:pt idx="120">
                  <c:v>41.770189508000001</c:v>
                </c:pt>
                <c:pt idx="121">
                  <c:v>41.945917793000007</c:v>
                </c:pt>
                <c:pt idx="122">
                  <c:v>42.319991425000005</c:v>
                </c:pt>
                <c:pt idx="123">
                  <c:v>42.771551472000006</c:v>
                </c:pt>
                <c:pt idx="124">
                  <c:v>43.507696895999999</c:v>
                </c:pt>
                <c:pt idx="125">
                  <c:v>43.126825650999997</c:v>
                </c:pt>
                <c:pt idx="126">
                  <c:v>43.456950207999995</c:v>
                </c:pt>
                <c:pt idx="127">
                  <c:v>31.007908378</c:v>
                </c:pt>
                <c:pt idx="128">
                  <c:v>31.027094577</c:v>
                </c:pt>
                <c:pt idx="129">
                  <c:v>30.170501196</c:v>
                </c:pt>
                <c:pt idx="130">
                  <c:v>28.257868079999998</c:v>
                </c:pt>
                <c:pt idx="131">
                  <c:v>25.965626415999996</c:v>
                </c:pt>
                <c:pt idx="132">
                  <c:v>23.770863335999998</c:v>
                </c:pt>
                <c:pt idx="133">
                  <c:v>23.710363794999999</c:v>
                </c:pt>
                <c:pt idx="134" formatCode="General">
                  <c:v>35.9</c:v>
                </c:pt>
                <c:pt idx="135" formatCode="General">
                  <c:v>30.1</c:v>
                </c:pt>
                <c:pt idx="136" formatCode="General">
                  <c:v>28.8</c:v>
                </c:pt>
                <c:pt idx="137" formatCode="General">
                  <c:v>41.5</c:v>
                </c:pt>
                <c:pt idx="138" formatCode="General">
                  <c:v>36.5</c:v>
                </c:pt>
                <c:pt idx="139" formatCode="General">
                  <c:v>33.799999999999997</c:v>
                </c:pt>
                <c:pt idx="140" formatCode="General">
                  <c:v>30.6</c:v>
                </c:pt>
                <c:pt idx="141" formatCode="General">
                  <c:v>41.4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80-6F45-B087-3BCC2EB1F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8781663"/>
        <c:axId val="1728751807"/>
      </c:scatterChart>
      <c:valAx>
        <c:axId val="1728781663"/>
        <c:scaling>
          <c:orientation val="minMax"/>
          <c:min val="3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3000" baseline="0"/>
                  <a:t>M (GPa)</a:t>
                </a:r>
                <a:endParaRPr lang="it-IT" sz="30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28751807"/>
        <c:crosses val="autoZero"/>
        <c:crossBetween val="midCat"/>
      </c:valAx>
      <c:valAx>
        <c:axId val="1728751807"/>
        <c:scaling>
          <c:orientation val="minMax"/>
          <c:min val="14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3000"/>
                  <a:t>G (GPa)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2878166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41788212361299998"/>
                  <c:y val="-2.954821563344636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'M vs G'!$D$5:$D$159</c:f>
              <c:numCache>
                <c:formatCode>General</c:formatCode>
                <c:ptCount val="155"/>
                <c:pt idx="0">
                  <c:v>5972</c:v>
                </c:pt>
                <c:pt idx="1">
                  <c:v>5835</c:v>
                </c:pt>
                <c:pt idx="2">
                  <c:v>5869</c:v>
                </c:pt>
                <c:pt idx="3">
                  <c:v>5810</c:v>
                </c:pt>
                <c:pt idx="4">
                  <c:v>5803</c:v>
                </c:pt>
                <c:pt idx="5">
                  <c:v>5820</c:v>
                </c:pt>
                <c:pt idx="6">
                  <c:v>5773</c:v>
                </c:pt>
                <c:pt idx="7">
                  <c:v>5870</c:v>
                </c:pt>
                <c:pt idx="8">
                  <c:v>6150</c:v>
                </c:pt>
                <c:pt idx="9">
                  <c:v>6249</c:v>
                </c:pt>
                <c:pt idx="10">
                  <c:v>5900</c:v>
                </c:pt>
                <c:pt idx="11">
                  <c:v>6628</c:v>
                </c:pt>
                <c:pt idx="12">
                  <c:v>6697</c:v>
                </c:pt>
                <c:pt idx="13">
                  <c:v>3770</c:v>
                </c:pt>
                <c:pt idx="14">
                  <c:v>6240</c:v>
                </c:pt>
                <c:pt idx="15">
                  <c:v>5883</c:v>
                </c:pt>
                <c:pt idx="16">
                  <c:v>5796</c:v>
                </c:pt>
                <c:pt idx="17">
                  <c:v>5664</c:v>
                </c:pt>
                <c:pt idx="18">
                  <c:v>5621</c:v>
                </c:pt>
                <c:pt idx="19">
                  <c:v>5533</c:v>
                </c:pt>
                <c:pt idx="20">
                  <c:v>5752</c:v>
                </c:pt>
                <c:pt idx="21">
                  <c:v>5632</c:v>
                </c:pt>
                <c:pt idx="22">
                  <c:v>5664</c:v>
                </c:pt>
                <c:pt idx="23">
                  <c:v>5544</c:v>
                </c:pt>
                <c:pt idx="24">
                  <c:v>6250</c:v>
                </c:pt>
                <c:pt idx="25">
                  <c:v>6230</c:v>
                </c:pt>
                <c:pt idx="26">
                  <c:v>6060</c:v>
                </c:pt>
                <c:pt idx="27">
                  <c:v>6090</c:v>
                </c:pt>
                <c:pt idx="28">
                  <c:v>6505</c:v>
                </c:pt>
                <c:pt idx="29">
                  <c:v>6230</c:v>
                </c:pt>
                <c:pt idx="30">
                  <c:v>5839</c:v>
                </c:pt>
                <c:pt idx="31">
                  <c:v>5839</c:v>
                </c:pt>
                <c:pt idx="32">
                  <c:v>5752</c:v>
                </c:pt>
                <c:pt idx="33">
                  <c:v>5692</c:v>
                </c:pt>
                <c:pt idx="34">
                  <c:v>5768</c:v>
                </c:pt>
                <c:pt idx="35">
                  <c:v>5932</c:v>
                </c:pt>
                <c:pt idx="36">
                  <c:v>5725</c:v>
                </c:pt>
                <c:pt idx="37">
                  <c:v>5741</c:v>
                </c:pt>
                <c:pt idx="38">
                  <c:v>5708</c:v>
                </c:pt>
                <c:pt idx="39">
                  <c:v>5664</c:v>
                </c:pt>
                <c:pt idx="40">
                  <c:v>5681</c:v>
                </c:pt>
                <c:pt idx="41">
                  <c:v>5654</c:v>
                </c:pt>
                <c:pt idx="42">
                  <c:v>6232</c:v>
                </c:pt>
                <c:pt idx="43">
                  <c:v>6260</c:v>
                </c:pt>
                <c:pt idx="44">
                  <c:v>6282</c:v>
                </c:pt>
                <c:pt idx="45">
                  <c:v>6243</c:v>
                </c:pt>
                <c:pt idx="46">
                  <c:v>6297</c:v>
                </c:pt>
                <c:pt idx="47">
                  <c:v>6254</c:v>
                </c:pt>
                <c:pt idx="48">
                  <c:v>6308</c:v>
                </c:pt>
                <c:pt idx="49">
                  <c:v>6265</c:v>
                </c:pt>
                <c:pt idx="50">
                  <c:v>5790</c:v>
                </c:pt>
                <c:pt idx="51">
                  <c:v>5721</c:v>
                </c:pt>
                <c:pt idx="52">
                  <c:v>6030</c:v>
                </c:pt>
                <c:pt idx="53">
                  <c:v>7220</c:v>
                </c:pt>
                <c:pt idx="54">
                  <c:v>6910</c:v>
                </c:pt>
                <c:pt idx="55">
                  <c:v>6990</c:v>
                </c:pt>
                <c:pt idx="56">
                  <c:v>6680</c:v>
                </c:pt>
                <c:pt idx="57">
                  <c:v>5228</c:v>
                </c:pt>
                <c:pt idx="58">
                  <c:v>4943</c:v>
                </c:pt>
                <c:pt idx="59">
                  <c:v>4870</c:v>
                </c:pt>
                <c:pt idx="60">
                  <c:v>4706</c:v>
                </c:pt>
                <c:pt idx="61">
                  <c:v>5654</c:v>
                </c:pt>
                <c:pt idx="62">
                  <c:v>5559</c:v>
                </c:pt>
                <c:pt idx="63">
                  <c:v>5493</c:v>
                </c:pt>
                <c:pt idx="64">
                  <c:v>5457</c:v>
                </c:pt>
                <c:pt idx="65">
                  <c:v>5450</c:v>
                </c:pt>
                <c:pt idx="66">
                  <c:v>5472</c:v>
                </c:pt>
                <c:pt idx="67">
                  <c:v>5604</c:v>
                </c:pt>
                <c:pt idx="68">
                  <c:v>5760</c:v>
                </c:pt>
                <c:pt idx="69">
                  <c:v>6013</c:v>
                </c:pt>
                <c:pt idx="70">
                  <c:v>6035</c:v>
                </c:pt>
                <c:pt idx="71">
                  <c:v>5877</c:v>
                </c:pt>
                <c:pt idx="72">
                  <c:v>5898</c:v>
                </c:pt>
                <c:pt idx="73">
                  <c:v>5709</c:v>
                </c:pt>
                <c:pt idx="74">
                  <c:v>5682</c:v>
                </c:pt>
                <c:pt idx="75">
                  <c:v>3553</c:v>
                </c:pt>
                <c:pt idx="76">
                  <c:v>5560</c:v>
                </c:pt>
                <c:pt idx="77">
                  <c:v>5604</c:v>
                </c:pt>
                <c:pt idx="78">
                  <c:v>5523</c:v>
                </c:pt>
                <c:pt idx="79">
                  <c:v>5496</c:v>
                </c:pt>
                <c:pt idx="80">
                  <c:v>5533</c:v>
                </c:pt>
                <c:pt idx="81">
                  <c:v>6697</c:v>
                </c:pt>
                <c:pt idx="82">
                  <c:v>5904</c:v>
                </c:pt>
                <c:pt idx="83">
                  <c:v>6416</c:v>
                </c:pt>
                <c:pt idx="84">
                  <c:v>6238</c:v>
                </c:pt>
                <c:pt idx="85">
                  <c:v>6068</c:v>
                </c:pt>
                <c:pt idx="86">
                  <c:v>6151</c:v>
                </c:pt>
                <c:pt idx="87">
                  <c:v>4651</c:v>
                </c:pt>
                <c:pt idx="88">
                  <c:v>4813</c:v>
                </c:pt>
                <c:pt idx="89">
                  <c:v>5564</c:v>
                </c:pt>
                <c:pt idx="90">
                  <c:v>6098</c:v>
                </c:pt>
                <c:pt idx="91">
                  <c:v>6163</c:v>
                </c:pt>
                <c:pt idx="92">
                  <c:v>6272</c:v>
                </c:pt>
                <c:pt idx="93">
                  <c:v>3765</c:v>
                </c:pt>
                <c:pt idx="94">
                  <c:v>3538</c:v>
                </c:pt>
                <c:pt idx="95">
                  <c:v>3235</c:v>
                </c:pt>
                <c:pt idx="96">
                  <c:v>3026</c:v>
                </c:pt>
                <c:pt idx="97">
                  <c:v>2771</c:v>
                </c:pt>
                <c:pt idx="98">
                  <c:v>2672</c:v>
                </c:pt>
                <c:pt idx="99">
                  <c:v>5788</c:v>
                </c:pt>
                <c:pt idx="100">
                  <c:v>5852</c:v>
                </c:pt>
                <c:pt idx="101">
                  <c:v>5842</c:v>
                </c:pt>
                <c:pt idx="102">
                  <c:v>6229</c:v>
                </c:pt>
                <c:pt idx="103">
                  <c:v>6194</c:v>
                </c:pt>
                <c:pt idx="104">
                  <c:v>6310</c:v>
                </c:pt>
                <c:pt idx="105">
                  <c:v>6412</c:v>
                </c:pt>
                <c:pt idx="106">
                  <c:v>6513</c:v>
                </c:pt>
                <c:pt idx="107">
                  <c:v>6695</c:v>
                </c:pt>
                <c:pt idx="108">
                  <c:v>6676</c:v>
                </c:pt>
                <c:pt idx="109">
                  <c:v>6683</c:v>
                </c:pt>
                <c:pt idx="110">
                  <c:v>6697</c:v>
                </c:pt>
                <c:pt idx="111">
                  <c:v>6723</c:v>
                </c:pt>
                <c:pt idx="112">
                  <c:v>6721</c:v>
                </c:pt>
                <c:pt idx="113">
                  <c:v>6739</c:v>
                </c:pt>
                <c:pt idx="114">
                  <c:v>6787</c:v>
                </c:pt>
                <c:pt idx="115">
                  <c:v>6808</c:v>
                </c:pt>
                <c:pt idx="116">
                  <c:v>6783</c:v>
                </c:pt>
                <c:pt idx="117">
                  <c:v>6787</c:v>
                </c:pt>
                <c:pt idx="118">
                  <c:v>6898</c:v>
                </c:pt>
                <c:pt idx="119">
                  <c:v>6886</c:v>
                </c:pt>
                <c:pt idx="120">
                  <c:v>6884</c:v>
                </c:pt>
                <c:pt idx="121">
                  <c:v>6886</c:v>
                </c:pt>
                <c:pt idx="122">
                  <c:v>6960</c:v>
                </c:pt>
                <c:pt idx="123">
                  <c:v>6966</c:v>
                </c:pt>
                <c:pt idx="124">
                  <c:v>7012</c:v>
                </c:pt>
                <c:pt idx="125">
                  <c:v>6967</c:v>
                </c:pt>
                <c:pt idx="126">
                  <c:v>7046</c:v>
                </c:pt>
                <c:pt idx="127">
                  <c:v>5996</c:v>
                </c:pt>
                <c:pt idx="128">
                  <c:v>6000</c:v>
                </c:pt>
                <c:pt idx="129">
                  <c:v>5928</c:v>
                </c:pt>
                <c:pt idx="130">
                  <c:v>5798</c:v>
                </c:pt>
                <c:pt idx="131">
                  <c:v>5623</c:v>
                </c:pt>
                <c:pt idx="132">
                  <c:v>5474</c:v>
                </c:pt>
                <c:pt idx="133">
                  <c:v>5459</c:v>
                </c:pt>
                <c:pt idx="134">
                  <c:v>6550</c:v>
                </c:pt>
                <c:pt idx="135">
                  <c:v>5850</c:v>
                </c:pt>
                <c:pt idx="136">
                  <c:v>5820</c:v>
                </c:pt>
                <c:pt idx="137">
                  <c:v>6980</c:v>
                </c:pt>
                <c:pt idx="138">
                  <c:v>6540</c:v>
                </c:pt>
                <c:pt idx="139">
                  <c:v>5900</c:v>
                </c:pt>
                <c:pt idx="140">
                  <c:v>5370</c:v>
                </c:pt>
                <c:pt idx="141">
                  <c:v>6620</c:v>
                </c:pt>
              </c:numCache>
            </c:numRef>
          </c:xVal>
          <c:yVal>
            <c:numRef>
              <c:f>'M vs G'!$E$5:$E$159</c:f>
              <c:numCache>
                <c:formatCode>General</c:formatCode>
                <c:ptCount val="155"/>
                <c:pt idx="0">
                  <c:v>3769</c:v>
                </c:pt>
                <c:pt idx="1">
                  <c:v>3604</c:v>
                </c:pt>
                <c:pt idx="2">
                  <c:v>3610</c:v>
                </c:pt>
                <c:pt idx="3">
                  <c:v>3595</c:v>
                </c:pt>
                <c:pt idx="4">
                  <c:v>3590</c:v>
                </c:pt>
                <c:pt idx="5">
                  <c:v>3590</c:v>
                </c:pt>
                <c:pt idx="6">
                  <c:v>3550</c:v>
                </c:pt>
                <c:pt idx="7">
                  <c:v>3581</c:v>
                </c:pt>
                <c:pt idx="8">
                  <c:v>3608</c:v>
                </c:pt>
                <c:pt idx="9">
                  <c:v>3569</c:v>
                </c:pt>
                <c:pt idx="10">
                  <c:v>3451</c:v>
                </c:pt>
                <c:pt idx="11">
                  <c:v>3761</c:v>
                </c:pt>
                <c:pt idx="12">
                  <c:v>3718</c:v>
                </c:pt>
                <c:pt idx="13">
                  <c:v>2360</c:v>
                </c:pt>
                <c:pt idx="14">
                  <c:v>3700</c:v>
                </c:pt>
                <c:pt idx="15">
                  <c:v>3580</c:v>
                </c:pt>
                <c:pt idx="16">
                  <c:v>3536</c:v>
                </c:pt>
                <c:pt idx="17">
                  <c:v>3438</c:v>
                </c:pt>
                <c:pt idx="18">
                  <c:v>3405</c:v>
                </c:pt>
                <c:pt idx="19">
                  <c:v>3394</c:v>
                </c:pt>
                <c:pt idx="20">
                  <c:v>3547</c:v>
                </c:pt>
                <c:pt idx="21">
                  <c:v>3438</c:v>
                </c:pt>
                <c:pt idx="22">
                  <c:v>3460</c:v>
                </c:pt>
                <c:pt idx="23">
                  <c:v>3351</c:v>
                </c:pt>
                <c:pt idx="24">
                  <c:v>3730</c:v>
                </c:pt>
                <c:pt idx="25">
                  <c:v>3750</c:v>
                </c:pt>
                <c:pt idx="26">
                  <c:v>3550</c:v>
                </c:pt>
                <c:pt idx="27">
                  <c:v>3620</c:v>
                </c:pt>
                <c:pt idx="28">
                  <c:v>3711</c:v>
                </c:pt>
                <c:pt idx="29">
                  <c:v>3586</c:v>
                </c:pt>
                <c:pt idx="30">
                  <c:v>3493</c:v>
                </c:pt>
                <c:pt idx="31">
                  <c:v>3482</c:v>
                </c:pt>
                <c:pt idx="32">
                  <c:v>3394</c:v>
                </c:pt>
                <c:pt idx="33">
                  <c:v>3372</c:v>
                </c:pt>
                <c:pt idx="34">
                  <c:v>3372</c:v>
                </c:pt>
                <c:pt idx="35">
                  <c:v>3580</c:v>
                </c:pt>
                <c:pt idx="36">
                  <c:v>3427</c:v>
                </c:pt>
                <c:pt idx="37">
                  <c:v>3416</c:v>
                </c:pt>
                <c:pt idx="38">
                  <c:v>3394</c:v>
                </c:pt>
                <c:pt idx="39">
                  <c:v>3351</c:v>
                </c:pt>
                <c:pt idx="40">
                  <c:v>3373</c:v>
                </c:pt>
                <c:pt idx="41">
                  <c:v>3329</c:v>
                </c:pt>
                <c:pt idx="42">
                  <c:v>3558</c:v>
                </c:pt>
                <c:pt idx="43">
                  <c:v>3580</c:v>
                </c:pt>
                <c:pt idx="44">
                  <c:v>3591</c:v>
                </c:pt>
                <c:pt idx="45">
                  <c:v>3591</c:v>
                </c:pt>
                <c:pt idx="46">
                  <c:v>3525</c:v>
                </c:pt>
                <c:pt idx="47">
                  <c:v>3525</c:v>
                </c:pt>
                <c:pt idx="48">
                  <c:v>3558</c:v>
                </c:pt>
                <c:pt idx="49">
                  <c:v>3514</c:v>
                </c:pt>
                <c:pt idx="50">
                  <c:v>3560</c:v>
                </c:pt>
                <c:pt idx="51">
                  <c:v>3540</c:v>
                </c:pt>
                <c:pt idx="52">
                  <c:v>3690</c:v>
                </c:pt>
                <c:pt idx="53">
                  <c:v>4000</c:v>
                </c:pt>
                <c:pt idx="54">
                  <c:v>3800</c:v>
                </c:pt>
                <c:pt idx="55">
                  <c:v>3820</c:v>
                </c:pt>
                <c:pt idx="56">
                  <c:v>3730</c:v>
                </c:pt>
                <c:pt idx="57">
                  <c:v>3240</c:v>
                </c:pt>
                <c:pt idx="58">
                  <c:v>2970</c:v>
                </c:pt>
                <c:pt idx="59">
                  <c:v>2750</c:v>
                </c:pt>
                <c:pt idx="60">
                  <c:v>2670</c:v>
                </c:pt>
                <c:pt idx="61">
                  <c:v>3531</c:v>
                </c:pt>
                <c:pt idx="62">
                  <c:v>3421</c:v>
                </c:pt>
                <c:pt idx="63">
                  <c:v>3330</c:v>
                </c:pt>
                <c:pt idx="64">
                  <c:v>3257</c:v>
                </c:pt>
                <c:pt idx="65">
                  <c:v>3204</c:v>
                </c:pt>
                <c:pt idx="66">
                  <c:v>3168</c:v>
                </c:pt>
                <c:pt idx="67">
                  <c:v>3254</c:v>
                </c:pt>
                <c:pt idx="68">
                  <c:v>3303</c:v>
                </c:pt>
                <c:pt idx="69">
                  <c:v>3518</c:v>
                </c:pt>
                <c:pt idx="70">
                  <c:v>3549</c:v>
                </c:pt>
                <c:pt idx="71">
                  <c:v>3419</c:v>
                </c:pt>
                <c:pt idx="72">
                  <c:v>3548</c:v>
                </c:pt>
                <c:pt idx="73">
                  <c:v>3415</c:v>
                </c:pt>
                <c:pt idx="74">
                  <c:v>3342</c:v>
                </c:pt>
                <c:pt idx="75">
                  <c:v>2071</c:v>
                </c:pt>
                <c:pt idx="76">
                  <c:v>3413</c:v>
                </c:pt>
                <c:pt idx="77">
                  <c:v>3154</c:v>
                </c:pt>
                <c:pt idx="78">
                  <c:v>3152</c:v>
                </c:pt>
                <c:pt idx="79" formatCode="0">
                  <c:v>3160.402235869687</c:v>
                </c:pt>
                <c:pt idx="80">
                  <c:v>3394</c:v>
                </c:pt>
                <c:pt idx="81">
                  <c:v>3715</c:v>
                </c:pt>
                <c:pt idx="82">
                  <c:v>3353</c:v>
                </c:pt>
                <c:pt idx="83">
                  <c:v>3525</c:v>
                </c:pt>
                <c:pt idx="84">
                  <c:v>3549</c:v>
                </c:pt>
                <c:pt idx="85">
                  <c:v>3480</c:v>
                </c:pt>
                <c:pt idx="86">
                  <c:v>3509</c:v>
                </c:pt>
                <c:pt idx="87">
                  <c:v>2785</c:v>
                </c:pt>
                <c:pt idx="88">
                  <c:v>2918</c:v>
                </c:pt>
                <c:pt idx="89">
                  <c:v>3414</c:v>
                </c:pt>
                <c:pt idx="90">
                  <c:v>3794</c:v>
                </c:pt>
                <c:pt idx="91">
                  <c:v>3819</c:v>
                </c:pt>
                <c:pt idx="92">
                  <c:v>3860</c:v>
                </c:pt>
                <c:pt idx="93">
                  <c:v>2230</c:v>
                </c:pt>
                <c:pt idx="94">
                  <c:v>2077</c:v>
                </c:pt>
                <c:pt idx="95">
                  <c:v>1845</c:v>
                </c:pt>
                <c:pt idx="96">
                  <c:v>1711</c:v>
                </c:pt>
                <c:pt idx="97">
                  <c:v>1541</c:v>
                </c:pt>
                <c:pt idx="98">
                  <c:v>1504</c:v>
                </c:pt>
                <c:pt idx="99">
                  <c:v>3588</c:v>
                </c:pt>
                <c:pt idx="100">
                  <c:v>3587</c:v>
                </c:pt>
                <c:pt idx="101">
                  <c:v>3588</c:v>
                </c:pt>
                <c:pt idx="102">
                  <c:v>3800</c:v>
                </c:pt>
                <c:pt idx="103">
                  <c:v>3646</c:v>
                </c:pt>
                <c:pt idx="104">
                  <c:v>3633</c:v>
                </c:pt>
                <c:pt idx="105">
                  <c:v>3623</c:v>
                </c:pt>
                <c:pt idx="106">
                  <c:v>3627</c:v>
                </c:pt>
                <c:pt idx="107">
                  <c:v>3777</c:v>
                </c:pt>
                <c:pt idx="108">
                  <c:v>3754</c:v>
                </c:pt>
                <c:pt idx="109">
                  <c:v>3749</c:v>
                </c:pt>
                <c:pt idx="110">
                  <c:v>3751</c:v>
                </c:pt>
                <c:pt idx="111">
                  <c:v>3766</c:v>
                </c:pt>
                <c:pt idx="112">
                  <c:v>3757</c:v>
                </c:pt>
                <c:pt idx="113">
                  <c:v>3751</c:v>
                </c:pt>
                <c:pt idx="114">
                  <c:v>3800</c:v>
                </c:pt>
                <c:pt idx="115">
                  <c:v>3801</c:v>
                </c:pt>
                <c:pt idx="116">
                  <c:v>3780</c:v>
                </c:pt>
                <c:pt idx="117">
                  <c:v>3781</c:v>
                </c:pt>
                <c:pt idx="118">
                  <c:v>3850</c:v>
                </c:pt>
                <c:pt idx="119">
                  <c:v>3835</c:v>
                </c:pt>
                <c:pt idx="120">
                  <c:v>3827</c:v>
                </c:pt>
                <c:pt idx="121">
                  <c:v>3821</c:v>
                </c:pt>
                <c:pt idx="122">
                  <c:v>3865</c:v>
                </c:pt>
                <c:pt idx="123">
                  <c:v>3876</c:v>
                </c:pt>
                <c:pt idx="124">
                  <c:v>3876</c:v>
                </c:pt>
                <c:pt idx="125">
                  <c:v>3857</c:v>
                </c:pt>
                <c:pt idx="126">
                  <c:v>3896</c:v>
                </c:pt>
                <c:pt idx="127">
                  <c:v>3739</c:v>
                </c:pt>
                <c:pt idx="128">
                  <c:v>3741</c:v>
                </c:pt>
                <c:pt idx="129">
                  <c:v>3694</c:v>
                </c:pt>
                <c:pt idx="130">
                  <c:v>3588</c:v>
                </c:pt>
                <c:pt idx="131">
                  <c:v>3452</c:v>
                </c:pt>
                <c:pt idx="132">
                  <c:v>3322</c:v>
                </c:pt>
                <c:pt idx="133">
                  <c:v>3317</c:v>
                </c:pt>
                <c:pt idx="134">
                  <c:v>3850</c:v>
                </c:pt>
                <c:pt idx="135">
                  <c:v>4370</c:v>
                </c:pt>
                <c:pt idx="136">
                  <c:v>3420</c:v>
                </c:pt>
                <c:pt idx="137">
                  <c:v>3940</c:v>
                </c:pt>
                <c:pt idx="138">
                  <c:v>3690</c:v>
                </c:pt>
                <c:pt idx="139">
                  <c:v>3340</c:v>
                </c:pt>
                <c:pt idx="140">
                  <c:v>3040</c:v>
                </c:pt>
                <c:pt idx="141">
                  <c:v>3660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0E-F94A-A333-9C7FD1C24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1805311"/>
        <c:axId val="1762222511"/>
      </c:scatterChart>
      <c:valAx>
        <c:axId val="1741805311"/>
        <c:scaling>
          <c:orientation val="minMax"/>
          <c:min val="2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3000"/>
                  <a:t>Vl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3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2222511"/>
        <c:crosses val="autoZero"/>
        <c:crossBetween val="midCat"/>
      </c:valAx>
      <c:valAx>
        <c:axId val="1762222511"/>
        <c:scaling>
          <c:orientation val="minMax"/>
          <c:max val="4300"/>
          <c:min val="1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3000"/>
                  <a:t>Vt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41805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spPr>
            <a:ln>
              <a:noFill/>
            </a:ln>
          </c:spPr>
          <c:marker>
            <c:symbol val="triangle"/>
            <c:size val="13"/>
          </c:marker>
          <c:xVal>
            <c:numRef>
              <c:f>'M vs G'!$N$5:$N$138</c:f>
              <c:numCache>
                <c:formatCode>0.00</c:formatCode>
                <c:ptCount val="134"/>
                <c:pt idx="0">
                  <c:v>27.562040572480004</c:v>
                </c:pt>
                <c:pt idx="1">
                  <c:v>27.707028506200004</c:v>
                </c:pt>
                <c:pt idx="2">
                  <c:v>27.581969443708001</c:v>
                </c:pt>
                <c:pt idx="3">
                  <c:v>27.2426341219</c:v>
                </c:pt>
                <c:pt idx="6">
                  <c:v>27.156011456449001</c:v>
                </c:pt>
                <c:pt idx="7">
                  <c:v>28.726823656000004</c:v>
                </c:pt>
                <c:pt idx="8">
                  <c:v>33.029921349999995</c:v>
                </c:pt>
                <c:pt idx="9">
                  <c:v>34.767316137268004</c:v>
                </c:pt>
                <c:pt idx="10">
                  <c:v>29.726052880000001</c:v>
                </c:pt>
                <c:pt idx="11">
                  <c:v>38.486318837295997</c:v>
                </c:pt>
                <c:pt idx="12">
                  <c:v>40.955747262476507</c:v>
                </c:pt>
                <c:pt idx="13">
                  <c:v>23.571859555</c:v>
                </c:pt>
                <c:pt idx="14">
                  <c:v>32.895586938880001</c:v>
                </c:pt>
                <c:pt idx="15">
                  <c:v>28.9800390724624</c:v>
                </c:pt>
                <c:pt idx="16">
                  <c:v>27.750218462329599</c:v>
                </c:pt>
                <c:pt idx="17">
                  <c:v>26.5756107787264</c:v>
                </c:pt>
                <c:pt idx="18">
                  <c:v>26.281420520137601</c:v>
                </c:pt>
                <c:pt idx="19">
                  <c:v>25.911722237191299</c:v>
                </c:pt>
                <c:pt idx="20">
                  <c:v>27.7030494730048</c:v>
                </c:pt>
                <c:pt idx="21">
                  <c:v>26.867076420505601</c:v>
                </c:pt>
                <c:pt idx="22">
                  <c:v>27.025708957695997</c:v>
                </c:pt>
                <c:pt idx="23">
                  <c:v>26.058707984800002</c:v>
                </c:pt>
                <c:pt idx="24">
                  <c:v>32.917457031250002</c:v>
                </c:pt>
                <c:pt idx="25">
                  <c:v>32.638539688630004</c:v>
                </c:pt>
                <c:pt idx="26">
                  <c:v>30.78913875616</c:v>
                </c:pt>
                <c:pt idx="27">
                  <c:v>30.84155578747</c:v>
                </c:pt>
                <c:pt idx="28">
                  <c:v>37.395690255872495</c:v>
                </c:pt>
                <c:pt idx="29">
                  <c:v>34.250831435920006</c:v>
                </c:pt>
                <c:pt idx="30">
                  <c:v>29.068683136400203</c:v>
                </c:pt>
                <c:pt idx="31">
                  <c:v>29.218750939073804</c:v>
                </c:pt>
                <c:pt idx="32">
                  <c:v>28.349278845683202</c:v>
                </c:pt>
                <c:pt idx="33">
                  <c:v>27.831498196652802</c:v>
                </c:pt>
                <c:pt idx="34">
                  <c:v>28.116966640825598</c:v>
                </c:pt>
                <c:pt idx="35">
                  <c:v>29.752038975654401</c:v>
                </c:pt>
                <c:pt idx="36">
                  <c:v>28.3110548816875</c:v>
                </c:pt>
                <c:pt idx="37">
                  <c:v>28.3544625758908</c:v>
                </c:pt>
                <c:pt idx="38">
                  <c:v>28.035203192670402</c:v>
                </c:pt>
                <c:pt idx="39">
                  <c:v>27.661141680947196</c:v>
                </c:pt>
                <c:pt idx="40">
                  <c:v>27.747110568497202</c:v>
                </c:pt>
                <c:pt idx="41">
                  <c:v>27.188896635899201</c:v>
                </c:pt>
                <c:pt idx="42">
                  <c:v>34.578831968684803</c:v>
                </c:pt>
                <c:pt idx="43">
                  <c:v>34.922666020600005</c:v>
                </c:pt>
                <c:pt idx="44">
                  <c:v>35.039624166074802</c:v>
                </c:pt>
                <c:pt idx="45">
                  <c:v>34.508337742513902</c:v>
                </c:pt>
                <c:pt idx="46">
                  <c:v>36.607570130087197</c:v>
                </c:pt>
                <c:pt idx="47">
                  <c:v>36.169147943389603</c:v>
                </c:pt>
                <c:pt idx="48">
                  <c:v>36.638053188606406</c:v>
                </c:pt>
                <c:pt idx="49">
                  <c:v>36.113483680922499</c:v>
                </c:pt>
                <c:pt idx="50">
                  <c:v>27.895145754105997</c:v>
                </c:pt>
                <c:pt idx="51">
                  <c:v>27.266908958141954</c:v>
                </c:pt>
                <c:pt idx="52">
                  <c:v>29.650824592452999</c:v>
                </c:pt>
                <c:pt idx="53">
                  <c:v>45.413437810000005</c:v>
                </c:pt>
                <c:pt idx="54">
                  <c:v>43.281826560400006</c:v>
                </c:pt>
                <c:pt idx="55">
                  <c:v>43.747371963100008</c:v>
                </c:pt>
                <c:pt idx="56">
                  <c:v>40.225986049599996</c:v>
                </c:pt>
                <c:pt idx="57">
                  <c:v>23.278285265118402</c:v>
                </c:pt>
                <c:pt idx="58">
                  <c:v>22.014706104561402</c:v>
                </c:pt>
                <c:pt idx="59">
                  <c:v>21.798959035750002</c:v>
                </c:pt>
                <c:pt idx="60">
                  <c:v>20.970604461799603</c:v>
                </c:pt>
                <c:pt idx="61">
                  <c:v>26.028046571247998</c:v>
                </c:pt>
                <c:pt idx="62">
                  <c:v>25.954990429285004</c:v>
                </c:pt>
                <c:pt idx="63">
                  <c:v>25.815447813961001</c:v>
                </c:pt>
                <c:pt idx="64">
                  <c:v>25.883952104557004</c:v>
                </c:pt>
                <c:pt idx="65">
                  <c:v>26.159759642499999</c:v>
                </c:pt>
                <c:pt idx="66">
                  <c:v>26.570149696000001</c:v>
                </c:pt>
                <c:pt idx="67">
                  <c:v>28.266819394528003</c:v>
                </c:pt>
                <c:pt idx="68">
                  <c:v>29.23299797248</c:v>
                </c:pt>
                <c:pt idx="69">
                  <c:v>31.967366746134704</c:v>
                </c:pt>
                <c:pt idx="70">
                  <c:v>31.987567477510002</c:v>
                </c:pt>
                <c:pt idx="71">
                  <c:v>30.348897404963505</c:v>
                </c:pt>
                <c:pt idx="72">
                  <c:v>29.920488830480803</c:v>
                </c:pt>
                <c:pt idx="73">
                  <c:v>28.213291426888002</c:v>
                </c:pt>
                <c:pt idx="74">
                  <c:v>28.793927026255599</c:v>
                </c:pt>
                <c:pt idx="75">
                  <c:v>23.976573483129702</c:v>
                </c:pt>
                <c:pt idx="76">
                  <c:v>24.814093962400001</c:v>
                </c:pt>
                <c:pt idx="77">
                  <c:v>28.266819394528003</c:v>
                </c:pt>
                <c:pt idx="78">
                  <c:v>27.123632486308001</c:v>
                </c:pt>
                <c:pt idx="79">
                  <c:v>27.033716454054403</c:v>
                </c:pt>
                <c:pt idx="80">
                  <c:v>25.911722237191299</c:v>
                </c:pt>
                <c:pt idx="81">
                  <c:v>40.240132680034307</c:v>
                </c:pt>
                <c:pt idx="82">
                  <c:v>31.935018869171198</c:v>
                </c:pt>
                <c:pt idx="83">
                  <c:v>38.172573132620798</c:v>
                </c:pt>
                <c:pt idx="84">
                  <c:v>35.490322080650799</c:v>
                </c:pt>
                <c:pt idx="85">
                  <c:v>32.931210095646399</c:v>
                </c:pt>
                <c:pt idx="86">
                  <c:v>33.902613124933296</c:v>
                </c:pt>
                <c:pt idx="87">
                  <c:v>25.097268866236302</c:v>
                </c:pt>
                <c:pt idx="88">
                  <c:v>24.642588424695099</c:v>
                </c:pt>
                <c:pt idx="89">
                  <c:v>27.345079673886396</c:v>
                </c:pt>
                <c:pt idx="90">
                  <c:v>28.656377167106804</c:v>
                </c:pt>
                <c:pt idx="91">
                  <c:v>29.246933537941295</c:v>
                </c:pt>
                <c:pt idx="92">
                  <c:v>30.120612937830401</c:v>
                </c:pt>
                <c:pt idx="93">
                  <c:v>23.915180228499999</c:v>
                </c:pt>
                <c:pt idx="94">
                  <c:v>23.714720097504401</c:v>
                </c:pt>
                <c:pt idx="95">
                  <c:v>23.147256982690003</c:v>
                </c:pt>
                <c:pt idx="96">
                  <c:v>22.511726289726401</c:v>
                </c:pt>
                <c:pt idx="97">
                  <c:v>21.1182468057088</c:v>
                </c:pt>
                <c:pt idx="98">
                  <c:v>20.3561728670464</c:v>
                </c:pt>
                <c:pt idx="99">
                  <c:v>27.008162322620805</c:v>
                </c:pt>
                <c:pt idx="100">
                  <c:v>28.804199765339202</c:v>
                </c:pt>
                <c:pt idx="101">
                  <c:v>29.176917529104401</c:v>
                </c:pt>
                <c:pt idx="102">
                  <c:v>31.1142731064805</c:v>
                </c:pt>
                <c:pt idx="103">
                  <c:v>32.911794255107196</c:v>
                </c:pt>
                <c:pt idx="104">
                  <c:v>35.354043233020008</c:v>
                </c:pt>
                <c:pt idx="105">
                  <c:v>38.562236397246394</c:v>
                </c:pt>
                <c:pt idx="106">
                  <c:v>40.086987644523703</c:v>
                </c:pt>
                <c:pt idx="107">
                  <c:v>39.257867465072493</c:v>
                </c:pt>
                <c:pt idx="108">
                  <c:v>39.412543286555206</c:v>
                </c:pt>
                <c:pt idx="109">
                  <c:v>39.888155997964006</c:v>
                </c:pt>
                <c:pt idx="110">
                  <c:v>40.240132680034307</c:v>
                </c:pt>
                <c:pt idx="111">
                  <c:v>40.817545314815803</c:v>
                </c:pt>
                <c:pt idx="112">
                  <c:v>41.293890170762197</c:v>
                </c:pt>
                <c:pt idx="113">
                  <c:v>41.720688029793109</c:v>
                </c:pt>
                <c:pt idx="114">
                  <c:v>41.179907151458195</c:v>
                </c:pt>
                <c:pt idx="115">
                  <c:v>41.767856969324797</c:v>
                </c:pt>
                <c:pt idx="116">
                  <c:v>41.670023082597993</c:v>
                </c:pt>
                <c:pt idx="117">
                  <c:v>41.800836759241292</c:v>
                </c:pt>
                <c:pt idx="118">
                  <c:v>42.432425363014005</c:v>
                </c:pt>
                <c:pt idx="119">
                  <c:v>42.892696146868005</c:v>
                </c:pt>
                <c:pt idx="120">
                  <c:v>43.158065813651206</c:v>
                </c:pt>
                <c:pt idx="121">
                  <c:v>43.453606017650813</c:v>
                </c:pt>
                <c:pt idx="122">
                  <c:v>43.730363025279999</c:v>
                </c:pt>
                <c:pt idx="123">
                  <c:v>43.982372873213194</c:v>
                </c:pt>
                <c:pt idx="124">
                  <c:v>45.148748976102397</c:v>
                </c:pt>
                <c:pt idx="125">
                  <c:v>44.687646709926099</c:v>
                </c:pt>
                <c:pt idx="126">
                  <c:v>45.078841962710797</c:v>
                </c:pt>
                <c:pt idx="127">
                  <c:v>27.913906316348804</c:v>
                </c:pt>
                <c:pt idx="128">
                  <c:v>27.9332812</c:v>
                </c:pt>
                <c:pt idx="129">
                  <c:v>27.351488117382402</c:v>
                </c:pt>
                <c:pt idx="130">
                  <c:v>26.276322202978001</c:v>
                </c:pt>
                <c:pt idx="131">
                  <c:v>24.930262940334099</c:v>
                </c:pt>
                <c:pt idx="132">
                  <c:v>23.733030219810402</c:v>
                </c:pt>
                <c:pt idx="133">
                  <c:v>23.644050624380501</c:v>
                </c:pt>
              </c:numCache>
            </c:numRef>
          </c:xVal>
          <c:yVal>
            <c:numRef>
              <c:f>'M vs G'!$G$5:$G$138</c:f>
              <c:numCache>
                <c:formatCode>0.00</c:formatCode>
                <c:ptCount val="134"/>
                <c:pt idx="0">
                  <c:v>31.251794200000003</c:v>
                </c:pt>
                <c:pt idx="1">
                  <c:v>30.134053119999997</c:v>
                </c:pt>
                <c:pt idx="2">
                  <c:v>29.713187999999995</c:v>
                </c:pt>
                <c:pt idx="3">
                  <c:v>29.596017249999999</c:v>
                </c:pt>
                <c:pt idx="6">
                  <c:v>29.111775000000002</c:v>
                </c:pt>
                <c:pt idx="7">
                  <c:v>30.776546399999997</c:v>
                </c:pt>
                <c:pt idx="8">
                  <c:v>33.845926399999996</c:v>
                </c:pt>
                <c:pt idx="9">
                  <c:v>34.137199480000007</c:v>
                </c:pt>
                <c:pt idx="10">
                  <c:v>29.53531448</c:v>
                </c:pt>
                <c:pt idx="11">
                  <c:v>38.05037549</c:v>
                </c:pt>
                <c:pt idx="12">
                  <c:v>39.189690540000001</c:v>
                </c:pt>
                <c:pt idx="13">
                  <c:v>25.063199999999998</c:v>
                </c:pt>
                <c:pt idx="14">
                  <c:v>34.402970000000003</c:v>
                </c:pt>
                <c:pt idx="15">
                  <c:v>30.9644224</c:v>
                </c:pt>
                <c:pt idx="16">
                  <c:v>29.457765375999998</c:v>
                </c:pt>
                <c:pt idx="17">
                  <c:v>27.587515896000003</c:v>
                </c:pt>
                <c:pt idx="18">
                  <c:v>27.083642399999999</c:v>
                </c:pt>
                <c:pt idx="19">
                  <c:v>27.266031611999999</c:v>
                </c:pt>
                <c:pt idx="20">
                  <c:v>30.031345883</c:v>
                </c:pt>
                <c:pt idx="21">
                  <c:v>28.296706536000002</c:v>
                </c:pt>
                <c:pt idx="22">
                  <c:v>28.552265999999996</c:v>
                </c:pt>
                <c:pt idx="23">
                  <c:v>26.669352374999999</c:v>
                </c:pt>
                <c:pt idx="24">
                  <c:v>34.879640300000005</c:v>
                </c:pt>
                <c:pt idx="25">
                  <c:v>35.114062500000003</c:v>
                </c:pt>
                <c:pt idx="26">
                  <c:v>30.951740000000001</c:v>
                </c:pt>
                <c:pt idx="27">
                  <c:v>31.935422799999998</c:v>
                </c:pt>
                <c:pt idx="28">
                  <c:v>37.169335179000001</c:v>
                </c:pt>
                <c:pt idx="29">
                  <c:v>34.051680608000005</c:v>
                </c:pt>
                <c:pt idx="30">
                  <c:v>30.038982638000004</c:v>
                </c:pt>
                <c:pt idx="31">
                  <c:v>30.044074872000003</c:v>
                </c:pt>
                <c:pt idx="32">
                  <c:v>28.314282088000002</c:v>
                </c:pt>
                <c:pt idx="33">
                  <c:v>27.880181568000001</c:v>
                </c:pt>
                <c:pt idx="34">
                  <c:v>27.504958896000002</c:v>
                </c:pt>
                <c:pt idx="35">
                  <c:v>31.4770784</c:v>
                </c:pt>
                <c:pt idx="36">
                  <c:v>29.090702932999999</c:v>
                </c:pt>
                <c:pt idx="37">
                  <c:v>28.799230208000001</c:v>
                </c:pt>
                <c:pt idx="38">
                  <c:v>28.348839796</c:v>
                </c:pt>
                <c:pt idx="39">
                  <c:v>27.590146856999997</c:v>
                </c:pt>
                <c:pt idx="40">
                  <c:v>27.896720307999999</c:v>
                </c:pt>
                <c:pt idx="41">
                  <c:v>26.730365291999998</c:v>
                </c:pt>
                <c:pt idx="42">
                  <c:v>33.889117428000006</c:v>
                </c:pt>
                <c:pt idx="43">
                  <c:v>34.412033999999998</c:v>
                </c:pt>
                <c:pt idx="44">
                  <c:v>34.520667237000005</c:v>
                </c:pt>
                <c:pt idx="45">
                  <c:v>34.314342741000004</c:v>
                </c:pt>
                <c:pt idx="46">
                  <c:v>34.891154999999998</c:v>
                </c:pt>
                <c:pt idx="47">
                  <c:v>34.86630375</c:v>
                </c:pt>
                <c:pt idx="48">
                  <c:v>35.458878564000003</c:v>
                </c:pt>
                <c:pt idx="49">
                  <c:v>34.463815036</c:v>
                </c:pt>
                <c:pt idx="50">
                  <c:v>30.120077759999997</c:v>
                </c:pt>
                <c:pt idx="51">
                  <c:v>29.630968199999998</c:v>
                </c:pt>
                <c:pt idx="52">
                  <c:v>32.225223870000001</c:v>
                </c:pt>
                <c:pt idx="53">
                  <c:v>44</c:v>
                </c:pt>
                <c:pt idx="54">
                  <c:v>41.009599999999999</c:v>
                </c:pt>
                <c:pt idx="55">
                  <c:v>41.004643999999999</c:v>
                </c:pt>
                <c:pt idx="56">
                  <c:v>38.816991000000002</c:v>
                </c:pt>
                <c:pt idx="57">
                  <c:v>24.154977600000002</c:v>
                </c:pt>
                <c:pt idx="58">
                  <c:v>21.0466674</c:v>
                </c:pt>
                <c:pt idx="59">
                  <c:v>18.339062500000001</c:v>
                </c:pt>
                <c:pt idx="60">
                  <c:v>17.544222899999998</c:v>
                </c:pt>
                <c:pt idx="61">
                  <c:v>28.426951079999998</c:v>
                </c:pt>
                <c:pt idx="62">
                  <c:v>27.50261635</c:v>
                </c:pt>
                <c:pt idx="63">
                  <c:v>26.502471</c:v>
                </c:pt>
                <c:pt idx="64">
                  <c:v>25.777559069999999</c:v>
                </c:pt>
                <c:pt idx="65">
                  <c:v>25.356071520000004</c:v>
                </c:pt>
                <c:pt idx="66">
                  <c:v>25.09056</c:v>
                </c:pt>
                <c:pt idx="67">
                  <c:v>27.318371280000001</c:v>
                </c:pt>
                <c:pt idx="68">
                  <c:v>27.798193332000004</c:v>
                </c:pt>
                <c:pt idx="69">
                  <c:v>32.339334612000002</c:v>
                </c:pt>
                <c:pt idx="70">
                  <c:v>32.697660995999996</c:v>
                </c:pt>
                <c:pt idx="71">
                  <c:v>29.983723964999999</c:v>
                </c:pt>
                <c:pt idx="72">
                  <c:v>31.495936607999997</c:v>
                </c:pt>
                <c:pt idx="73">
                  <c:v>28.922318000000001</c:v>
                </c:pt>
                <c:pt idx="74">
                  <c:v>28.693068516</c:v>
                </c:pt>
                <c:pt idx="75">
                  <c:v>22.230099502999998</c:v>
                </c:pt>
                <c:pt idx="76">
                  <c:v>25.801580334999997</c:v>
                </c:pt>
                <c:pt idx="77">
                  <c:v>25.665107280000001</c:v>
                </c:pt>
                <c:pt idx="78">
                  <c:v>25.036462080000003</c:v>
                </c:pt>
                <c:pt idx="79">
                  <c:v>25.309952569169955</c:v>
                </c:pt>
                <c:pt idx="80">
                  <c:v>27.266031611999999</c:v>
                </c:pt>
                <c:pt idx="81">
                  <c:v>38.326001825000006</c:v>
                </c:pt>
                <c:pt idx="82">
                  <c:v>30.433742562999996</c:v>
                </c:pt>
                <c:pt idx="83">
                  <c:v>35.326051874999997</c:v>
                </c:pt>
                <c:pt idx="84">
                  <c:v>34.725520557000003</c:v>
                </c:pt>
                <c:pt idx="85">
                  <c:v>32.225774399999999</c:v>
                </c:pt>
                <c:pt idx="86">
                  <c:v>33.035996322999999</c:v>
                </c:pt>
                <c:pt idx="87">
                  <c:v>24.920750925</c:v>
                </c:pt>
                <c:pt idx="88">
                  <c:v>24.939626595999997</c:v>
                </c:pt>
                <c:pt idx="89">
                  <c:v>29.243388564</c:v>
                </c:pt>
                <c:pt idx="90">
                  <c:v>31.912464612000001</c:v>
                </c:pt>
                <c:pt idx="91">
                  <c:v>32.480262746999998</c:v>
                </c:pt>
                <c:pt idx="92">
                  <c:v>33.241007599999996</c:v>
                </c:pt>
                <c:pt idx="93">
                  <c:v>22.875340000000001</c:v>
                </c:pt>
                <c:pt idx="94">
                  <c:v>22.221048278999998</c:v>
                </c:pt>
                <c:pt idx="95">
                  <c:v>20.3016051</c:v>
                </c:pt>
                <c:pt idx="96">
                  <c:v>19.216247844000002</c:v>
                </c:pt>
                <c:pt idx="97">
                  <c:v>17.021713408</c:v>
                </c:pt>
                <c:pt idx="98">
                  <c:v>16.560219136000001</c:v>
                </c:pt>
                <c:pt idx="99">
                  <c:v>29.377883808000004</c:v>
                </c:pt>
                <c:pt idx="100">
                  <c:v>31.175696686999999</c:v>
                </c:pt>
                <c:pt idx="101">
                  <c:v>31.811021424000003</c:v>
                </c:pt>
                <c:pt idx="102">
                  <c:v>34.0062</c:v>
                </c:pt>
                <c:pt idx="103">
                  <c:v>33.924542432000003</c:v>
                </c:pt>
                <c:pt idx="104">
                  <c:v>35.398883898000001</c:v>
                </c:pt>
                <c:pt idx="105">
                  <c:v>37.816377648999996</c:v>
                </c:pt>
                <c:pt idx="106">
                  <c:v>38.452442067</c:v>
                </c:pt>
                <c:pt idx="107">
                  <c:v>38.503202570999996</c:v>
                </c:pt>
                <c:pt idx="108">
                  <c:v>38.430291132000001</c:v>
                </c:pt>
                <c:pt idx="109">
                  <c:v>38.791802759999996</c:v>
                </c:pt>
                <c:pt idx="110">
                  <c:v>39.072392777000005</c:v>
                </c:pt>
                <c:pt idx="111">
                  <c:v>39.740082311999998</c:v>
                </c:pt>
                <c:pt idx="112">
                  <c:v>40.114969258000002</c:v>
                </c:pt>
                <c:pt idx="113">
                  <c:v>40.254272861000004</c:v>
                </c:pt>
                <c:pt idx="114">
                  <c:v>40.114319999999999</c:v>
                </c:pt>
                <c:pt idx="115">
                  <c:v>40.554416007</c:v>
                </c:pt>
                <c:pt idx="116">
                  <c:v>40.293287999999997</c:v>
                </c:pt>
                <c:pt idx="117">
                  <c:v>40.414681747000003</c:v>
                </c:pt>
                <c:pt idx="118">
                  <c:v>41.280662499999998</c:v>
                </c:pt>
                <c:pt idx="119">
                  <c:v>41.621446749999997</c:v>
                </c:pt>
                <c:pt idx="120">
                  <c:v>41.770189508000001</c:v>
                </c:pt>
                <c:pt idx="121">
                  <c:v>41.945917793000007</c:v>
                </c:pt>
                <c:pt idx="122">
                  <c:v>42.319991425000005</c:v>
                </c:pt>
                <c:pt idx="123">
                  <c:v>42.771551472000006</c:v>
                </c:pt>
                <c:pt idx="124">
                  <c:v>43.507696895999999</c:v>
                </c:pt>
                <c:pt idx="125">
                  <c:v>43.126825650999997</c:v>
                </c:pt>
                <c:pt idx="126">
                  <c:v>43.456950207999995</c:v>
                </c:pt>
                <c:pt idx="127">
                  <c:v>31.007908378</c:v>
                </c:pt>
                <c:pt idx="128">
                  <c:v>31.027094577</c:v>
                </c:pt>
                <c:pt idx="129">
                  <c:v>30.170501196</c:v>
                </c:pt>
                <c:pt idx="130">
                  <c:v>28.257868079999998</c:v>
                </c:pt>
                <c:pt idx="131">
                  <c:v>25.965626415999996</c:v>
                </c:pt>
                <c:pt idx="132">
                  <c:v>23.770863335999998</c:v>
                </c:pt>
                <c:pt idx="133">
                  <c:v>23.710363794999999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BE2-1649-B498-860C227B201C}"/>
            </c:ext>
          </c:extLst>
        </c:ser>
        <c:ser>
          <c:idx val="3"/>
          <c:order val="1"/>
          <c:tx>
            <c:v>01:01</c:v>
          </c:tx>
          <c:spPr>
            <a:ln w="19050">
              <a:solidFill>
                <a:schemeClr val="accent1"/>
              </a:solidFill>
            </a:ln>
          </c:spPr>
          <c:xVal>
            <c:numRef>
              <c:f>'M vs G'!$V$5:$V$6</c:f>
              <c:numCache>
                <c:formatCode>General</c:formatCode>
                <c:ptCount val="2"/>
                <c:pt idx="0">
                  <c:v>13</c:v>
                </c:pt>
                <c:pt idx="1">
                  <c:v>45</c:v>
                </c:pt>
              </c:numCache>
            </c:numRef>
          </c:xVal>
          <c:yVal>
            <c:numRef>
              <c:f>'M vs G'!$W$5:$W$6</c:f>
              <c:numCache>
                <c:formatCode>General</c:formatCode>
                <c:ptCount val="2"/>
                <c:pt idx="0">
                  <c:v>13</c:v>
                </c:pt>
                <c:pt idx="1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BE2-1649-B498-860C227B201C}"/>
            </c:ext>
          </c:extLst>
        </c:ser>
        <c:ser>
          <c:idx val="0"/>
          <c:order val="2"/>
          <c:spPr>
            <a:ln>
              <a:noFill/>
            </a:ln>
          </c:spPr>
          <c:marker>
            <c:spPr>
              <a:solidFill>
                <a:schemeClr val="accent1"/>
              </a:solidFill>
              <a:ln w="95250">
                <a:solidFill>
                  <a:schemeClr val="accent1"/>
                </a:solidFill>
              </a:ln>
              <a:effectLst/>
            </c:spPr>
          </c:marker>
          <c:xVal>
            <c:numRef>
              <c:f>'M vs G'!$O$5:$O$138</c:f>
              <c:numCache>
                <c:formatCode>General</c:formatCode>
                <c:ptCount val="134"/>
                <c:pt idx="0">
                  <c:v>28.207629159263931</c:v>
                </c:pt>
                <c:pt idx="1">
                  <c:v>28.369531303682749</c:v>
                </c:pt>
                <c:pt idx="2">
                  <c:v>28.229947276615704</c:v>
                </c:pt>
                <c:pt idx="3">
                  <c:v>27.847090207560967</c:v>
                </c:pt>
                <c:pt idx="6">
                  <c:v>27.748378795502276</c:v>
                </c:pt>
                <c:pt idx="7">
                  <c:v>29.478664873740087</c:v>
                </c:pt>
                <c:pt idx="8">
                  <c:v>33.66824307993717</c:v>
                </c:pt>
                <c:pt idx="9">
                  <c:v>35.173554098140372</c:v>
                </c:pt>
                <c:pt idx="10">
                  <c:v>30.518220328213772</c:v>
                </c:pt>
                <c:pt idx="11">
                  <c:v>38.11161254608173</c:v>
                </c:pt>
                <c:pt idx="12">
                  <c:v>39.882216881987546</c:v>
                </c:pt>
                <c:pt idx="13">
                  <c:v>23.264571434250797</c:v>
                </c:pt>
                <c:pt idx="14">
                  <c:v>33.547855482470695</c:v>
                </c:pt>
                <c:pt idx="15">
                  <c:v>29.746356283230995</c:v>
                </c:pt>
                <c:pt idx="16">
                  <c:v>28.417550994855034</c:v>
                </c:pt>
                <c:pt idx="17">
                  <c:v>27.076377260915919</c:v>
                </c:pt>
                <c:pt idx="18">
                  <c:v>26.72849009101364</c:v>
                </c:pt>
                <c:pt idx="19">
                  <c:v>26.284095193869959</c:v>
                </c:pt>
                <c:pt idx="20">
                  <c:v>28.365102512888157</c:v>
                </c:pt>
                <c:pt idx="21">
                  <c:v>27.416176927786225</c:v>
                </c:pt>
                <c:pt idx="22">
                  <c:v>27.599128700986057</c:v>
                </c:pt>
                <c:pt idx="23">
                  <c:v>26.461758183155581</c:v>
                </c:pt>
                <c:pt idx="24">
                  <c:v>33.56749587353444</c:v>
                </c:pt>
                <c:pt idx="25">
                  <c:v>33.315811298061561</c:v>
                </c:pt>
                <c:pt idx="26">
                  <c:v>31.577246115058514</c:v>
                </c:pt>
                <c:pt idx="27">
                  <c:v>31.628282278688289</c:v>
                </c:pt>
                <c:pt idx="28">
                  <c:v>37.286361725820854</c:v>
                </c:pt>
                <c:pt idx="29">
                  <c:v>34.735765832039576</c:v>
                </c:pt>
                <c:pt idx="30">
                  <c:v>29.839372168012673</c:v>
                </c:pt>
                <c:pt idx="31">
                  <c:v>29.996030205687049</c:v>
                </c:pt>
                <c:pt idx="32">
                  <c:v>29.073951605916577</c:v>
                </c:pt>
                <c:pt idx="33">
                  <c:v>28.507662122349629</c:v>
                </c:pt>
                <c:pt idx="34">
                  <c:v>28.821513684049606</c:v>
                </c:pt>
                <c:pt idx="35">
                  <c:v>30.544667874096305</c:v>
                </c:pt>
                <c:pt idx="36">
                  <c:v>29.032596903195255</c:v>
                </c:pt>
                <c:pt idx="37">
                  <c:v>29.079554468767583</c:v>
                </c:pt>
                <c:pt idx="38">
                  <c:v>28.732036246711786</c:v>
                </c:pt>
                <c:pt idx="39">
                  <c:v>28.318408484088323</c:v>
                </c:pt>
                <c:pt idx="40">
                  <c:v>28.414098741375881</c:v>
                </c:pt>
                <c:pt idx="41">
                  <c:v>27.785900772508711</c:v>
                </c:pt>
                <c:pt idx="42">
                  <c:v>35.014705974430854</c:v>
                </c:pt>
                <c:pt idx="43">
                  <c:v>35.303697918502237</c:v>
                </c:pt>
                <c:pt idx="44">
                  <c:v>35.401219138792882</c:v>
                </c:pt>
                <c:pt idx="45">
                  <c:v>34.955026693918867</c:v>
                </c:pt>
                <c:pt idx="46">
                  <c:v>36.67198140695514</c:v>
                </c:pt>
                <c:pt idx="47">
                  <c:v>36.323329253991929</c:v>
                </c:pt>
                <c:pt idx="48">
                  <c:v>36.696036973053566</c:v>
                </c:pt>
                <c:pt idx="49">
                  <c:v>36.278700862156001</c:v>
                </c:pt>
                <c:pt idx="50">
                  <c:v>28.577991601006346</c:v>
                </c:pt>
                <c:pt idx="51">
                  <c:v>27.874680629905967</c:v>
                </c:pt>
                <c:pt idx="52">
                  <c:v>30.441492700997699</c:v>
                </c:pt>
                <c:pt idx="53">
                  <c:v>42.783076810128577</c:v>
                </c:pt>
                <c:pt idx="54">
                  <c:v>41.439232637877254</c:v>
                </c:pt>
                <c:pt idx="55">
                  <c:v>41.739169089724243</c:v>
                </c:pt>
                <c:pt idx="56">
                  <c:v>39.372328775380396</c:v>
                </c:pt>
                <c:pt idx="57">
                  <c:v>22.85765151992652</c:v>
                </c:pt>
                <c:pt idx="58">
                  <c:v>21.023580243196733</c:v>
                </c:pt>
                <c:pt idx="59">
                  <c:v>20.69603713522109</c:v>
                </c:pt>
                <c:pt idx="60">
                  <c:v>19.395541409233786</c:v>
                </c:pt>
                <c:pt idx="61">
                  <c:v>26.42480503713719</c:v>
                </c:pt>
                <c:pt idx="62">
                  <c:v>26.336529533587751</c:v>
                </c:pt>
                <c:pt idx="63">
                  <c:v>26.167016007283507</c:v>
                </c:pt>
                <c:pt idx="64">
                  <c:v>26.250382102867476</c:v>
                </c:pt>
                <c:pt idx="65">
                  <c:v>26.583147515474778</c:v>
                </c:pt>
                <c:pt idx="66">
                  <c:v>27.06996477337438</c:v>
                </c:pt>
                <c:pt idx="67">
                  <c:v>28.984649861875624</c:v>
                </c:pt>
                <c:pt idx="68">
                  <c:v>30.010850289443496</c:v>
                </c:pt>
                <c:pt idx="69">
                  <c:v>32.699213464680341</c:v>
                </c:pt>
                <c:pt idx="70">
                  <c:v>32.718002916041115</c:v>
                </c:pt>
                <c:pt idx="71">
                  <c:v>31.144297458644843</c:v>
                </c:pt>
                <c:pt idx="72">
                  <c:v>30.7154111219822</c:v>
                </c:pt>
                <c:pt idx="73">
                  <c:v>28.926503261189211</c:v>
                </c:pt>
                <c:pt idx="74">
                  <c:v>29.549893524240218</c:v>
                </c:pt>
                <c:pt idx="75">
                  <c:v>23.814546394732886</c:v>
                </c:pt>
                <c:pt idx="76">
                  <c:v>24.914433426614011</c:v>
                </c:pt>
                <c:pt idx="77">
                  <c:v>28.984649861875624</c:v>
                </c:pt>
                <c:pt idx="78">
                  <c:v>27.711377436812882</c:v>
                </c:pt>
                <c:pt idx="79">
                  <c:v>27.608327197017047</c:v>
                </c:pt>
                <c:pt idx="80">
                  <c:v>26.284095193869959</c:v>
                </c:pt>
                <c:pt idx="81">
                  <c:v>39.382315975356946</c:v>
                </c:pt>
                <c:pt idx="82">
                  <c:v>32.669095063566218</c:v>
                </c:pt>
                <c:pt idx="83">
                  <c:v>37.87708049271366</c:v>
                </c:pt>
                <c:pt idx="84">
                  <c:v>35.773381917697165</c:v>
                </c:pt>
                <c:pt idx="85">
                  <c:v>33.579838620389111</c:v>
                </c:pt>
                <c:pt idx="86">
                  <c:v>34.436068229291649</c:v>
                </c:pt>
                <c:pt idx="87">
                  <c:v>25.275281937657056</c:v>
                </c:pt>
                <c:pt idx="88">
                  <c:v>24.693237577422693</c:v>
                </c:pt>
                <c:pt idx="89">
                  <c:v>27.963315034213508</c:v>
                </c:pt>
                <c:pt idx="90">
                  <c:v>29.403661165900203</c:v>
                </c:pt>
                <c:pt idx="91">
                  <c:v>30.025337596381945</c:v>
                </c:pt>
                <c:pt idx="92">
                  <c:v>30.916705405723192</c:v>
                </c:pt>
                <c:pt idx="93">
                  <c:v>23.73191819675408</c:v>
                </c:pt>
                <c:pt idx="94">
                  <c:v>23.460139276826041</c:v>
                </c:pt>
                <c:pt idx="95">
                  <c:v>22.673801129913983</c:v>
                </c:pt>
                <c:pt idx="96">
                  <c:v>21.761681041372825</c:v>
                </c:pt>
                <c:pt idx="97">
                  <c:v>19.632516928591414</c:v>
                </c:pt>
                <c:pt idx="98">
                  <c:v>18.383612473649748</c:v>
                </c:pt>
                <c:pt idx="99">
                  <c:v>27.578960015372644</c:v>
                </c:pt>
                <c:pt idx="100">
                  <c:v>29.560779302703097</c:v>
                </c:pt>
                <c:pt idx="101">
                  <c:v>29.95246159613022</c:v>
                </c:pt>
                <c:pt idx="102">
                  <c:v>31.892091070859834</c:v>
                </c:pt>
                <c:pt idx="103">
                  <c:v>33.562411959289122</c:v>
                </c:pt>
                <c:pt idx="104">
                  <c:v>35.661452792563225</c:v>
                </c:pt>
                <c:pt idx="105">
                  <c:v>38.168022520637962</c:v>
                </c:pt>
                <c:pt idx="106">
                  <c:v>39.273979081710706</c:v>
                </c:pt>
                <c:pt idx="107">
                  <c:v>38.678870021518634</c:v>
                </c:pt>
                <c:pt idx="108">
                  <c:v>38.791006952348212</c:v>
                </c:pt>
                <c:pt idx="109">
                  <c:v>39.132594859734994</c:v>
                </c:pt>
                <c:pt idx="110">
                  <c:v>39.382315975356946</c:v>
                </c:pt>
                <c:pt idx="111">
                  <c:v>39.786476001666259</c:v>
                </c:pt>
                <c:pt idx="112">
                  <c:v>40.114883131773297</c:v>
                </c:pt>
                <c:pt idx="113">
                  <c:v>40.405390296210498</c:v>
                </c:pt>
                <c:pt idx="114">
                  <c:v>40.036704582088149</c:v>
                </c:pt>
                <c:pt idx="115">
                  <c:v>40.437283524831017</c:v>
                </c:pt>
                <c:pt idx="116">
                  <c:v>40.371086329263306</c:v>
                </c:pt>
                <c:pt idx="117">
                  <c:v>40.459557816717165</c:v>
                </c:pt>
                <c:pt idx="118">
                  <c:v>40.88221646384828</c:v>
                </c:pt>
                <c:pt idx="119">
                  <c:v>41.185641964941212</c:v>
                </c:pt>
                <c:pt idx="120">
                  <c:v>41.358867549717374</c:v>
                </c:pt>
                <c:pt idx="121">
                  <c:v>41.550338337724284</c:v>
                </c:pt>
                <c:pt idx="122">
                  <c:v>41.728275980180413</c:v>
                </c:pt>
                <c:pt idx="123">
                  <c:v>41.889171712406238</c:v>
                </c:pt>
                <c:pt idx="124">
                  <c:v>42.620211866584725</c:v>
                </c:pt>
                <c:pt idx="125">
                  <c:v>42.333846060746112</c:v>
                </c:pt>
                <c:pt idx="126">
                  <c:v>42.577013857113229</c:v>
                </c:pt>
                <c:pt idx="127">
                  <c:v>28.598682738904301</c:v>
                </c:pt>
                <c:pt idx="128">
                  <c:v>28.62003285007944</c:v>
                </c:pt>
                <c:pt idx="129">
                  <c:v>27.970566905435902</c:v>
                </c:pt>
                <c:pt idx="130">
                  <c:v>26.722416872410307</c:v>
                </c:pt>
                <c:pt idx="131">
                  <c:v>25.063118945465888</c:v>
                </c:pt>
                <c:pt idx="132">
                  <c:v>23.485090826502812</c:v>
                </c:pt>
                <c:pt idx="133">
                  <c:v>23.36359450204337</c:v>
                </c:pt>
              </c:numCache>
            </c:numRef>
          </c:xVal>
          <c:yVal>
            <c:numRef>
              <c:f>'M vs G'!$G$5:$G$138</c:f>
              <c:numCache>
                <c:formatCode>0.00</c:formatCode>
                <c:ptCount val="134"/>
                <c:pt idx="0">
                  <c:v>31.251794200000003</c:v>
                </c:pt>
                <c:pt idx="1">
                  <c:v>30.134053119999997</c:v>
                </c:pt>
                <c:pt idx="2">
                  <c:v>29.713187999999995</c:v>
                </c:pt>
                <c:pt idx="3">
                  <c:v>29.596017249999999</c:v>
                </c:pt>
                <c:pt idx="6">
                  <c:v>29.111775000000002</c:v>
                </c:pt>
                <c:pt idx="7">
                  <c:v>30.776546399999997</c:v>
                </c:pt>
                <c:pt idx="8">
                  <c:v>33.845926399999996</c:v>
                </c:pt>
                <c:pt idx="9">
                  <c:v>34.137199480000007</c:v>
                </c:pt>
                <c:pt idx="10">
                  <c:v>29.53531448</c:v>
                </c:pt>
                <c:pt idx="11">
                  <c:v>38.05037549</c:v>
                </c:pt>
                <c:pt idx="12">
                  <c:v>39.189690540000001</c:v>
                </c:pt>
                <c:pt idx="13">
                  <c:v>25.063199999999998</c:v>
                </c:pt>
                <c:pt idx="14">
                  <c:v>34.402970000000003</c:v>
                </c:pt>
                <c:pt idx="15">
                  <c:v>30.9644224</c:v>
                </c:pt>
                <c:pt idx="16">
                  <c:v>29.457765375999998</c:v>
                </c:pt>
                <c:pt idx="17">
                  <c:v>27.587515896000003</c:v>
                </c:pt>
                <c:pt idx="18">
                  <c:v>27.083642399999999</c:v>
                </c:pt>
                <c:pt idx="19">
                  <c:v>27.266031611999999</c:v>
                </c:pt>
                <c:pt idx="20">
                  <c:v>30.031345883</c:v>
                </c:pt>
                <c:pt idx="21">
                  <c:v>28.296706536000002</c:v>
                </c:pt>
                <c:pt idx="22">
                  <c:v>28.552265999999996</c:v>
                </c:pt>
                <c:pt idx="23">
                  <c:v>26.669352374999999</c:v>
                </c:pt>
                <c:pt idx="24">
                  <c:v>34.879640300000005</c:v>
                </c:pt>
                <c:pt idx="25">
                  <c:v>35.114062500000003</c:v>
                </c:pt>
                <c:pt idx="26">
                  <c:v>30.951740000000001</c:v>
                </c:pt>
                <c:pt idx="27">
                  <c:v>31.935422799999998</c:v>
                </c:pt>
                <c:pt idx="28">
                  <c:v>37.169335179000001</c:v>
                </c:pt>
                <c:pt idx="29">
                  <c:v>34.051680608000005</c:v>
                </c:pt>
                <c:pt idx="30">
                  <c:v>30.038982638000004</c:v>
                </c:pt>
                <c:pt idx="31">
                  <c:v>30.044074872000003</c:v>
                </c:pt>
                <c:pt idx="32">
                  <c:v>28.314282088000002</c:v>
                </c:pt>
                <c:pt idx="33">
                  <c:v>27.880181568000001</c:v>
                </c:pt>
                <c:pt idx="34">
                  <c:v>27.504958896000002</c:v>
                </c:pt>
                <c:pt idx="35">
                  <c:v>31.4770784</c:v>
                </c:pt>
                <c:pt idx="36">
                  <c:v>29.090702932999999</c:v>
                </c:pt>
                <c:pt idx="37">
                  <c:v>28.799230208000001</c:v>
                </c:pt>
                <c:pt idx="38">
                  <c:v>28.348839796</c:v>
                </c:pt>
                <c:pt idx="39">
                  <c:v>27.590146856999997</c:v>
                </c:pt>
                <c:pt idx="40">
                  <c:v>27.896720307999999</c:v>
                </c:pt>
                <c:pt idx="41">
                  <c:v>26.730365291999998</c:v>
                </c:pt>
                <c:pt idx="42">
                  <c:v>33.889117428000006</c:v>
                </c:pt>
                <c:pt idx="43">
                  <c:v>34.412033999999998</c:v>
                </c:pt>
                <c:pt idx="44">
                  <c:v>34.520667237000005</c:v>
                </c:pt>
                <c:pt idx="45">
                  <c:v>34.314342741000004</c:v>
                </c:pt>
                <c:pt idx="46">
                  <c:v>34.891154999999998</c:v>
                </c:pt>
                <c:pt idx="47">
                  <c:v>34.86630375</c:v>
                </c:pt>
                <c:pt idx="48">
                  <c:v>35.458878564000003</c:v>
                </c:pt>
                <c:pt idx="49">
                  <c:v>34.463815036</c:v>
                </c:pt>
                <c:pt idx="50">
                  <c:v>30.120077759999997</c:v>
                </c:pt>
                <c:pt idx="51">
                  <c:v>29.630968199999998</c:v>
                </c:pt>
                <c:pt idx="52">
                  <c:v>32.225223870000001</c:v>
                </c:pt>
                <c:pt idx="53">
                  <c:v>44</c:v>
                </c:pt>
                <c:pt idx="54">
                  <c:v>41.009599999999999</c:v>
                </c:pt>
                <c:pt idx="55">
                  <c:v>41.004643999999999</c:v>
                </c:pt>
                <c:pt idx="56">
                  <c:v>38.816991000000002</c:v>
                </c:pt>
                <c:pt idx="57">
                  <c:v>24.154977600000002</c:v>
                </c:pt>
                <c:pt idx="58">
                  <c:v>21.0466674</c:v>
                </c:pt>
                <c:pt idx="59">
                  <c:v>18.339062500000001</c:v>
                </c:pt>
                <c:pt idx="60">
                  <c:v>17.544222899999998</c:v>
                </c:pt>
                <c:pt idx="61">
                  <c:v>28.426951079999998</c:v>
                </c:pt>
                <c:pt idx="62">
                  <c:v>27.50261635</c:v>
                </c:pt>
                <c:pt idx="63">
                  <c:v>26.502471</c:v>
                </c:pt>
                <c:pt idx="64">
                  <c:v>25.777559069999999</c:v>
                </c:pt>
                <c:pt idx="65">
                  <c:v>25.356071520000004</c:v>
                </c:pt>
                <c:pt idx="66">
                  <c:v>25.09056</c:v>
                </c:pt>
                <c:pt idx="67">
                  <c:v>27.318371280000001</c:v>
                </c:pt>
                <c:pt idx="68">
                  <c:v>27.798193332000004</c:v>
                </c:pt>
                <c:pt idx="69">
                  <c:v>32.339334612000002</c:v>
                </c:pt>
                <c:pt idx="70">
                  <c:v>32.697660995999996</c:v>
                </c:pt>
                <c:pt idx="71">
                  <c:v>29.983723964999999</c:v>
                </c:pt>
                <c:pt idx="72">
                  <c:v>31.495936607999997</c:v>
                </c:pt>
                <c:pt idx="73">
                  <c:v>28.922318000000001</c:v>
                </c:pt>
                <c:pt idx="74">
                  <c:v>28.693068516</c:v>
                </c:pt>
                <c:pt idx="75">
                  <c:v>22.230099502999998</c:v>
                </c:pt>
                <c:pt idx="76">
                  <c:v>25.801580334999997</c:v>
                </c:pt>
                <c:pt idx="77">
                  <c:v>25.665107280000001</c:v>
                </c:pt>
                <c:pt idx="78">
                  <c:v>25.036462080000003</c:v>
                </c:pt>
                <c:pt idx="79">
                  <c:v>25.309952569169955</c:v>
                </c:pt>
                <c:pt idx="80">
                  <c:v>27.266031611999999</c:v>
                </c:pt>
                <c:pt idx="81">
                  <c:v>38.326001825000006</c:v>
                </c:pt>
                <c:pt idx="82">
                  <c:v>30.433742562999996</c:v>
                </c:pt>
                <c:pt idx="83">
                  <c:v>35.326051874999997</c:v>
                </c:pt>
                <c:pt idx="84">
                  <c:v>34.725520557000003</c:v>
                </c:pt>
                <c:pt idx="85">
                  <c:v>32.225774399999999</c:v>
                </c:pt>
                <c:pt idx="86">
                  <c:v>33.035996322999999</c:v>
                </c:pt>
                <c:pt idx="87">
                  <c:v>24.920750925</c:v>
                </c:pt>
                <c:pt idx="88">
                  <c:v>24.939626595999997</c:v>
                </c:pt>
                <c:pt idx="89">
                  <c:v>29.243388564</c:v>
                </c:pt>
                <c:pt idx="90">
                  <c:v>31.912464612000001</c:v>
                </c:pt>
                <c:pt idx="91">
                  <c:v>32.480262746999998</c:v>
                </c:pt>
                <c:pt idx="92">
                  <c:v>33.241007599999996</c:v>
                </c:pt>
                <c:pt idx="93">
                  <c:v>22.875340000000001</c:v>
                </c:pt>
                <c:pt idx="94">
                  <c:v>22.221048278999998</c:v>
                </c:pt>
                <c:pt idx="95">
                  <c:v>20.3016051</c:v>
                </c:pt>
                <c:pt idx="96">
                  <c:v>19.216247844000002</c:v>
                </c:pt>
                <c:pt idx="97">
                  <c:v>17.021713408</c:v>
                </c:pt>
                <c:pt idx="98">
                  <c:v>16.560219136000001</c:v>
                </c:pt>
                <c:pt idx="99">
                  <c:v>29.377883808000004</c:v>
                </c:pt>
                <c:pt idx="100">
                  <c:v>31.175696686999999</c:v>
                </c:pt>
                <c:pt idx="101">
                  <c:v>31.811021424000003</c:v>
                </c:pt>
                <c:pt idx="102">
                  <c:v>34.0062</c:v>
                </c:pt>
                <c:pt idx="103">
                  <c:v>33.924542432000003</c:v>
                </c:pt>
                <c:pt idx="104">
                  <c:v>35.398883898000001</c:v>
                </c:pt>
                <c:pt idx="105">
                  <c:v>37.816377648999996</c:v>
                </c:pt>
                <c:pt idx="106">
                  <c:v>38.452442067</c:v>
                </c:pt>
                <c:pt idx="107">
                  <c:v>38.503202570999996</c:v>
                </c:pt>
                <c:pt idx="108">
                  <c:v>38.430291132000001</c:v>
                </c:pt>
                <c:pt idx="109">
                  <c:v>38.791802759999996</c:v>
                </c:pt>
                <c:pt idx="110">
                  <c:v>39.072392777000005</c:v>
                </c:pt>
                <c:pt idx="111">
                  <c:v>39.740082311999998</c:v>
                </c:pt>
                <c:pt idx="112">
                  <c:v>40.114969258000002</c:v>
                </c:pt>
                <c:pt idx="113">
                  <c:v>40.254272861000004</c:v>
                </c:pt>
                <c:pt idx="114">
                  <c:v>40.114319999999999</c:v>
                </c:pt>
                <c:pt idx="115">
                  <c:v>40.554416007</c:v>
                </c:pt>
                <c:pt idx="116">
                  <c:v>40.293287999999997</c:v>
                </c:pt>
                <c:pt idx="117">
                  <c:v>40.414681747000003</c:v>
                </c:pt>
                <c:pt idx="118">
                  <c:v>41.280662499999998</c:v>
                </c:pt>
                <c:pt idx="119">
                  <c:v>41.621446749999997</c:v>
                </c:pt>
                <c:pt idx="120">
                  <c:v>41.770189508000001</c:v>
                </c:pt>
                <c:pt idx="121">
                  <c:v>41.945917793000007</c:v>
                </c:pt>
                <c:pt idx="122">
                  <c:v>42.319991425000005</c:v>
                </c:pt>
                <c:pt idx="123">
                  <c:v>42.771551472000006</c:v>
                </c:pt>
                <c:pt idx="124">
                  <c:v>43.507696895999999</c:v>
                </c:pt>
                <c:pt idx="125">
                  <c:v>43.126825650999997</c:v>
                </c:pt>
                <c:pt idx="126">
                  <c:v>43.456950207999995</c:v>
                </c:pt>
                <c:pt idx="127">
                  <c:v>31.007908378</c:v>
                </c:pt>
                <c:pt idx="128">
                  <c:v>31.027094577</c:v>
                </c:pt>
                <c:pt idx="129">
                  <c:v>30.170501196</c:v>
                </c:pt>
                <c:pt idx="130">
                  <c:v>28.257868079999998</c:v>
                </c:pt>
                <c:pt idx="131">
                  <c:v>25.965626415999996</c:v>
                </c:pt>
                <c:pt idx="132">
                  <c:v>23.770863335999998</c:v>
                </c:pt>
                <c:pt idx="133">
                  <c:v>23.710363794999999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BE2-1649-B498-860C227B201C}"/>
            </c:ext>
          </c:extLst>
        </c:ser>
        <c:ser>
          <c:idx val="1"/>
          <c:order val="3"/>
          <c:tx>
            <c:v>01:01</c:v>
          </c:tx>
          <c:spPr>
            <a:ln w="19050">
              <a:solidFill>
                <a:schemeClr val="accent1"/>
              </a:solidFill>
            </a:ln>
          </c:spPr>
          <c:xVal>
            <c:numRef>
              <c:f>'M vs G'!$V$5:$V$6</c:f>
              <c:numCache>
                <c:formatCode>General</c:formatCode>
                <c:ptCount val="2"/>
                <c:pt idx="0">
                  <c:v>13</c:v>
                </c:pt>
                <c:pt idx="1">
                  <c:v>45</c:v>
                </c:pt>
              </c:numCache>
            </c:numRef>
          </c:xVal>
          <c:yVal>
            <c:numRef>
              <c:f>'M vs G'!$W$5:$W$6</c:f>
              <c:numCache>
                <c:formatCode>General</c:formatCode>
                <c:ptCount val="2"/>
                <c:pt idx="0">
                  <c:v>13</c:v>
                </c:pt>
                <c:pt idx="1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BE2-1649-B498-860C227B2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8781663"/>
        <c:axId val="1728751807"/>
      </c:scatterChart>
      <c:valAx>
        <c:axId val="1728781663"/>
        <c:scaling>
          <c:orientation val="minMax"/>
          <c:max val="43"/>
          <c:min val="13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3000" baseline="0"/>
                  <a:t>G calc (GPa)</a:t>
                </a:r>
                <a:endParaRPr lang="it-IT" sz="30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28751807"/>
        <c:crosses val="autoZero"/>
        <c:crossBetween val="midCat"/>
      </c:valAx>
      <c:valAx>
        <c:axId val="1728751807"/>
        <c:scaling>
          <c:orientation val="minMax"/>
          <c:max val="43"/>
          <c:min val="1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3000"/>
                  <a:t>G meas (GPa)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2878166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1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071504192648685"/>
                  <c:y val="-1.101725218603656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'M vs G'!$G$5:$G$146</c:f>
              <c:numCache>
                <c:formatCode>0.00</c:formatCode>
                <c:ptCount val="142"/>
                <c:pt idx="0">
                  <c:v>31.251794200000003</c:v>
                </c:pt>
                <c:pt idx="1">
                  <c:v>30.134053119999997</c:v>
                </c:pt>
                <c:pt idx="2">
                  <c:v>29.713187999999995</c:v>
                </c:pt>
                <c:pt idx="3">
                  <c:v>29.596017249999999</c:v>
                </c:pt>
                <c:pt idx="6">
                  <c:v>29.111775000000002</c:v>
                </c:pt>
                <c:pt idx="7">
                  <c:v>30.776546399999997</c:v>
                </c:pt>
                <c:pt idx="8">
                  <c:v>33.845926399999996</c:v>
                </c:pt>
                <c:pt idx="9">
                  <c:v>34.137199480000007</c:v>
                </c:pt>
                <c:pt idx="10">
                  <c:v>29.53531448</c:v>
                </c:pt>
                <c:pt idx="11">
                  <c:v>38.05037549</c:v>
                </c:pt>
                <c:pt idx="12">
                  <c:v>39.189690540000001</c:v>
                </c:pt>
                <c:pt idx="13">
                  <c:v>25.063199999999998</c:v>
                </c:pt>
                <c:pt idx="14">
                  <c:v>34.402970000000003</c:v>
                </c:pt>
                <c:pt idx="15">
                  <c:v>30.9644224</c:v>
                </c:pt>
                <c:pt idx="16">
                  <c:v>29.457765375999998</c:v>
                </c:pt>
                <c:pt idx="17">
                  <c:v>27.587515896000003</c:v>
                </c:pt>
                <c:pt idx="18">
                  <c:v>27.083642399999999</c:v>
                </c:pt>
                <c:pt idx="19">
                  <c:v>27.266031611999999</c:v>
                </c:pt>
                <c:pt idx="20">
                  <c:v>30.031345883</c:v>
                </c:pt>
                <c:pt idx="21">
                  <c:v>28.296706536000002</c:v>
                </c:pt>
                <c:pt idx="22">
                  <c:v>28.552265999999996</c:v>
                </c:pt>
                <c:pt idx="23">
                  <c:v>26.669352374999999</c:v>
                </c:pt>
                <c:pt idx="24">
                  <c:v>34.879640300000005</c:v>
                </c:pt>
                <c:pt idx="25">
                  <c:v>35.114062500000003</c:v>
                </c:pt>
                <c:pt idx="26">
                  <c:v>30.951740000000001</c:v>
                </c:pt>
                <c:pt idx="27">
                  <c:v>31.935422799999998</c:v>
                </c:pt>
                <c:pt idx="28">
                  <c:v>37.169335179000001</c:v>
                </c:pt>
                <c:pt idx="29">
                  <c:v>34.051680608000005</c:v>
                </c:pt>
                <c:pt idx="30">
                  <c:v>30.038982638000004</c:v>
                </c:pt>
                <c:pt idx="31">
                  <c:v>30.044074872000003</c:v>
                </c:pt>
                <c:pt idx="32">
                  <c:v>28.314282088000002</c:v>
                </c:pt>
                <c:pt idx="33">
                  <c:v>27.880181568000001</c:v>
                </c:pt>
                <c:pt idx="34">
                  <c:v>27.504958896000002</c:v>
                </c:pt>
                <c:pt idx="35">
                  <c:v>31.4770784</c:v>
                </c:pt>
                <c:pt idx="36">
                  <c:v>29.090702932999999</c:v>
                </c:pt>
                <c:pt idx="37">
                  <c:v>28.799230208000001</c:v>
                </c:pt>
                <c:pt idx="38">
                  <c:v>28.348839796</c:v>
                </c:pt>
                <c:pt idx="39">
                  <c:v>27.590146856999997</c:v>
                </c:pt>
                <c:pt idx="40">
                  <c:v>27.896720307999999</c:v>
                </c:pt>
                <c:pt idx="41">
                  <c:v>26.730365291999998</c:v>
                </c:pt>
                <c:pt idx="42">
                  <c:v>33.889117428000006</c:v>
                </c:pt>
                <c:pt idx="43">
                  <c:v>34.412033999999998</c:v>
                </c:pt>
                <c:pt idx="44">
                  <c:v>34.520667237000005</c:v>
                </c:pt>
                <c:pt idx="45">
                  <c:v>34.314342741000004</c:v>
                </c:pt>
                <c:pt idx="46">
                  <c:v>34.891154999999998</c:v>
                </c:pt>
                <c:pt idx="47">
                  <c:v>34.86630375</c:v>
                </c:pt>
                <c:pt idx="48">
                  <c:v>35.458878564000003</c:v>
                </c:pt>
                <c:pt idx="49">
                  <c:v>34.463815036</c:v>
                </c:pt>
                <c:pt idx="50">
                  <c:v>30.120077759999997</c:v>
                </c:pt>
                <c:pt idx="51">
                  <c:v>29.630968199999998</c:v>
                </c:pt>
                <c:pt idx="52">
                  <c:v>32.225223870000001</c:v>
                </c:pt>
                <c:pt idx="53">
                  <c:v>44</c:v>
                </c:pt>
                <c:pt idx="54">
                  <c:v>41.009599999999999</c:v>
                </c:pt>
                <c:pt idx="55">
                  <c:v>41.004643999999999</c:v>
                </c:pt>
                <c:pt idx="56">
                  <c:v>38.816991000000002</c:v>
                </c:pt>
                <c:pt idx="57">
                  <c:v>24.154977600000002</c:v>
                </c:pt>
                <c:pt idx="58">
                  <c:v>21.0466674</c:v>
                </c:pt>
                <c:pt idx="59">
                  <c:v>18.339062500000001</c:v>
                </c:pt>
                <c:pt idx="60">
                  <c:v>17.544222899999998</c:v>
                </c:pt>
                <c:pt idx="61">
                  <c:v>28.426951079999998</c:v>
                </c:pt>
                <c:pt idx="62">
                  <c:v>27.50261635</c:v>
                </c:pt>
                <c:pt idx="63">
                  <c:v>26.502471</c:v>
                </c:pt>
                <c:pt idx="64">
                  <c:v>25.777559069999999</c:v>
                </c:pt>
                <c:pt idx="65">
                  <c:v>25.356071520000004</c:v>
                </c:pt>
                <c:pt idx="66">
                  <c:v>25.09056</c:v>
                </c:pt>
                <c:pt idx="67">
                  <c:v>27.318371280000001</c:v>
                </c:pt>
                <c:pt idx="68">
                  <c:v>27.798193332000004</c:v>
                </c:pt>
                <c:pt idx="69">
                  <c:v>32.339334612000002</c:v>
                </c:pt>
                <c:pt idx="70">
                  <c:v>32.697660995999996</c:v>
                </c:pt>
                <c:pt idx="71">
                  <c:v>29.983723964999999</c:v>
                </c:pt>
                <c:pt idx="72">
                  <c:v>31.495936607999997</c:v>
                </c:pt>
                <c:pt idx="73">
                  <c:v>28.922318000000001</c:v>
                </c:pt>
                <c:pt idx="74">
                  <c:v>28.693068516</c:v>
                </c:pt>
                <c:pt idx="75">
                  <c:v>22.230099502999998</c:v>
                </c:pt>
                <c:pt idx="76">
                  <c:v>25.801580334999997</c:v>
                </c:pt>
                <c:pt idx="77">
                  <c:v>25.665107280000001</c:v>
                </c:pt>
                <c:pt idx="78">
                  <c:v>25.036462080000003</c:v>
                </c:pt>
                <c:pt idx="79">
                  <c:v>25.309952569169955</c:v>
                </c:pt>
                <c:pt idx="80">
                  <c:v>27.266031611999999</c:v>
                </c:pt>
                <c:pt idx="81">
                  <c:v>38.326001825000006</c:v>
                </c:pt>
                <c:pt idx="82">
                  <c:v>30.433742562999996</c:v>
                </c:pt>
                <c:pt idx="83">
                  <c:v>35.326051874999997</c:v>
                </c:pt>
                <c:pt idx="84">
                  <c:v>34.725520557000003</c:v>
                </c:pt>
                <c:pt idx="85">
                  <c:v>32.225774399999999</c:v>
                </c:pt>
                <c:pt idx="86">
                  <c:v>33.035996322999999</c:v>
                </c:pt>
                <c:pt idx="87">
                  <c:v>24.920750925</c:v>
                </c:pt>
                <c:pt idx="88">
                  <c:v>24.939626595999997</c:v>
                </c:pt>
                <c:pt idx="89">
                  <c:v>29.243388564</c:v>
                </c:pt>
                <c:pt idx="90">
                  <c:v>31.912464612000001</c:v>
                </c:pt>
                <c:pt idx="91">
                  <c:v>32.480262746999998</c:v>
                </c:pt>
                <c:pt idx="92">
                  <c:v>33.241007599999996</c:v>
                </c:pt>
                <c:pt idx="93">
                  <c:v>22.875340000000001</c:v>
                </c:pt>
                <c:pt idx="94">
                  <c:v>22.221048278999998</c:v>
                </c:pt>
                <c:pt idx="95">
                  <c:v>20.3016051</c:v>
                </c:pt>
                <c:pt idx="96">
                  <c:v>19.216247844000002</c:v>
                </c:pt>
                <c:pt idx="97">
                  <c:v>17.021713408</c:v>
                </c:pt>
                <c:pt idx="98">
                  <c:v>16.560219136000001</c:v>
                </c:pt>
                <c:pt idx="99">
                  <c:v>29.377883808000004</c:v>
                </c:pt>
                <c:pt idx="100">
                  <c:v>31.175696686999999</c:v>
                </c:pt>
                <c:pt idx="101">
                  <c:v>31.811021424000003</c:v>
                </c:pt>
                <c:pt idx="102">
                  <c:v>34.0062</c:v>
                </c:pt>
                <c:pt idx="103">
                  <c:v>33.924542432000003</c:v>
                </c:pt>
                <c:pt idx="104">
                  <c:v>35.398883898000001</c:v>
                </c:pt>
                <c:pt idx="105">
                  <c:v>37.816377648999996</c:v>
                </c:pt>
                <c:pt idx="106">
                  <c:v>38.452442067</c:v>
                </c:pt>
                <c:pt idx="107">
                  <c:v>38.503202570999996</c:v>
                </c:pt>
                <c:pt idx="108">
                  <c:v>38.430291132000001</c:v>
                </c:pt>
                <c:pt idx="109">
                  <c:v>38.791802759999996</c:v>
                </c:pt>
                <c:pt idx="110">
                  <c:v>39.072392777000005</c:v>
                </c:pt>
                <c:pt idx="111">
                  <c:v>39.740082311999998</c:v>
                </c:pt>
                <c:pt idx="112">
                  <c:v>40.114969258000002</c:v>
                </c:pt>
                <c:pt idx="113">
                  <c:v>40.254272861000004</c:v>
                </c:pt>
                <c:pt idx="114">
                  <c:v>40.114319999999999</c:v>
                </c:pt>
                <c:pt idx="115">
                  <c:v>40.554416007</c:v>
                </c:pt>
                <c:pt idx="116">
                  <c:v>40.293287999999997</c:v>
                </c:pt>
                <c:pt idx="117">
                  <c:v>40.414681747000003</c:v>
                </c:pt>
                <c:pt idx="118">
                  <c:v>41.280662499999998</c:v>
                </c:pt>
                <c:pt idx="119">
                  <c:v>41.621446749999997</c:v>
                </c:pt>
                <c:pt idx="120">
                  <c:v>41.770189508000001</c:v>
                </c:pt>
                <c:pt idx="121">
                  <c:v>41.945917793000007</c:v>
                </c:pt>
                <c:pt idx="122">
                  <c:v>42.319991425000005</c:v>
                </c:pt>
                <c:pt idx="123">
                  <c:v>42.771551472000006</c:v>
                </c:pt>
                <c:pt idx="124">
                  <c:v>43.507696895999999</c:v>
                </c:pt>
                <c:pt idx="125">
                  <c:v>43.126825650999997</c:v>
                </c:pt>
                <c:pt idx="126">
                  <c:v>43.456950207999995</c:v>
                </c:pt>
                <c:pt idx="127">
                  <c:v>31.007908378</c:v>
                </c:pt>
                <c:pt idx="128">
                  <c:v>31.027094577</c:v>
                </c:pt>
                <c:pt idx="129">
                  <c:v>30.170501196</c:v>
                </c:pt>
                <c:pt idx="130">
                  <c:v>28.257868079999998</c:v>
                </c:pt>
                <c:pt idx="131">
                  <c:v>25.965626415999996</c:v>
                </c:pt>
                <c:pt idx="132">
                  <c:v>23.770863335999998</c:v>
                </c:pt>
                <c:pt idx="133">
                  <c:v>23.710363794999999</c:v>
                </c:pt>
                <c:pt idx="134" formatCode="General">
                  <c:v>35.9</c:v>
                </c:pt>
                <c:pt idx="135" formatCode="General">
                  <c:v>30.1</c:v>
                </c:pt>
                <c:pt idx="136" formatCode="General">
                  <c:v>28.8</c:v>
                </c:pt>
                <c:pt idx="137" formatCode="General">
                  <c:v>41.5</c:v>
                </c:pt>
                <c:pt idx="138" formatCode="General">
                  <c:v>36.5</c:v>
                </c:pt>
                <c:pt idx="139" formatCode="General">
                  <c:v>33.799999999999997</c:v>
                </c:pt>
                <c:pt idx="140" formatCode="General">
                  <c:v>30.6</c:v>
                </c:pt>
                <c:pt idx="141" formatCode="General">
                  <c:v>41.4</c:v>
                </c:pt>
              </c:numCache>
            </c:numRef>
          </c:xVal>
          <c:yVal>
            <c:numRef>
              <c:f>'M vs G'!$F$5:$F$146</c:f>
              <c:numCache>
                <c:formatCode>0.00</c:formatCode>
                <c:ptCount val="142"/>
                <c:pt idx="0">
                  <c:v>78.462524800000011</c:v>
                </c:pt>
                <c:pt idx="1">
                  <c:v>78.989562000000006</c:v>
                </c:pt>
                <c:pt idx="2">
                  <c:v>78.534967080000001</c:v>
                </c:pt>
                <c:pt idx="3">
                  <c:v>77.301468999999997</c:v>
                </c:pt>
                <c:pt idx="6">
                  <c:v>76.986591989999994</c:v>
                </c:pt>
                <c:pt idx="7">
                  <c:v>82.696560000000005</c:v>
                </c:pt>
                <c:pt idx="8">
                  <c:v>98.338499999999996</c:v>
                </c:pt>
                <c:pt idx="9">
                  <c:v>104.65400268</c:v>
                </c:pt>
                <c:pt idx="10">
                  <c:v>86.328800000000001</c:v>
                </c:pt>
                <c:pt idx="11">
                  <c:v>118.17273295999999</c:v>
                </c:pt>
                <c:pt idx="12">
                  <c:v>127.149208515</c:v>
                </c:pt>
                <c:pt idx="13">
                  <c:v>63.95805</c:v>
                </c:pt>
                <c:pt idx="14">
                  <c:v>97.850188799999998</c:v>
                </c:pt>
                <c:pt idx="15">
                  <c:v>83.617008623999993</c:v>
                </c:pt>
                <c:pt idx="16">
                  <c:v>79.146559295999992</c:v>
                </c:pt>
                <c:pt idx="17">
                  <c:v>74.876811263999997</c:v>
                </c:pt>
                <c:pt idx="18">
                  <c:v>73.807417376000004</c:v>
                </c:pt>
                <c:pt idx="19">
                  <c:v>72.463548662999997</c:v>
                </c:pt>
                <c:pt idx="20">
                  <c:v>78.975098047999992</c:v>
                </c:pt>
                <c:pt idx="21">
                  <c:v>75.936301056000005</c:v>
                </c:pt>
                <c:pt idx="22">
                  <c:v>76.51293695999999</c:v>
                </c:pt>
                <c:pt idx="23">
                  <c:v>72.997848000000005</c:v>
                </c:pt>
                <c:pt idx="24">
                  <c:v>97.9296875</c:v>
                </c:pt>
                <c:pt idx="25">
                  <c:v>96.915811300000001</c:v>
                </c:pt>
                <c:pt idx="26">
                  <c:v>90.193161599999996</c:v>
                </c:pt>
                <c:pt idx="27">
                  <c:v>90.383699699999994</c:v>
                </c:pt>
                <c:pt idx="28">
                  <c:v>114.20825247499999</c:v>
                </c:pt>
                <c:pt idx="29">
                  <c:v>102.77655920000001</c:v>
                </c:pt>
                <c:pt idx="30">
                  <c:v>83.939233502000008</c:v>
                </c:pt>
                <c:pt idx="31">
                  <c:v>84.484736238000011</c:v>
                </c:pt>
                <c:pt idx="32">
                  <c:v>81.324168831999998</c:v>
                </c:pt>
                <c:pt idx="33">
                  <c:v>79.442014528000001</c:v>
                </c:pt>
                <c:pt idx="34">
                  <c:v>80.479704255999991</c:v>
                </c:pt>
                <c:pt idx="35">
                  <c:v>86.423260544000001</c:v>
                </c:pt>
                <c:pt idx="36">
                  <c:v>81.185223124999993</c:v>
                </c:pt>
                <c:pt idx="37">
                  <c:v>81.343011907999994</c:v>
                </c:pt>
                <c:pt idx="38">
                  <c:v>80.182490704000003</c:v>
                </c:pt>
                <c:pt idx="39">
                  <c:v>78.822761471999982</c:v>
                </c:pt>
                <c:pt idx="40">
                  <c:v>79.135261972000009</c:v>
                </c:pt>
                <c:pt idx="41">
                  <c:v>77.106130992000004</c:v>
                </c:pt>
                <c:pt idx="42">
                  <c:v>103.96885484800001</c:v>
                </c:pt>
                <c:pt idx="43">
                  <c:v>105.218706</c:v>
                </c:pt>
                <c:pt idx="44">
                  <c:v>105.643853748</c:v>
                </c:pt>
                <c:pt idx="45">
                  <c:v>103.712605389</c:v>
                </c:pt>
                <c:pt idx="46">
                  <c:v>111.343402872</c:v>
                </c:pt>
                <c:pt idx="47">
                  <c:v>109.749719896</c:v>
                </c:pt>
                <c:pt idx="48">
                  <c:v>111.45421006400001</c:v>
                </c:pt>
                <c:pt idx="49">
                  <c:v>109.54737797499999</c:v>
                </c:pt>
                <c:pt idx="50">
                  <c:v>79.673376059999981</c:v>
                </c:pt>
                <c:pt idx="51">
                  <c:v>77.389709044500009</c:v>
                </c:pt>
                <c:pt idx="52">
                  <c:v>86.055342029999991</c:v>
                </c:pt>
                <c:pt idx="53">
                  <c:v>143.35310000000001</c:v>
                </c:pt>
                <c:pt idx="54">
                  <c:v>135.60460399999999</c:v>
                </c:pt>
                <c:pt idx="55">
                  <c:v>137.29688100000001</c:v>
                </c:pt>
                <c:pt idx="56">
                  <c:v>124.49649599999999</c:v>
                </c:pt>
                <c:pt idx="57">
                  <c:v>62.890895184000009</c:v>
                </c:pt>
                <c:pt idx="58">
                  <c:v>58.297732113999999</c:v>
                </c:pt>
                <c:pt idx="59">
                  <c:v>57.513482499999995</c:v>
                </c:pt>
                <c:pt idx="60">
                  <c:v>54.502378995999997</c:v>
                </c:pt>
                <c:pt idx="61">
                  <c:v>72.886392479999984</c:v>
                </c:pt>
                <c:pt idx="62">
                  <c:v>72.620830350000006</c:v>
                </c:pt>
                <c:pt idx="63">
                  <c:v>72.113587109999997</c:v>
                </c:pt>
                <c:pt idx="64">
                  <c:v>72.362603070000006</c:v>
                </c:pt>
                <c:pt idx="65">
                  <c:v>73.365174999999994</c:v>
                </c:pt>
                <c:pt idx="66">
                  <c:v>74.856960000000001</c:v>
                </c:pt>
                <c:pt idx="67">
                  <c:v>81.024425280000003</c:v>
                </c:pt>
                <c:pt idx="68">
                  <c:v>84.536524799999995</c:v>
                </c:pt>
                <c:pt idx="69">
                  <c:v>94.476069597000006</c:v>
                </c:pt>
                <c:pt idx="70">
                  <c:v>94.549500100000003</c:v>
                </c:pt>
                <c:pt idx="71">
                  <c:v>88.592865885000009</c:v>
                </c:pt>
                <c:pt idx="72">
                  <c:v>87.035582808000001</c:v>
                </c:pt>
                <c:pt idx="73">
                  <c:v>80.82984888</c:v>
                </c:pt>
                <c:pt idx="74">
                  <c:v>82.94048355599999</c:v>
                </c:pt>
                <c:pt idx="75">
                  <c:v>65.429202047000004</c:v>
                </c:pt>
                <c:pt idx="76">
                  <c:v>68.473624000000001</c:v>
                </c:pt>
                <c:pt idx="77">
                  <c:v>81.024425280000003</c:v>
                </c:pt>
                <c:pt idx="78">
                  <c:v>76.868893079999992</c:v>
                </c:pt>
                <c:pt idx="79">
                  <c:v>76.542044544000007</c:v>
                </c:pt>
                <c:pt idx="80">
                  <c:v>72.463548662999997</c:v>
                </c:pt>
                <c:pt idx="81">
                  <c:v>124.547919593</c:v>
                </c:pt>
                <c:pt idx="82">
                  <c:v>94.358483711999995</c:v>
                </c:pt>
                <c:pt idx="83">
                  <c:v>117.032254208</c:v>
                </c:pt>
                <c:pt idx="84">
                  <c:v>107.28215950800001</c:v>
                </c:pt>
                <c:pt idx="85">
                  <c:v>97.979680463999998</c:v>
                </c:pt>
                <c:pt idx="86">
                  <c:v>101.51077108299999</c:v>
                </c:pt>
                <c:pt idx="87">
                  <c:v>69.502976613000001</c:v>
                </c:pt>
                <c:pt idx="88">
                  <c:v>67.850194200999994</c:v>
                </c:pt>
                <c:pt idx="89">
                  <c:v>77.673862863999986</c:v>
                </c:pt>
                <c:pt idx="90">
                  <c:v>82.440484068000004</c:v>
                </c:pt>
                <c:pt idx="91">
                  <c:v>84.587181162999983</c:v>
                </c:pt>
                <c:pt idx="92">
                  <c:v>87.763042303999995</c:v>
                </c:pt>
                <c:pt idx="93">
                  <c:v>65.206034999999986</c:v>
                </c:pt>
                <c:pt idx="94">
                  <c:v>64.477354043999995</c:v>
                </c:pt>
                <c:pt idx="95">
                  <c:v>62.414601900000008</c:v>
                </c:pt>
                <c:pt idx="96">
                  <c:v>60.104421263999996</c:v>
                </c:pt>
                <c:pt idx="97">
                  <c:v>55.039065088000001</c:v>
                </c:pt>
                <c:pt idx="98">
                  <c:v>52.268894463999999</c:v>
                </c:pt>
                <c:pt idx="99">
                  <c:v>76.44915420800001</c:v>
                </c:pt>
                <c:pt idx="100">
                  <c:v>82.977825392</c:v>
                </c:pt>
                <c:pt idx="101">
                  <c:v>84.332670043999997</c:v>
                </c:pt>
                <c:pt idx="102">
                  <c:v>91.375038554999989</c:v>
                </c:pt>
                <c:pt idx="103">
                  <c:v>97.909103071999994</c:v>
                </c:pt>
                <c:pt idx="104">
                  <c:v>106.78678020000001</c:v>
                </c:pt>
                <c:pt idx="105">
                  <c:v>118.44869646399998</c:v>
                </c:pt>
                <c:pt idx="106">
                  <c:v>123.99123098700001</c:v>
                </c:pt>
                <c:pt idx="107">
                  <c:v>120.977344475</c:v>
                </c:pt>
                <c:pt idx="108">
                  <c:v>121.539597552</c:v>
                </c:pt>
                <c:pt idx="109">
                  <c:v>123.26846963999999</c:v>
                </c:pt>
                <c:pt idx="110">
                  <c:v>124.547919593</c:v>
                </c:pt>
                <c:pt idx="111">
                  <c:v>126.64683865800001</c:v>
                </c:pt>
                <c:pt idx="112">
                  <c:v>128.378372122</c:v>
                </c:pt>
                <c:pt idx="113">
                  <c:v>129.92980018100002</c:v>
                </c:pt>
                <c:pt idx="114">
                  <c:v>127.964039082</c:v>
                </c:pt>
                <c:pt idx="115">
                  <c:v>130.10126124799999</c:v>
                </c:pt>
                <c:pt idx="116">
                  <c:v>129.74563097999999</c:v>
                </c:pt>
                <c:pt idx="117">
                  <c:v>130.22114416299999</c:v>
                </c:pt>
                <c:pt idx="118">
                  <c:v>132.51699514000001</c:v>
                </c:pt>
                <c:pt idx="119">
                  <c:v>134.19009868000001</c:v>
                </c:pt>
                <c:pt idx="120">
                  <c:v>135.15472851199999</c:v>
                </c:pt>
                <c:pt idx="121">
                  <c:v>136.22902950800002</c:v>
                </c:pt>
                <c:pt idx="122">
                  <c:v>137.23505280000001</c:v>
                </c:pt>
                <c:pt idx="123">
                  <c:v>138.15111913199999</c:v>
                </c:pt>
                <c:pt idx="124">
                  <c:v>142.39094502399999</c:v>
                </c:pt>
                <c:pt idx="125">
                  <c:v>140.714819011</c:v>
                </c:pt>
                <c:pt idx="126">
                  <c:v>142.136830108</c:v>
                </c:pt>
                <c:pt idx="127">
                  <c:v>79.741571488000005</c:v>
                </c:pt>
                <c:pt idx="128">
                  <c:v>79.811999999999998</c:v>
                </c:pt>
                <c:pt idx="129">
                  <c:v>77.697157824000001</c:v>
                </c:pt>
                <c:pt idx="130">
                  <c:v>73.788884780000004</c:v>
                </c:pt>
                <c:pt idx="131">
                  <c:v>68.895903090999994</c:v>
                </c:pt>
                <c:pt idx="132">
                  <c:v>64.543912104</c:v>
                </c:pt>
                <c:pt idx="133">
                  <c:v>64.220467554999999</c:v>
                </c:pt>
                <c:pt idx="134" formatCode="General">
                  <c:v>104.3</c:v>
                </c:pt>
                <c:pt idx="135" formatCode="General">
                  <c:v>85.4</c:v>
                </c:pt>
                <c:pt idx="136" formatCode="General">
                  <c:v>83.4</c:v>
                </c:pt>
                <c:pt idx="137" formatCode="General">
                  <c:v>130.6</c:v>
                </c:pt>
                <c:pt idx="138" formatCode="General">
                  <c:v>115</c:v>
                </c:pt>
                <c:pt idx="139" formatCode="General">
                  <c:v>105</c:v>
                </c:pt>
                <c:pt idx="140" formatCode="General">
                  <c:v>95.1</c:v>
                </c:pt>
                <c:pt idx="141" formatCode="General">
                  <c:v>135.5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57-094E-86DF-095C2CEDE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8781663"/>
        <c:axId val="1728751807"/>
      </c:scatterChart>
      <c:valAx>
        <c:axId val="1728781663"/>
        <c:scaling>
          <c:orientation val="minMax"/>
          <c:min val="14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3000" baseline="0"/>
                  <a:t>G (GPa)</a:t>
                </a:r>
                <a:endParaRPr lang="it-IT" sz="30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28751807"/>
        <c:crosses val="autoZero"/>
        <c:crossBetween val="midCat"/>
      </c:valAx>
      <c:valAx>
        <c:axId val="1728751807"/>
        <c:scaling>
          <c:orientation val="minMax"/>
          <c:min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3000"/>
                  <a:t>M (GPa)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2878166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v>01:01</c:v>
          </c:tx>
          <c:xVal>
            <c:numRef>
              <c:f>'M vs G'!$V$5:$V$6</c:f>
              <c:numCache>
                <c:formatCode>General</c:formatCode>
                <c:ptCount val="2"/>
                <c:pt idx="0">
                  <c:v>13</c:v>
                </c:pt>
                <c:pt idx="1">
                  <c:v>45</c:v>
                </c:pt>
              </c:numCache>
            </c:numRef>
          </c:xVal>
          <c:yVal>
            <c:numRef>
              <c:f>'M vs G'!$W$5:$W$6</c:f>
              <c:numCache>
                <c:formatCode>General</c:formatCode>
                <c:ptCount val="2"/>
                <c:pt idx="0">
                  <c:v>13</c:v>
                </c:pt>
                <c:pt idx="1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13-DD4B-940A-A356D402774D}"/>
            </c:ext>
          </c:extLst>
        </c:ser>
        <c:ser>
          <c:idx val="0"/>
          <c:order val="1"/>
          <c:spPr>
            <a:ln>
              <a:noFill/>
            </a:ln>
          </c:spPr>
          <c:marker>
            <c:spPr>
              <a:solidFill>
                <a:schemeClr val="accent1"/>
              </a:solidFill>
              <a:ln w="95250">
                <a:solidFill>
                  <a:schemeClr val="accent1"/>
                </a:solidFill>
              </a:ln>
              <a:effectLst/>
            </c:spPr>
          </c:marker>
          <c:xVal>
            <c:numRef>
              <c:f>'M vs G'!$O$5:$O$138</c:f>
              <c:numCache>
                <c:formatCode>General</c:formatCode>
                <c:ptCount val="134"/>
                <c:pt idx="0">
                  <c:v>28.207629159263931</c:v>
                </c:pt>
                <c:pt idx="1">
                  <c:v>28.369531303682749</c:v>
                </c:pt>
                <c:pt idx="2">
                  <c:v>28.229947276615704</c:v>
                </c:pt>
                <c:pt idx="3">
                  <c:v>27.847090207560967</c:v>
                </c:pt>
                <c:pt idx="6">
                  <c:v>27.748378795502276</c:v>
                </c:pt>
                <c:pt idx="7">
                  <c:v>29.478664873740087</c:v>
                </c:pt>
                <c:pt idx="8">
                  <c:v>33.66824307993717</c:v>
                </c:pt>
                <c:pt idx="9">
                  <c:v>35.173554098140372</c:v>
                </c:pt>
                <c:pt idx="10">
                  <c:v>30.518220328213772</c:v>
                </c:pt>
                <c:pt idx="11">
                  <c:v>38.11161254608173</c:v>
                </c:pt>
                <c:pt idx="12">
                  <c:v>39.882216881987546</c:v>
                </c:pt>
                <c:pt idx="13">
                  <c:v>23.264571434250797</c:v>
                </c:pt>
                <c:pt idx="14">
                  <c:v>33.547855482470695</c:v>
                </c:pt>
                <c:pt idx="15">
                  <c:v>29.746356283230995</c:v>
                </c:pt>
                <c:pt idx="16">
                  <c:v>28.417550994855034</c:v>
                </c:pt>
                <c:pt idx="17">
                  <c:v>27.076377260915919</c:v>
                </c:pt>
                <c:pt idx="18">
                  <c:v>26.72849009101364</c:v>
                </c:pt>
                <c:pt idx="19">
                  <c:v>26.284095193869959</c:v>
                </c:pt>
                <c:pt idx="20">
                  <c:v>28.365102512888157</c:v>
                </c:pt>
                <c:pt idx="21">
                  <c:v>27.416176927786225</c:v>
                </c:pt>
                <c:pt idx="22">
                  <c:v>27.599128700986057</c:v>
                </c:pt>
                <c:pt idx="23">
                  <c:v>26.461758183155581</c:v>
                </c:pt>
                <c:pt idx="24">
                  <c:v>33.56749587353444</c:v>
                </c:pt>
                <c:pt idx="25">
                  <c:v>33.315811298061561</c:v>
                </c:pt>
                <c:pt idx="26">
                  <c:v>31.577246115058514</c:v>
                </c:pt>
                <c:pt idx="27">
                  <c:v>31.628282278688289</c:v>
                </c:pt>
                <c:pt idx="28">
                  <c:v>37.286361725820854</c:v>
                </c:pt>
                <c:pt idx="29">
                  <c:v>34.735765832039576</c:v>
                </c:pt>
                <c:pt idx="30">
                  <c:v>29.839372168012673</c:v>
                </c:pt>
                <c:pt idx="31">
                  <c:v>29.996030205687049</c:v>
                </c:pt>
                <c:pt idx="32">
                  <c:v>29.073951605916577</c:v>
                </c:pt>
                <c:pt idx="33">
                  <c:v>28.507662122349629</c:v>
                </c:pt>
                <c:pt idx="34">
                  <c:v>28.821513684049606</c:v>
                </c:pt>
                <c:pt idx="35">
                  <c:v>30.544667874096305</c:v>
                </c:pt>
                <c:pt idx="36">
                  <c:v>29.032596903195255</c:v>
                </c:pt>
                <c:pt idx="37">
                  <c:v>29.079554468767583</c:v>
                </c:pt>
                <c:pt idx="38">
                  <c:v>28.732036246711786</c:v>
                </c:pt>
                <c:pt idx="39">
                  <c:v>28.318408484088323</c:v>
                </c:pt>
                <c:pt idx="40">
                  <c:v>28.414098741375881</c:v>
                </c:pt>
                <c:pt idx="41">
                  <c:v>27.785900772508711</c:v>
                </c:pt>
                <c:pt idx="42">
                  <c:v>35.014705974430854</c:v>
                </c:pt>
                <c:pt idx="43">
                  <c:v>35.303697918502237</c:v>
                </c:pt>
                <c:pt idx="44">
                  <c:v>35.401219138792882</c:v>
                </c:pt>
                <c:pt idx="45">
                  <c:v>34.955026693918867</c:v>
                </c:pt>
                <c:pt idx="46">
                  <c:v>36.67198140695514</c:v>
                </c:pt>
                <c:pt idx="47">
                  <c:v>36.323329253991929</c:v>
                </c:pt>
                <c:pt idx="48">
                  <c:v>36.696036973053566</c:v>
                </c:pt>
                <c:pt idx="49">
                  <c:v>36.278700862156001</c:v>
                </c:pt>
                <c:pt idx="50">
                  <c:v>28.577991601006346</c:v>
                </c:pt>
                <c:pt idx="51">
                  <c:v>27.874680629905967</c:v>
                </c:pt>
                <c:pt idx="52">
                  <c:v>30.441492700997699</c:v>
                </c:pt>
                <c:pt idx="53">
                  <c:v>42.783076810128577</c:v>
                </c:pt>
                <c:pt idx="54">
                  <c:v>41.439232637877254</c:v>
                </c:pt>
                <c:pt idx="55">
                  <c:v>41.739169089724243</c:v>
                </c:pt>
                <c:pt idx="56">
                  <c:v>39.372328775380396</c:v>
                </c:pt>
                <c:pt idx="57">
                  <c:v>22.85765151992652</c:v>
                </c:pt>
                <c:pt idx="58">
                  <c:v>21.023580243196733</c:v>
                </c:pt>
                <c:pt idx="59">
                  <c:v>20.69603713522109</c:v>
                </c:pt>
                <c:pt idx="60">
                  <c:v>19.395541409233786</c:v>
                </c:pt>
                <c:pt idx="61">
                  <c:v>26.42480503713719</c:v>
                </c:pt>
                <c:pt idx="62">
                  <c:v>26.336529533587751</c:v>
                </c:pt>
                <c:pt idx="63">
                  <c:v>26.167016007283507</c:v>
                </c:pt>
                <c:pt idx="64">
                  <c:v>26.250382102867476</c:v>
                </c:pt>
                <c:pt idx="65">
                  <c:v>26.583147515474778</c:v>
                </c:pt>
                <c:pt idx="66">
                  <c:v>27.06996477337438</c:v>
                </c:pt>
                <c:pt idx="67">
                  <c:v>28.984649861875624</c:v>
                </c:pt>
                <c:pt idx="68">
                  <c:v>30.010850289443496</c:v>
                </c:pt>
                <c:pt idx="69">
                  <c:v>32.699213464680341</c:v>
                </c:pt>
                <c:pt idx="70">
                  <c:v>32.718002916041115</c:v>
                </c:pt>
                <c:pt idx="71">
                  <c:v>31.144297458644843</c:v>
                </c:pt>
                <c:pt idx="72">
                  <c:v>30.7154111219822</c:v>
                </c:pt>
                <c:pt idx="73">
                  <c:v>28.926503261189211</c:v>
                </c:pt>
                <c:pt idx="74">
                  <c:v>29.549893524240218</c:v>
                </c:pt>
                <c:pt idx="75">
                  <c:v>23.814546394732886</c:v>
                </c:pt>
                <c:pt idx="76">
                  <c:v>24.914433426614011</c:v>
                </c:pt>
                <c:pt idx="77">
                  <c:v>28.984649861875624</c:v>
                </c:pt>
                <c:pt idx="78">
                  <c:v>27.711377436812882</c:v>
                </c:pt>
                <c:pt idx="79">
                  <c:v>27.608327197017047</c:v>
                </c:pt>
                <c:pt idx="80">
                  <c:v>26.284095193869959</c:v>
                </c:pt>
                <c:pt idx="81">
                  <c:v>39.382315975356946</c:v>
                </c:pt>
                <c:pt idx="82">
                  <c:v>32.669095063566218</c:v>
                </c:pt>
                <c:pt idx="83">
                  <c:v>37.87708049271366</c:v>
                </c:pt>
                <c:pt idx="84">
                  <c:v>35.773381917697165</c:v>
                </c:pt>
                <c:pt idx="85">
                  <c:v>33.579838620389111</c:v>
                </c:pt>
                <c:pt idx="86">
                  <c:v>34.436068229291649</c:v>
                </c:pt>
                <c:pt idx="87">
                  <c:v>25.275281937657056</c:v>
                </c:pt>
                <c:pt idx="88">
                  <c:v>24.693237577422693</c:v>
                </c:pt>
                <c:pt idx="89">
                  <c:v>27.963315034213508</c:v>
                </c:pt>
                <c:pt idx="90">
                  <c:v>29.403661165900203</c:v>
                </c:pt>
                <c:pt idx="91">
                  <c:v>30.025337596381945</c:v>
                </c:pt>
                <c:pt idx="92">
                  <c:v>30.916705405723192</c:v>
                </c:pt>
                <c:pt idx="93">
                  <c:v>23.73191819675408</c:v>
                </c:pt>
                <c:pt idx="94">
                  <c:v>23.460139276826041</c:v>
                </c:pt>
                <c:pt idx="95">
                  <c:v>22.673801129913983</c:v>
                </c:pt>
                <c:pt idx="96">
                  <c:v>21.761681041372825</c:v>
                </c:pt>
                <c:pt idx="97">
                  <c:v>19.632516928591414</c:v>
                </c:pt>
                <c:pt idx="98">
                  <c:v>18.383612473649748</c:v>
                </c:pt>
                <c:pt idx="99">
                  <c:v>27.578960015372644</c:v>
                </c:pt>
                <c:pt idx="100">
                  <c:v>29.560779302703097</c:v>
                </c:pt>
                <c:pt idx="101">
                  <c:v>29.95246159613022</c:v>
                </c:pt>
                <c:pt idx="102">
                  <c:v>31.892091070859834</c:v>
                </c:pt>
                <c:pt idx="103">
                  <c:v>33.562411959289122</c:v>
                </c:pt>
                <c:pt idx="104">
                  <c:v>35.661452792563225</c:v>
                </c:pt>
                <c:pt idx="105">
                  <c:v>38.168022520637962</c:v>
                </c:pt>
                <c:pt idx="106">
                  <c:v>39.273979081710706</c:v>
                </c:pt>
                <c:pt idx="107">
                  <c:v>38.678870021518634</c:v>
                </c:pt>
                <c:pt idx="108">
                  <c:v>38.791006952348212</c:v>
                </c:pt>
                <c:pt idx="109">
                  <c:v>39.132594859734994</c:v>
                </c:pt>
                <c:pt idx="110">
                  <c:v>39.382315975356946</c:v>
                </c:pt>
                <c:pt idx="111">
                  <c:v>39.786476001666259</c:v>
                </c:pt>
                <c:pt idx="112">
                  <c:v>40.114883131773297</c:v>
                </c:pt>
                <c:pt idx="113">
                  <c:v>40.405390296210498</c:v>
                </c:pt>
                <c:pt idx="114">
                  <c:v>40.036704582088149</c:v>
                </c:pt>
                <c:pt idx="115">
                  <c:v>40.437283524831017</c:v>
                </c:pt>
                <c:pt idx="116">
                  <c:v>40.371086329263306</c:v>
                </c:pt>
                <c:pt idx="117">
                  <c:v>40.459557816717165</c:v>
                </c:pt>
                <c:pt idx="118">
                  <c:v>40.88221646384828</c:v>
                </c:pt>
                <c:pt idx="119">
                  <c:v>41.185641964941212</c:v>
                </c:pt>
                <c:pt idx="120">
                  <c:v>41.358867549717374</c:v>
                </c:pt>
                <c:pt idx="121">
                  <c:v>41.550338337724284</c:v>
                </c:pt>
                <c:pt idx="122">
                  <c:v>41.728275980180413</c:v>
                </c:pt>
                <c:pt idx="123">
                  <c:v>41.889171712406238</c:v>
                </c:pt>
                <c:pt idx="124">
                  <c:v>42.620211866584725</c:v>
                </c:pt>
                <c:pt idx="125">
                  <c:v>42.333846060746112</c:v>
                </c:pt>
                <c:pt idx="126">
                  <c:v>42.577013857113229</c:v>
                </c:pt>
                <c:pt idx="127">
                  <c:v>28.598682738904301</c:v>
                </c:pt>
                <c:pt idx="128">
                  <c:v>28.62003285007944</c:v>
                </c:pt>
                <c:pt idx="129">
                  <c:v>27.970566905435902</c:v>
                </c:pt>
                <c:pt idx="130">
                  <c:v>26.722416872410307</c:v>
                </c:pt>
                <c:pt idx="131">
                  <c:v>25.063118945465888</c:v>
                </c:pt>
                <c:pt idx="132">
                  <c:v>23.485090826502812</c:v>
                </c:pt>
                <c:pt idx="133">
                  <c:v>23.36359450204337</c:v>
                </c:pt>
              </c:numCache>
            </c:numRef>
          </c:xVal>
          <c:yVal>
            <c:numRef>
              <c:f>'M vs G'!$G$5:$G$139</c:f>
              <c:numCache>
                <c:formatCode>0.00</c:formatCode>
                <c:ptCount val="135"/>
                <c:pt idx="0">
                  <c:v>31.251794200000003</c:v>
                </c:pt>
                <c:pt idx="1">
                  <c:v>30.134053119999997</c:v>
                </c:pt>
                <c:pt idx="2">
                  <c:v>29.713187999999995</c:v>
                </c:pt>
                <c:pt idx="3">
                  <c:v>29.596017249999999</c:v>
                </c:pt>
                <c:pt idx="6">
                  <c:v>29.111775000000002</c:v>
                </c:pt>
                <c:pt idx="7">
                  <c:v>30.776546399999997</c:v>
                </c:pt>
                <c:pt idx="8">
                  <c:v>33.845926399999996</c:v>
                </c:pt>
                <c:pt idx="9">
                  <c:v>34.137199480000007</c:v>
                </c:pt>
                <c:pt idx="10">
                  <c:v>29.53531448</c:v>
                </c:pt>
                <c:pt idx="11">
                  <c:v>38.05037549</c:v>
                </c:pt>
                <c:pt idx="12">
                  <c:v>39.189690540000001</c:v>
                </c:pt>
                <c:pt idx="13">
                  <c:v>25.063199999999998</c:v>
                </c:pt>
                <c:pt idx="14">
                  <c:v>34.402970000000003</c:v>
                </c:pt>
                <c:pt idx="15">
                  <c:v>30.9644224</c:v>
                </c:pt>
                <c:pt idx="16">
                  <c:v>29.457765375999998</c:v>
                </c:pt>
                <c:pt idx="17">
                  <c:v>27.587515896000003</c:v>
                </c:pt>
                <c:pt idx="18">
                  <c:v>27.083642399999999</c:v>
                </c:pt>
                <c:pt idx="19">
                  <c:v>27.266031611999999</c:v>
                </c:pt>
                <c:pt idx="20">
                  <c:v>30.031345883</c:v>
                </c:pt>
                <c:pt idx="21">
                  <c:v>28.296706536000002</c:v>
                </c:pt>
                <c:pt idx="22">
                  <c:v>28.552265999999996</c:v>
                </c:pt>
                <c:pt idx="23">
                  <c:v>26.669352374999999</c:v>
                </c:pt>
                <c:pt idx="24">
                  <c:v>34.879640300000005</c:v>
                </c:pt>
                <c:pt idx="25">
                  <c:v>35.114062500000003</c:v>
                </c:pt>
                <c:pt idx="26">
                  <c:v>30.951740000000001</c:v>
                </c:pt>
                <c:pt idx="27">
                  <c:v>31.935422799999998</c:v>
                </c:pt>
                <c:pt idx="28">
                  <c:v>37.169335179000001</c:v>
                </c:pt>
                <c:pt idx="29">
                  <c:v>34.051680608000005</c:v>
                </c:pt>
                <c:pt idx="30">
                  <c:v>30.038982638000004</c:v>
                </c:pt>
                <c:pt idx="31">
                  <c:v>30.044074872000003</c:v>
                </c:pt>
                <c:pt idx="32">
                  <c:v>28.314282088000002</c:v>
                </c:pt>
                <c:pt idx="33">
                  <c:v>27.880181568000001</c:v>
                </c:pt>
                <c:pt idx="34">
                  <c:v>27.504958896000002</c:v>
                </c:pt>
                <c:pt idx="35">
                  <c:v>31.4770784</c:v>
                </c:pt>
                <c:pt idx="36">
                  <c:v>29.090702932999999</c:v>
                </c:pt>
                <c:pt idx="37">
                  <c:v>28.799230208000001</c:v>
                </c:pt>
                <c:pt idx="38">
                  <c:v>28.348839796</c:v>
                </c:pt>
                <c:pt idx="39">
                  <c:v>27.590146856999997</c:v>
                </c:pt>
                <c:pt idx="40">
                  <c:v>27.896720307999999</c:v>
                </c:pt>
                <c:pt idx="41">
                  <c:v>26.730365291999998</c:v>
                </c:pt>
                <c:pt idx="42">
                  <c:v>33.889117428000006</c:v>
                </c:pt>
                <c:pt idx="43">
                  <c:v>34.412033999999998</c:v>
                </c:pt>
                <c:pt idx="44">
                  <c:v>34.520667237000005</c:v>
                </c:pt>
                <c:pt idx="45">
                  <c:v>34.314342741000004</c:v>
                </c:pt>
                <c:pt idx="46">
                  <c:v>34.891154999999998</c:v>
                </c:pt>
                <c:pt idx="47">
                  <c:v>34.86630375</c:v>
                </c:pt>
                <c:pt idx="48">
                  <c:v>35.458878564000003</c:v>
                </c:pt>
                <c:pt idx="49">
                  <c:v>34.463815036</c:v>
                </c:pt>
                <c:pt idx="50">
                  <c:v>30.120077759999997</c:v>
                </c:pt>
                <c:pt idx="51">
                  <c:v>29.630968199999998</c:v>
                </c:pt>
                <c:pt idx="52">
                  <c:v>32.225223870000001</c:v>
                </c:pt>
                <c:pt idx="53">
                  <c:v>44</c:v>
                </c:pt>
                <c:pt idx="54">
                  <c:v>41.009599999999999</c:v>
                </c:pt>
                <c:pt idx="55">
                  <c:v>41.004643999999999</c:v>
                </c:pt>
                <c:pt idx="56">
                  <c:v>38.816991000000002</c:v>
                </c:pt>
                <c:pt idx="57">
                  <c:v>24.154977600000002</c:v>
                </c:pt>
                <c:pt idx="58">
                  <c:v>21.0466674</c:v>
                </c:pt>
                <c:pt idx="59">
                  <c:v>18.339062500000001</c:v>
                </c:pt>
                <c:pt idx="60">
                  <c:v>17.544222899999998</c:v>
                </c:pt>
                <c:pt idx="61">
                  <c:v>28.426951079999998</c:v>
                </c:pt>
                <c:pt idx="62">
                  <c:v>27.50261635</c:v>
                </c:pt>
                <c:pt idx="63">
                  <c:v>26.502471</c:v>
                </c:pt>
                <c:pt idx="64">
                  <c:v>25.777559069999999</c:v>
                </c:pt>
                <c:pt idx="65">
                  <c:v>25.356071520000004</c:v>
                </c:pt>
                <c:pt idx="66">
                  <c:v>25.09056</c:v>
                </c:pt>
                <c:pt idx="67">
                  <c:v>27.318371280000001</c:v>
                </c:pt>
                <c:pt idx="68">
                  <c:v>27.798193332000004</c:v>
                </c:pt>
                <c:pt idx="69">
                  <c:v>32.339334612000002</c:v>
                </c:pt>
                <c:pt idx="70">
                  <c:v>32.697660995999996</c:v>
                </c:pt>
                <c:pt idx="71">
                  <c:v>29.983723964999999</c:v>
                </c:pt>
                <c:pt idx="72">
                  <c:v>31.495936607999997</c:v>
                </c:pt>
                <c:pt idx="73">
                  <c:v>28.922318000000001</c:v>
                </c:pt>
                <c:pt idx="74">
                  <c:v>28.693068516</c:v>
                </c:pt>
                <c:pt idx="75">
                  <c:v>22.230099502999998</c:v>
                </c:pt>
                <c:pt idx="76">
                  <c:v>25.801580334999997</c:v>
                </c:pt>
                <c:pt idx="77">
                  <c:v>25.665107280000001</c:v>
                </c:pt>
                <c:pt idx="78">
                  <c:v>25.036462080000003</c:v>
                </c:pt>
                <c:pt idx="79">
                  <c:v>25.309952569169955</c:v>
                </c:pt>
                <c:pt idx="80">
                  <c:v>27.266031611999999</c:v>
                </c:pt>
                <c:pt idx="81">
                  <c:v>38.326001825000006</c:v>
                </c:pt>
                <c:pt idx="82">
                  <c:v>30.433742562999996</c:v>
                </c:pt>
                <c:pt idx="83">
                  <c:v>35.326051874999997</c:v>
                </c:pt>
                <c:pt idx="84">
                  <c:v>34.725520557000003</c:v>
                </c:pt>
                <c:pt idx="85">
                  <c:v>32.225774399999999</c:v>
                </c:pt>
                <c:pt idx="86">
                  <c:v>33.035996322999999</c:v>
                </c:pt>
                <c:pt idx="87">
                  <c:v>24.920750925</c:v>
                </c:pt>
                <c:pt idx="88">
                  <c:v>24.939626595999997</c:v>
                </c:pt>
                <c:pt idx="89">
                  <c:v>29.243388564</c:v>
                </c:pt>
                <c:pt idx="90">
                  <c:v>31.912464612000001</c:v>
                </c:pt>
                <c:pt idx="91">
                  <c:v>32.480262746999998</c:v>
                </c:pt>
                <c:pt idx="92">
                  <c:v>33.241007599999996</c:v>
                </c:pt>
                <c:pt idx="93">
                  <c:v>22.875340000000001</c:v>
                </c:pt>
                <c:pt idx="94">
                  <c:v>22.221048278999998</c:v>
                </c:pt>
                <c:pt idx="95">
                  <c:v>20.3016051</c:v>
                </c:pt>
                <c:pt idx="96">
                  <c:v>19.216247844000002</c:v>
                </c:pt>
                <c:pt idx="97">
                  <c:v>17.021713408</c:v>
                </c:pt>
                <c:pt idx="98">
                  <c:v>16.560219136000001</c:v>
                </c:pt>
                <c:pt idx="99">
                  <c:v>29.377883808000004</c:v>
                </c:pt>
                <c:pt idx="100">
                  <c:v>31.175696686999999</c:v>
                </c:pt>
                <c:pt idx="101">
                  <c:v>31.811021424000003</c:v>
                </c:pt>
                <c:pt idx="102">
                  <c:v>34.0062</c:v>
                </c:pt>
                <c:pt idx="103">
                  <c:v>33.924542432000003</c:v>
                </c:pt>
                <c:pt idx="104">
                  <c:v>35.398883898000001</c:v>
                </c:pt>
                <c:pt idx="105">
                  <c:v>37.816377648999996</c:v>
                </c:pt>
                <c:pt idx="106">
                  <c:v>38.452442067</c:v>
                </c:pt>
                <c:pt idx="107">
                  <c:v>38.503202570999996</c:v>
                </c:pt>
                <c:pt idx="108">
                  <c:v>38.430291132000001</c:v>
                </c:pt>
                <c:pt idx="109">
                  <c:v>38.791802759999996</c:v>
                </c:pt>
                <c:pt idx="110">
                  <c:v>39.072392777000005</c:v>
                </c:pt>
                <c:pt idx="111">
                  <c:v>39.740082311999998</c:v>
                </c:pt>
                <c:pt idx="112">
                  <c:v>40.114969258000002</c:v>
                </c:pt>
                <c:pt idx="113">
                  <c:v>40.254272861000004</c:v>
                </c:pt>
                <c:pt idx="114">
                  <c:v>40.114319999999999</c:v>
                </c:pt>
                <c:pt idx="115">
                  <c:v>40.554416007</c:v>
                </c:pt>
                <c:pt idx="116">
                  <c:v>40.293287999999997</c:v>
                </c:pt>
                <c:pt idx="117">
                  <c:v>40.414681747000003</c:v>
                </c:pt>
                <c:pt idx="118">
                  <c:v>41.280662499999998</c:v>
                </c:pt>
                <c:pt idx="119">
                  <c:v>41.621446749999997</c:v>
                </c:pt>
                <c:pt idx="120">
                  <c:v>41.770189508000001</c:v>
                </c:pt>
                <c:pt idx="121">
                  <c:v>41.945917793000007</c:v>
                </c:pt>
                <c:pt idx="122">
                  <c:v>42.319991425000005</c:v>
                </c:pt>
                <c:pt idx="123">
                  <c:v>42.771551472000006</c:v>
                </c:pt>
                <c:pt idx="124">
                  <c:v>43.507696895999999</c:v>
                </c:pt>
                <c:pt idx="125">
                  <c:v>43.126825650999997</c:v>
                </c:pt>
                <c:pt idx="126">
                  <c:v>43.456950207999995</c:v>
                </c:pt>
                <c:pt idx="127">
                  <c:v>31.007908378</c:v>
                </c:pt>
                <c:pt idx="128">
                  <c:v>31.027094577</c:v>
                </c:pt>
                <c:pt idx="129">
                  <c:v>30.170501196</c:v>
                </c:pt>
                <c:pt idx="130">
                  <c:v>28.257868079999998</c:v>
                </c:pt>
                <c:pt idx="131">
                  <c:v>25.965626415999996</c:v>
                </c:pt>
                <c:pt idx="132">
                  <c:v>23.770863335999998</c:v>
                </c:pt>
                <c:pt idx="133">
                  <c:v>23.710363794999999</c:v>
                </c:pt>
                <c:pt idx="134" formatCode="General">
                  <c:v>35.9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13-DD4B-940A-A356D402774D}"/>
            </c:ext>
          </c:extLst>
        </c:ser>
        <c:ser>
          <c:idx val="1"/>
          <c:order val="2"/>
          <c:tx>
            <c:v>01:01</c:v>
          </c:tx>
          <c:spPr>
            <a:ln w="19050">
              <a:solidFill>
                <a:schemeClr val="accent1"/>
              </a:solidFill>
            </a:ln>
          </c:spPr>
          <c:xVal>
            <c:numRef>
              <c:f>'M vs G'!$V$5:$V$6</c:f>
              <c:numCache>
                <c:formatCode>General</c:formatCode>
                <c:ptCount val="2"/>
                <c:pt idx="0">
                  <c:v>13</c:v>
                </c:pt>
                <c:pt idx="1">
                  <c:v>45</c:v>
                </c:pt>
              </c:numCache>
            </c:numRef>
          </c:xVal>
          <c:yVal>
            <c:numRef>
              <c:f>'M vs G'!$W$5:$W$6</c:f>
              <c:numCache>
                <c:formatCode>General</c:formatCode>
                <c:ptCount val="2"/>
                <c:pt idx="0">
                  <c:v>13</c:v>
                </c:pt>
                <c:pt idx="1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313-DD4B-940A-A356D4027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8781663"/>
        <c:axId val="1728751807"/>
      </c:scatterChart>
      <c:valAx>
        <c:axId val="1728781663"/>
        <c:scaling>
          <c:orientation val="minMax"/>
          <c:max val="43"/>
          <c:min val="13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3000" baseline="0"/>
                  <a:t>G calc (GPa)</a:t>
                </a:r>
                <a:endParaRPr lang="it-IT" sz="30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28751807"/>
        <c:crosses val="autoZero"/>
        <c:crossBetween val="midCat"/>
      </c:valAx>
      <c:valAx>
        <c:axId val="1728751807"/>
        <c:scaling>
          <c:orientation val="minMax"/>
          <c:max val="43"/>
          <c:min val="1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3000"/>
                  <a:t>G meas (GPa)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2878166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229927</xdr:colOff>
      <xdr:row>17</xdr:row>
      <xdr:rowOff>176358</xdr:rowOff>
    </xdr:from>
    <xdr:to>
      <xdr:col>29</xdr:col>
      <xdr:colOff>476250</xdr:colOff>
      <xdr:row>47</xdr:row>
      <xdr:rowOff>119062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4FFDC41B-8CFA-D722-2DB4-425261DF43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773807</xdr:colOff>
      <xdr:row>48</xdr:row>
      <xdr:rowOff>81431</xdr:rowOff>
    </xdr:from>
    <xdr:to>
      <xdr:col>30</xdr:col>
      <xdr:colOff>487618</xdr:colOff>
      <xdr:row>79</xdr:row>
      <xdr:rowOff>173097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3B49131D-52F2-414D-9FE2-16F4FCCBA7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0.08691</cdr:x>
      <cdr:y>0.03497</cdr:y>
    </cdr:from>
    <cdr:to>
      <cdr:x>0.94789</cdr:x>
      <cdr:y>0.92191</cdr:y>
    </cdr:to>
    <cdr:cxnSp macro="">
      <cdr:nvCxnSpPr>
        <cdr:cNvPr id="3" name="Connettore 1 2">
          <a:extLst xmlns:a="http://schemas.openxmlformats.org/drawingml/2006/main">
            <a:ext uri="{FF2B5EF4-FFF2-40B4-BE49-F238E27FC236}">
              <a16:creationId xmlns:a16="http://schemas.microsoft.com/office/drawing/2014/main" id="{92C01494-5850-42AA-56CE-E3C597DB11D9}"/>
            </a:ext>
          </a:extLst>
        </cdr:cNvPr>
        <cdr:cNvCxnSpPr/>
      </cdr:nvCxnSpPr>
      <cdr:spPr>
        <a:xfrm xmlns:a="http://schemas.openxmlformats.org/drawingml/2006/main" flipV="1">
          <a:off x="500128" y="133899"/>
          <a:ext cx="4954476" cy="3396511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584062</xdr:colOff>
      <xdr:row>88</xdr:row>
      <xdr:rowOff>12687</xdr:rowOff>
    </xdr:from>
    <xdr:to>
      <xdr:col>37</xdr:col>
      <xdr:colOff>340930</xdr:colOff>
      <xdr:row>93</xdr:row>
      <xdr:rowOff>74140</xdr:rowOff>
    </xdr:to>
    <xdr:sp macro="" textlink="">
      <xdr:nvSpPr>
        <xdr:cNvPr id="2" name="Rettangolo 1">
          <a:extLst>
            <a:ext uri="{FF2B5EF4-FFF2-40B4-BE49-F238E27FC236}">
              <a16:creationId xmlns:a16="http://schemas.microsoft.com/office/drawing/2014/main" id="{CD336B4D-EE11-4D02-89D0-29D23EDB6A37}"/>
            </a:ext>
          </a:extLst>
        </xdr:cNvPr>
        <xdr:cNvSpPr/>
      </xdr:nvSpPr>
      <xdr:spPr>
        <a:xfrm>
          <a:off x="25371343" y="15252687"/>
          <a:ext cx="8112131" cy="106408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S53P4 - elastic: S. Prasad S. et al. Journal of Non-Crystalline Solids 498 (2018) 204–215</a:t>
          </a:r>
        </a:p>
        <a:p>
          <a:pPr algn="l"/>
          <a:r>
            <a:rPr lang="en-GB" sz="1100"/>
            <a:t>206 viscosity: </a:t>
          </a:r>
          <a:r>
            <a:rPr lang="en-GB"/>
            <a:t>Vedel, E., Arstila, H., Ylänen, H., Hupa, L., Hupa, M., 2008. Predicting physical and chemical properties of bioactive glasses from chemical composition. Part 1: viscosity characteristics. Glass Technology: European Journal of Glass Science and Technology , Part A, 49 (6), 251–9. </a:t>
          </a:r>
          <a:endParaRPr lang="en-GB" sz="1100"/>
        </a:p>
      </xdr:txBody>
    </xdr:sp>
    <xdr:clientData/>
  </xdr:twoCellAnchor>
  <xdr:twoCellAnchor>
    <xdr:from>
      <xdr:col>32</xdr:col>
      <xdr:colOff>380827</xdr:colOff>
      <xdr:row>28</xdr:row>
      <xdr:rowOff>221024</xdr:rowOff>
    </xdr:from>
    <xdr:to>
      <xdr:col>44</xdr:col>
      <xdr:colOff>459787</xdr:colOff>
      <xdr:row>70</xdr:row>
      <xdr:rowOff>5878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06AB7F52-017A-832B-A97E-1929661DA5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152400</xdr:colOff>
      <xdr:row>0</xdr:row>
      <xdr:rowOff>96690</xdr:rowOff>
    </xdr:from>
    <xdr:to>
      <xdr:col>42</xdr:col>
      <xdr:colOff>378115</xdr:colOff>
      <xdr:row>26</xdr:row>
      <xdr:rowOff>149960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E714CB98-5F6B-9563-3E30-AD01706470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43</xdr:col>
      <xdr:colOff>435934</xdr:colOff>
      <xdr:row>3</xdr:row>
      <xdr:rowOff>103079</xdr:rowOff>
    </xdr:from>
    <xdr:to>
      <xdr:col>55</xdr:col>
      <xdr:colOff>534173</xdr:colOff>
      <xdr:row>44</xdr:row>
      <xdr:rowOff>79146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356B51D4-00AA-EC43-8F83-E58B6E3DAB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491024</xdr:colOff>
      <xdr:row>74</xdr:row>
      <xdr:rowOff>107356</xdr:rowOff>
    </xdr:from>
    <xdr:to>
      <xdr:col>41</xdr:col>
      <xdr:colOff>602374</xdr:colOff>
      <xdr:row>106</xdr:row>
      <xdr:rowOff>200196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DF4C3208-3B36-E248-8003-2E699A2C5B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43</xdr:col>
      <xdr:colOff>0</xdr:colOff>
      <xdr:row>61</xdr:row>
      <xdr:rowOff>0</xdr:rowOff>
    </xdr:from>
    <xdr:to>
      <xdr:col>55</xdr:col>
      <xdr:colOff>153994</xdr:colOff>
      <xdr:row>98</xdr:row>
      <xdr:rowOff>179267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5B8CE737-E8BA-E043-8AD1-CB275DA460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0.20644</cdr:x>
      <cdr:y>0.12054</cdr:y>
    </cdr:from>
    <cdr:to>
      <cdr:x>0.45764</cdr:x>
      <cdr:y>0.19145</cdr:y>
    </cdr:to>
    <cdr:sp macro="" textlink="">
      <cdr:nvSpPr>
        <cdr:cNvPr id="2" name="Rettangolo 1">
          <a:extLst xmlns:a="http://schemas.openxmlformats.org/drawingml/2006/main">
            <a:ext uri="{FF2B5EF4-FFF2-40B4-BE49-F238E27FC236}">
              <a16:creationId xmlns:a16="http://schemas.microsoft.com/office/drawing/2014/main" id="{C20A6E3F-9BF8-EC98-E404-380831B73A17}"/>
            </a:ext>
          </a:extLst>
        </cdr:cNvPr>
        <cdr:cNvSpPr/>
      </cdr:nvSpPr>
      <cdr:spPr>
        <a:xfrm xmlns:a="http://schemas.openxmlformats.org/drawingml/2006/main">
          <a:off x="2108200" y="863600"/>
          <a:ext cx="2565400" cy="508000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it-IT" sz="3000"/>
            <a:t>non linear</a:t>
          </a:r>
        </a:p>
      </cdr:txBody>
    </cdr:sp>
  </cdr:relSizeAnchor>
</c:userShape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C92A8-3CB7-244E-9961-A995143DB7D5}">
  <dimension ref="A1:J41"/>
  <sheetViews>
    <sheetView workbookViewId="0">
      <selection activeCell="D5" sqref="D5"/>
    </sheetView>
  </sheetViews>
  <sheetFormatPr defaultColWidth="10.83203125" defaultRowHeight="12.5"/>
  <cols>
    <col min="1" max="7" width="10.83203125" style="1"/>
    <col min="8" max="8" width="15.5" style="1" bestFit="1" customWidth="1"/>
    <col min="9" max="16384" width="10.83203125" style="1"/>
  </cols>
  <sheetData>
    <row r="1" spans="1:10">
      <c r="A1" s="1" t="s">
        <v>63</v>
      </c>
    </row>
    <row r="2" spans="1:10" ht="13">
      <c r="A2" s="4" t="s">
        <v>54</v>
      </c>
      <c r="B2" s="4" t="s">
        <v>62</v>
      </c>
      <c r="C2" s="4" t="s">
        <v>61</v>
      </c>
      <c r="D2" s="4"/>
      <c r="E2" s="4" t="s">
        <v>60</v>
      </c>
      <c r="G2" s="4" t="s">
        <v>59</v>
      </c>
      <c r="H2" s="13" t="s">
        <v>58</v>
      </c>
      <c r="I2" s="12">
        <v>100</v>
      </c>
    </row>
    <row r="3" spans="1:10" ht="13">
      <c r="A3" s="4"/>
      <c r="B3" s="4"/>
      <c r="C3" s="4" t="s">
        <v>57</v>
      </c>
      <c r="D3" s="4" t="s">
        <v>56</v>
      </c>
    </row>
    <row r="4" spans="1:10">
      <c r="B4" s="1" t="s">
        <v>55</v>
      </c>
      <c r="C4" s="1" t="s">
        <v>54</v>
      </c>
      <c r="D4" s="1" t="s">
        <v>54</v>
      </c>
      <c r="F4" s="1" t="s">
        <v>53</v>
      </c>
      <c r="I4" s="1" t="s">
        <v>52</v>
      </c>
    </row>
    <row r="5" spans="1:10" ht="15.5">
      <c r="A5" s="1" t="s">
        <v>51</v>
      </c>
      <c r="B5" s="1">
        <v>60.08</v>
      </c>
      <c r="C5" s="11">
        <v>44.71</v>
      </c>
      <c r="D5" s="3">
        <f>100*C5/B5/C30</f>
        <v>42.862326829948245</v>
      </c>
      <c r="E5" s="1" t="s">
        <v>51</v>
      </c>
      <c r="F5" s="1">
        <v>60.08</v>
      </c>
      <c r="G5" s="1" t="s">
        <v>50</v>
      </c>
      <c r="I5" s="10">
        <f>D5*F5*I2/D30</f>
        <v>44.714471447144717</v>
      </c>
      <c r="J5" s="10"/>
    </row>
    <row r="6" spans="1:10" ht="15.5">
      <c r="A6" s="1" t="s">
        <v>49</v>
      </c>
      <c r="B6" s="1">
        <v>104.59</v>
      </c>
      <c r="C6" s="11"/>
      <c r="D6" s="3">
        <f>100*C6/B6/C30</f>
        <v>0</v>
      </c>
      <c r="E6" s="1" t="s">
        <v>49</v>
      </c>
      <c r="F6" s="1">
        <v>104.59</v>
      </c>
      <c r="I6" s="10">
        <f>D6*F6*I2/D30</f>
        <v>0</v>
      </c>
    </row>
    <row r="7" spans="1:10" ht="15.5">
      <c r="A7" s="1" t="s">
        <v>48</v>
      </c>
      <c r="B7" s="1">
        <v>79.900000000000006</v>
      </c>
      <c r="C7" s="11"/>
      <c r="D7" s="3">
        <f>100*C7/B7/C30</f>
        <v>0</v>
      </c>
      <c r="E7" s="1" t="s">
        <v>48</v>
      </c>
      <c r="F7" s="1">
        <v>79.900000000000006</v>
      </c>
      <c r="I7" s="10">
        <f>D7*F7*I2/D30</f>
        <v>0</v>
      </c>
    </row>
    <row r="8" spans="1:10" ht="15.5">
      <c r="A8" s="1" t="s">
        <v>47</v>
      </c>
      <c r="B8" s="1">
        <v>69.62</v>
      </c>
      <c r="C8" s="11"/>
      <c r="D8" s="3">
        <f>100*C8/B8/C30</f>
        <v>0</v>
      </c>
      <c r="E8" s="1" t="s">
        <v>46</v>
      </c>
      <c r="F8" s="1">
        <v>61.83</v>
      </c>
      <c r="G8" s="1" t="s">
        <v>38</v>
      </c>
      <c r="I8" s="10">
        <f>2*D8*F8*I2/D30</f>
        <v>0</v>
      </c>
    </row>
    <row r="9" spans="1:10" ht="15.5">
      <c r="A9" s="1" t="s">
        <v>45</v>
      </c>
      <c r="B9" s="1">
        <v>101.96</v>
      </c>
      <c r="C9" s="11">
        <v>25.29</v>
      </c>
      <c r="D9" s="3">
        <f>100*C9/B9/C30</f>
        <v>14.286307713789773</v>
      </c>
      <c r="E9" s="1" t="s">
        <v>45</v>
      </c>
      <c r="F9" s="1">
        <v>101.96</v>
      </c>
      <c r="G9" s="1" t="s">
        <v>44</v>
      </c>
      <c r="I9" s="10">
        <f>D9*F9*I2/D30</f>
        <v>25.292529252925291</v>
      </c>
    </row>
    <row r="10" spans="1:10" ht="15.5">
      <c r="A10" s="1" t="s">
        <v>43</v>
      </c>
      <c r="B10" s="1">
        <v>187.44</v>
      </c>
      <c r="C10" s="11"/>
      <c r="D10" s="3">
        <f>100*C10/B10/C30</f>
        <v>0</v>
      </c>
      <c r="E10" s="1" t="s">
        <v>43</v>
      </c>
      <c r="F10" s="1">
        <v>187.44</v>
      </c>
      <c r="I10" s="10">
        <f>D10*F10*I2/D30</f>
        <v>0</v>
      </c>
    </row>
    <row r="11" spans="1:10" ht="15.5">
      <c r="A11" s="1" t="s">
        <v>41</v>
      </c>
      <c r="B11" s="1">
        <v>159.69</v>
      </c>
      <c r="C11" s="11"/>
      <c r="D11" s="3">
        <f>100*C11/B11/C30</f>
        <v>0</v>
      </c>
      <c r="E11" s="1" t="s">
        <v>41</v>
      </c>
      <c r="F11" s="1">
        <v>159.69</v>
      </c>
      <c r="I11" s="10">
        <f>D11*F11*I2/D30</f>
        <v>0</v>
      </c>
    </row>
    <row r="12" spans="1:10" ht="15.5">
      <c r="A12" s="1" t="s">
        <v>42</v>
      </c>
      <c r="B12" s="1">
        <v>71.849999999999994</v>
      </c>
      <c r="C12" s="11"/>
      <c r="D12" s="3">
        <f>100*C12/B12/C30</f>
        <v>0</v>
      </c>
      <c r="E12" s="1" t="s">
        <v>41</v>
      </c>
      <c r="F12" s="1">
        <v>159.69</v>
      </c>
      <c r="I12" s="10">
        <f>0.5*D12*F12*I2/D30</f>
        <v>0</v>
      </c>
    </row>
    <row r="13" spans="1:10" ht="15.5">
      <c r="A13" s="1" t="s">
        <v>40</v>
      </c>
      <c r="B13" s="1">
        <v>70.94</v>
      </c>
      <c r="C13" s="11">
        <v>0</v>
      </c>
      <c r="D13" s="3">
        <f>100*C13/B13/C30</f>
        <v>0</v>
      </c>
      <c r="E13" s="1" t="s">
        <v>39</v>
      </c>
      <c r="F13" s="1">
        <v>228.81</v>
      </c>
      <c r="G13" s="1" t="s">
        <v>38</v>
      </c>
      <c r="I13" s="10">
        <f>D13*F13*I2/D30/3</f>
        <v>0</v>
      </c>
    </row>
    <row r="14" spans="1:10" ht="15.5">
      <c r="A14" s="1" t="s">
        <v>37</v>
      </c>
      <c r="B14" s="1">
        <v>40.31</v>
      </c>
      <c r="C14" s="11">
        <v>29.99</v>
      </c>
      <c r="D14" s="3">
        <f>100*C14/B14/C30</f>
        <v>42.851365456261981</v>
      </c>
      <c r="E14" s="1" t="s">
        <v>37</v>
      </c>
      <c r="F14" s="1">
        <v>40.31</v>
      </c>
      <c r="G14" s="1" t="s">
        <v>36</v>
      </c>
      <c r="I14" s="10">
        <f>D14*F14*I2/D30</f>
        <v>29.992999299929991</v>
      </c>
    </row>
    <row r="15" spans="1:10" ht="15.5">
      <c r="A15" s="1" t="s">
        <v>35</v>
      </c>
      <c r="B15" s="1">
        <v>56.08</v>
      </c>
      <c r="C15" s="11"/>
      <c r="D15" s="3">
        <f>100*C15/B15/C30</f>
        <v>0</v>
      </c>
      <c r="E15" s="1" t="s">
        <v>34</v>
      </c>
      <c r="F15" s="1">
        <v>100.09</v>
      </c>
      <c r="I15" s="10">
        <f>D15*F15*I2/D30</f>
        <v>0</v>
      </c>
      <c r="J15" s="10"/>
    </row>
    <row r="16" spans="1:10" ht="15.5">
      <c r="A16" s="1" t="s">
        <v>33</v>
      </c>
      <c r="B16" s="1">
        <v>103.62</v>
      </c>
      <c r="C16" s="11"/>
      <c r="D16" s="3">
        <f>100*C16/B16/C30</f>
        <v>0</v>
      </c>
      <c r="E16" s="1" t="s">
        <v>32</v>
      </c>
      <c r="F16" s="1">
        <v>147.63</v>
      </c>
      <c r="I16" s="10">
        <f>D16*F16*I2/D30</f>
        <v>0</v>
      </c>
    </row>
    <row r="17" spans="1:10" ht="15.5">
      <c r="A17" s="1" t="s">
        <v>31</v>
      </c>
      <c r="B17" s="1">
        <v>153.34</v>
      </c>
      <c r="C17" s="11"/>
      <c r="D17" s="3">
        <f>100*C17/B17/C30</f>
        <v>0</v>
      </c>
      <c r="E17" s="1" t="s">
        <v>30</v>
      </c>
      <c r="F17" s="1">
        <v>197.35</v>
      </c>
      <c r="I17" s="10">
        <f>D17*F17*I2/D30</f>
        <v>0</v>
      </c>
    </row>
    <row r="18" spans="1:10" ht="13">
      <c r="A18" s="1" t="s">
        <v>29</v>
      </c>
      <c r="B18" s="1">
        <v>223.19</v>
      </c>
      <c r="C18" s="11"/>
      <c r="D18" s="3">
        <f>100*C18/B18/C30</f>
        <v>0</v>
      </c>
      <c r="E18" s="1" t="s">
        <v>29</v>
      </c>
      <c r="F18" s="1">
        <v>223.19</v>
      </c>
      <c r="I18" s="10">
        <f>D18*F18*I2/D30</f>
        <v>0</v>
      </c>
    </row>
    <row r="19" spans="1:10" ht="15.5">
      <c r="A19" s="1" t="s">
        <v>28</v>
      </c>
      <c r="B19" s="1">
        <v>29.88</v>
      </c>
      <c r="C19" s="11"/>
      <c r="D19" s="3">
        <f>100*C19/B19/C30</f>
        <v>0</v>
      </c>
      <c r="E19" s="1" t="s">
        <v>27</v>
      </c>
      <c r="F19" s="1">
        <v>73.89</v>
      </c>
      <c r="I19" s="10">
        <f>D19*F19*I2/D30</f>
        <v>0</v>
      </c>
    </row>
    <row r="20" spans="1:10" ht="15.5">
      <c r="A20" s="1" t="s">
        <v>26</v>
      </c>
      <c r="B20" s="1">
        <v>61.98</v>
      </c>
      <c r="C20" s="11"/>
      <c r="D20" s="3">
        <f>100*C20/B20/C30</f>
        <v>0</v>
      </c>
      <c r="E20" s="1" t="s">
        <v>25</v>
      </c>
      <c r="F20" s="1">
        <v>105.99</v>
      </c>
      <c r="I20" s="10">
        <f>D20*F20*I2/D30</f>
        <v>0</v>
      </c>
    </row>
    <row r="21" spans="1:10" ht="15.5">
      <c r="A21" s="1" t="s">
        <v>24</v>
      </c>
      <c r="B21" s="1">
        <v>94.2</v>
      </c>
      <c r="C21" s="11">
        <v>0</v>
      </c>
      <c r="D21" s="3">
        <f>100*C21/B21/C30</f>
        <v>0</v>
      </c>
      <c r="E21" s="1" t="s">
        <v>23</v>
      </c>
      <c r="F21" s="1">
        <v>138.21</v>
      </c>
      <c r="I21" s="10">
        <f>D21*F21*I2/D30</f>
        <v>0</v>
      </c>
    </row>
    <row r="22" spans="1:10" ht="15.5">
      <c r="A22" s="1" t="s">
        <v>22</v>
      </c>
      <c r="B22" s="1">
        <v>186.49</v>
      </c>
      <c r="C22" s="11"/>
      <c r="D22" s="3">
        <f>100*C22/B22/C30</f>
        <v>0</v>
      </c>
      <c r="E22" s="1" t="s">
        <v>21</v>
      </c>
      <c r="F22" s="1">
        <v>230.95</v>
      </c>
      <c r="I22" s="10">
        <f>D22*F22*I2/D30</f>
        <v>0</v>
      </c>
    </row>
    <row r="23" spans="1:10" ht="15.5">
      <c r="A23" s="1" t="s">
        <v>20</v>
      </c>
      <c r="B23" s="1">
        <v>281.81</v>
      </c>
      <c r="C23" s="11"/>
      <c r="D23" s="3">
        <f>100*C23/B23/C30</f>
        <v>0</v>
      </c>
      <c r="E23" s="1" t="s">
        <v>19</v>
      </c>
      <c r="F23" s="1">
        <v>325.82</v>
      </c>
      <c r="I23" s="10">
        <f>D23*F23*I2/D30</f>
        <v>0</v>
      </c>
    </row>
    <row r="24" spans="1:10" ht="15.5">
      <c r="A24" s="1" t="s">
        <v>18</v>
      </c>
      <c r="B24" s="1">
        <v>141.94</v>
      </c>
      <c r="C24" s="11"/>
      <c r="D24" s="3">
        <f>100*C24/B24/C30</f>
        <v>0</v>
      </c>
      <c r="E24" s="1" t="s">
        <v>17</v>
      </c>
      <c r="F24" s="1">
        <v>115.03</v>
      </c>
      <c r="I24" s="10">
        <f>2*D24*F24*I2/D30</f>
        <v>0</v>
      </c>
      <c r="J24" s="1" t="s">
        <v>16</v>
      </c>
    </row>
    <row r="25" spans="1:10" ht="15.5">
      <c r="A25" s="1" t="s">
        <v>15</v>
      </c>
      <c r="B25" s="1">
        <v>32.064</v>
      </c>
      <c r="C25" s="11"/>
      <c r="D25" s="3"/>
      <c r="E25" s="1" t="s">
        <v>14</v>
      </c>
      <c r="F25" s="1">
        <v>136.13999999999999</v>
      </c>
      <c r="I25" s="10"/>
    </row>
    <row r="26" spans="1:10" ht="15.5">
      <c r="A26" s="1" t="s">
        <v>13</v>
      </c>
      <c r="B26" s="1">
        <v>18.998000000000001</v>
      </c>
      <c r="C26" s="11"/>
      <c r="D26" s="3"/>
      <c r="E26" s="1" t="s">
        <v>12</v>
      </c>
      <c r="F26" s="1">
        <v>220.27</v>
      </c>
      <c r="G26" s="1" t="s">
        <v>11</v>
      </c>
      <c r="I26" s="10"/>
      <c r="J26" s="9" t="s">
        <v>10</v>
      </c>
    </row>
    <row r="27" spans="1:10">
      <c r="C27" s="3"/>
      <c r="D27" s="3"/>
    </row>
    <row r="28" spans="1:10">
      <c r="A28" s="1" t="s">
        <v>9</v>
      </c>
      <c r="C28" s="3">
        <f>SUM(C5:C24)</f>
        <v>99.99</v>
      </c>
      <c r="D28" s="3">
        <f>SUM(D5:D24)</f>
        <v>100</v>
      </c>
    </row>
    <row r="29" spans="1:10">
      <c r="D29" s="3"/>
    </row>
    <row r="30" spans="1:10">
      <c r="B30" s="8" t="s">
        <v>8</v>
      </c>
      <c r="C30" s="7">
        <f>(C5/B5+C6/B6+C7/B7+C8/B8+C9/B9+C10/B10+C11/B11+C12/B12+C13/B13+C14/B14+C15/B15+C16/B16+C17/B17+C18/B18+C19/B19+C20/B20+C21/B21+C22/B22+C23/B23+C24/B24)</f>
        <v>1.7361970035838614</v>
      </c>
      <c r="D30" s="3">
        <f>(D5*B5+D6*B6+D7*B7+D8*B8+D9*B9+D10*B10+D11*B11+D12*B12+D13*B13+D14*B14+D15*B15+D16*B16+D17*B17+D18*B18+D19*B19+D20*B20+D21*B21+D22*B22+D23*B23+D24*B24)</f>
        <v>5759.1390719832161</v>
      </c>
      <c r="E30" s="1" t="s">
        <v>7</v>
      </c>
    </row>
    <row r="31" spans="1:10">
      <c r="D31" s="3"/>
    </row>
    <row r="32" spans="1:10" ht="13">
      <c r="A32" s="4"/>
      <c r="D32" s="3"/>
    </row>
    <row r="33" spans="1:4" s="4" customFormat="1" ht="13">
      <c r="A33" s="6" t="s">
        <v>6</v>
      </c>
      <c r="D33" s="5"/>
    </row>
    <row r="34" spans="1:4">
      <c r="A34" s="1" t="s">
        <v>5</v>
      </c>
      <c r="D34" s="3"/>
    </row>
    <row r="35" spans="1:4" ht="13">
      <c r="A35" s="1" t="s">
        <v>4</v>
      </c>
      <c r="D35" s="3"/>
    </row>
    <row r="36" spans="1:4">
      <c r="A36" s="1" t="s">
        <v>3</v>
      </c>
      <c r="D36" s="3"/>
    </row>
    <row r="37" spans="1:4">
      <c r="A37" s="1" t="s">
        <v>2</v>
      </c>
      <c r="D37" s="3"/>
    </row>
    <row r="38" spans="1:4" ht="13">
      <c r="A38" s="1" t="s">
        <v>1</v>
      </c>
      <c r="D38" s="3"/>
    </row>
    <row r="39" spans="1:4" ht="13">
      <c r="A39" s="1" t="s">
        <v>0</v>
      </c>
      <c r="D39" s="3"/>
    </row>
    <row r="40" spans="1:4">
      <c r="A40" s="2"/>
      <c r="B40" s="2"/>
    </row>
    <row r="41" spans="1:4">
      <c r="A41" s="2"/>
      <c r="B41" s="2"/>
    </row>
  </sheetData>
  <pageMargins left="0.78740157499999996" right="0.78740157499999996" top="0.984251969" bottom="0.984251969" header="0.4921259845" footer="0.4921259845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2F3FE-93A1-1949-B9C8-F5FF74510821}">
  <dimension ref="A1:M39"/>
  <sheetViews>
    <sheetView topLeftCell="A2" zoomScale="141" workbookViewId="0">
      <selection activeCell="C21" sqref="C21"/>
    </sheetView>
  </sheetViews>
  <sheetFormatPr defaultColWidth="10.83203125" defaultRowHeight="12.5"/>
  <cols>
    <col min="1" max="7" width="10.83203125" style="1"/>
    <col min="8" max="8" width="15.5" style="1" bestFit="1" customWidth="1"/>
    <col min="9" max="16384" width="10.83203125" style="1"/>
  </cols>
  <sheetData>
    <row r="1" spans="1:13">
      <c r="A1" s="1" t="s">
        <v>89</v>
      </c>
    </row>
    <row r="2" spans="1:13" ht="13">
      <c r="A2" s="4" t="s">
        <v>54</v>
      </c>
      <c r="B2" s="4" t="s">
        <v>62</v>
      </c>
      <c r="C2" s="4" t="s">
        <v>61</v>
      </c>
      <c r="D2" s="4"/>
      <c r="E2" s="4" t="s">
        <v>60</v>
      </c>
      <c r="G2" s="4" t="s">
        <v>59</v>
      </c>
      <c r="H2" s="13" t="s">
        <v>58</v>
      </c>
      <c r="I2" s="15">
        <v>100</v>
      </c>
    </row>
    <row r="3" spans="1:13" ht="15.5">
      <c r="A3" s="4"/>
      <c r="B3" s="4"/>
      <c r="C3" s="4" t="s">
        <v>88</v>
      </c>
      <c r="D3" s="4" t="s">
        <v>87</v>
      </c>
    </row>
    <row r="4" spans="1:13">
      <c r="B4" s="1" t="s">
        <v>55</v>
      </c>
      <c r="C4" s="1" t="s">
        <v>54</v>
      </c>
      <c r="D4" s="1" t="s">
        <v>54</v>
      </c>
      <c r="F4" s="1" t="s">
        <v>53</v>
      </c>
      <c r="I4" s="1" t="s">
        <v>52</v>
      </c>
      <c r="K4" s="1">
        <v>35</v>
      </c>
    </row>
    <row r="5" spans="1:13" ht="15.5">
      <c r="A5" s="1" t="s">
        <v>51</v>
      </c>
      <c r="B5" s="1">
        <v>60.08</v>
      </c>
      <c r="C5" s="11">
        <v>54.73</v>
      </c>
      <c r="D5" s="3">
        <f>100*B5*C5/C29</f>
        <v>53.957521915361845</v>
      </c>
      <c r="E5" s="1" t="s">
        <v>51</v>
      </c>
      <c r="F5" s="1">
        <v>60.08</v>
      </c>
      <c r="G5" s="1" t="s">
        <v>50</v>
      </c>
      <c r="I5" s="10">
        <f>C5*F5*I2/C29</f>
        <v>53.957521915361845</v>
      </c>
      <c r="K5" s="1">
        <f>I5/K$4</f>
        <v>1.5416434832960526</v>
      </c>
    </row>
    <row r="6" spans="1:13" ht="15.5">
      <c r="A6" s="1" t="s">
        <v>49</v>
      </c>
      <c r="B6" s="1">
        <v>104.59</v>
      </c>
      <c r="C6" s="11"/>
      <c r="D6" s="3">
        <f>100*B6*C6/C29</f>
        <v>0</v>
      </c>
      <c r="E6" s="1" t="s">
        <v>49</v>
      </c>
      <c r="F6" s="1">
        <v>104.59</v>
      </c>
      <c r="I6" s="10">
        <f>C6*F6*I2/C29</f>
        <v>0</v>
      </c>
      <c r="K6" s="1">
        <f t="shared" ref="K6:K23" si="0">I6/K$4</f>
        <v>0</v>
      </c>
    </row>
    <row r="7" spans="1:13" ht="15.5">
      <c r="A7" s="1" t="s">
        <v>48</v>
      </c>
      <c r="B7" s="1">
        <v>79.900000000000006</v>
      </c>
      <c r="C7" s="11"/>
      <c r="D7" s="3">
        <f>100*B7*C7/C29</f>
        <v>0</v>
      </c>
      <c r="E7" s="1" t="s">
        <v>48</v>
      </c>
      <c r="F7" s="1">
        <v>79.900000000000006</v>
      </c>
      <c r="I7" s="10">
        <f>C7*F7*I2/C29</f>
        <v>0</v>
      </c>
      <c r="K7" s="1">
        <f t="shared" si="0"/>
        <v>0</v>
      </c>
    </row>
    <row r="8" spans="1:13" ht="16">
      <c r="A8" s="1" t="s">
        <v>86</v>
      </c>
      <c r="B8" s="1">
        <v>69.62</v>
      </c>
      <c r="C8" s="11"/>
      <c r="D8" s="3">
        <f>100*B8*C8/C29</f>
        <v>0</v>
      </c>
      <c r="E8" s="1" t="s">
        <v>85</v>
      </c>
      <c r="F8" s="1">
        <v>61.83</v>
      </c>
      <c r="G8" s="1" t="s">
        <v>38</v>
      </c>
      <c r="I8" s="10">
        <f>2*C8*F8*I2/C29</f>
        <v>0</v>
      </c>
      <c r="K8" s="1">
        <f t="shared" si="0"/>
        <v>0</v>
      </c>
      <c r="M8" s="1">
        <f>SUM(K5:K23)/2</f>
        <v>1.8956182779018405</v>
      </c>
    </row>
    <row r="9" spans="1:13" ht="16">
      <c r="A9" s="1" t="s">
        <v>84</v>
      </c>
      <c r="B9" s="1">
        <v>101.96</v>
      </c>
      <c r="C9" s="11"/>
      <c r="D9" s="3">
        <f>100*B9*C9/C29</f>
        <v>0</v>
      </c>
      <c r="E9" s="1" t="s">
        <v>84</v>
      </c>
      <c r="F9" s="1">
        <v>101.96</v>
      </c>
      <c r="G9" s="1" t="s">
        <v>83</v>
      </c>
      <c r="I9" s="10">
        <f>C9*F9*I2/C29</f>
        <v>0</v>
      </c>
      <c r="K9" s="1">
        <f t="shared" si="0"/>
        <v>0</v>
      </c>
      <c r="M9" s="1">
        <f>SUM(I5:I23)/4</f>
        <v>33.173319863282209</v>
      </c>
    </row>
    <row r="10" spans="1:13" ht="16">
      <c r="A10" s="1" t="s">
        <v>82</v>
      </c>
      <c r="B10" s="1">
        <v>187.44</v>
      </c>
      <c r="C10" s="11"/>
      <c r="D10" s="3">
        <f>100*B10*C10/C29</f>
        <v>0</v>
      </c>
      <c r="E10" s="1" t="s">
        <v>82</v>
      </c>
      <c r="F10" s="1">
        <v>187.44</v>
      </c>
      <c r="I10" s="10">
        <f>C10*F10*I2/C29</f>
        <v>0</v>
      </c>
      <c r="K10" s="1">
        <f t="shared" si="0"/>
        <v>0</v>
      </c>
    </row>
    <row r="11" spans="1:13" ht="16">
      <c r="A11" s="1" t="s">
        <v>81</v>
      </c>
      <c r="B11" s="1">
        <v>159.69</v>
      </c>
      <c r="C11" s="11"/>
      <c r="D11" s="3">
        <f>100*B11*C11/C29</f>
        <v>0</v>
      </c>
      <c r="E11" s="1" t="s">
        <v>81</v>
      </c>
      <c r="F11" s="1">
        <v>159.69</v>
      </c>
      <c r="I11" s="10">
        <f>C11*F11*I2/C29</f>
        <v>0</v>
      </c>
      <c r="K11" s="1">
        <f t="shared" si="0"/>
        <v>0</v>
      </c>
    </row>
    <row r="12" spans="1:13" ht="16">
      <c r="A12" s="1" t="s">
        <v>42</v>
      </c>
      <c r="B12" s="1">
        <v>71.849999999999994</v>
      </c>
      <c r="C12" s="11"/>
      <c r="D12" s="3">
        <f>100*B12*C12/C29</f>
        <v>0</v>
      </c>
      <c r="E12" s="1" t="s">
        <v>81</v>
      </c>
      <c r="F12" s="1">
        <v>159.69</v>
      </c>
      <c r="I12" s="10">
        <f>0.5*C12*F12*I2/C29</f>
        <v>0</v>
      </c>
      <c r="K12" s="1">
        <f t="shared" si="0"/>
        <v>0</v>
      </c>
    </row>
    <row r="13" spans="1:13" ht="16">
      <c r="A13" s="1" t="s">
        <v>40</v>
      </c>
      <c r="B13" s="1">
        <v>70.94</v>
      </c>
      <c r="C13" s="11"/>
      <c r="D13" s="3">
        <f>100*B13*C13/C29</f>
        <v>0</v>
      </c>
      <c r="E13" s="1" t="s">
        <v>80</v>
      </c>
      <c r="F13" s="1">
        <v>228.81</v>
      </c>
      <c r="G13" s="1" t="s">
        <v>38</v>
      </c>
      <c r="I13" s="10">
        <f>C13*F13*I2/C29/3</f>
        <v>0</v>
      </c>
      <c r="K13" s="1">
        <f t="shared" si="0"/>
        <v>0</v>
      </c>
    </row>
    <row r="14" spans="1:13" ht="16">
      <c r="A14" s="1" t="s">
        <v>37</v>
      </c>
      <c r="B14" s="1">
        <v>40.31</v>
      </c>
      <c r="C14" s="11"/>
      <c r="D14" s="3">
        <f>100*B14*C14/C29</f>
        <v>0</v>
      </c>
      <c r="E14" s="1" t="s">
        <v>37</v>
      </c>
      <c r="F14" s="1">
        <v>40.31</v>
      </c>
      <c r="G14" s="1" t="s">
        <v>79</v>
      </c>
      <c r="I14" s="10">
        <f>C14*F14*I2/C29</f>
        <v>0</v>
      </c>
      <c r="K14" s="1">
        <f t="shared" si="0"/>
        <v>0</v>
      </c>
    </row>
    <row r="15" spans="1:13" ht="15.5">
      <c r="A15" s="1" t="s">
        <v>35</v>
      </c>
      <c r="B15" s="1">
        <v>56.08</v>
      </c>
      <c r="C15" s="11"/>
      <c r="D15" s="3">
        <f>100*B15*C15/C29</f>
        <v>0</v>
      </c>
      <c r="E15" s="1" t="s">
        <v>34</v>
      </c>
      <c r="F15" s="1">
        <v>100.09</v>
      </c>
      <c r="I15" s="10">
        <f>C15*F15*I2/C29</f>
        <v>0</v>
      </c>
      <c r="K15" s="1">
        <f t="shared" si="0"/>
        <v>0</v>
      </c>
    </row>
    <row r="16" spans="1:13" ht="15.5">
      <c r="A16" s="1" t="s">
        <v>33</v>
      </c>
      <c r="B16" s="1">
        <v>103.62</v>
      </c>
      <c r="C16" s="11"/>
      <c r="D16" s="3">
        <f>100*B16*C16/C29</f>
        <v>0</v>
      </c>
      <c r="E16" s="1" t="s">
        <v>32</v>
      </c>
      <c r="F16" s="1">
        <v>147.63</v>
      </c>
      <c r="I16" s="10">
        <f>C16*F16*I2/C29</f>
        <v>0</v>
      </c>
      <c r="K16" s="1">
        <f t="shared" si="0"/>
        <v>0</v>
      </c>
    </row>
    <row r="17" spans="1:11" ht="15.5">
      <c r="A17" s="1" t="s">
        <v>31</v>
      </c>
      <c r="B17" s="1">
        <v>153.34</v>
      </c>
      <c r="C17" s="11"/>
      <c r="D17" s="3">
        <f>100*B17*C17/C29</f>
        <v>0</v>
      </c>
      <c r="E17" s="1" t="s">
        <v>30</v>
      </c>
      <c r="F17" s="1">
        <v>197.35</v>
      </c>
      <c r="I17" s="10">
        <f>C17*F17*I2/C29</f>
        <v>0</v>
      </c>
      <c r="K17" s="1">
        <f t="shared" si="0"/>
        <v>0</v>
      </c>
    </row>
    <row r="18" spans="1:11" ht="13">
      <c r="A18" s="1" t="s">
        <v>29</v>
      </c>
      <c r="B18" s="1">
        <v>223.19</v>
      </c>
      <c r="C18" s="11"/>
      <c r="D18" s="3">
        <f>100*B18*C18/C29</f>
        <v>0</v>
      </c>
      <c r="E18" s="1" t="s">
        <v>29</v>
      </c>
      <c r="F18" s="1">
        <v>223.19</v>
      </c>
      <c r="I18" s="10">
        <f>C18*F18*I2/C29</f>
        <v>0</v>
      </c>
      <c r="K18" s="1">
        <f t="shared" si="0"/>
        <v>0</v>
      </c>
    </row>
    <row r="19" spans="1:11" ht="16">
      <c r="A19" s="1" t="s">
        <v>78</v>
      </c>
      <c r="B19" s="1">
        <v>29.88</v>
      </c>
      <c r="C19" s="11"/>
      <c r="D19" s="3">
        <f>100*B19*C19/C29</f>
        <v>0</v>
      </c>
      <c r="E19" s="1" t="s">
        <v>77</v>
      </c>
      <c r="F19" s="1">
        <v>73.89</v>
      </c>
      <c r="I19" s="10">
        <f>C19*F19*I2/C29</f>
        <v>0</v>
      </c>
      <c r="K19" s="1">
        <f t="shared" si="0"/>
        <v>0</v>
      </c>
    </row>
    <row r="20" spans="1:11" ht="16">
      <c r="A20" s="1" t="s">
        <v>76</v>
      </c>
      <c r="B20" s="1">
        <v>61.98</v>
      </c>
      <c r="C20" s="11">
        <v>45.27</v>
      </c>
      <c r="D20" s="3">
        <f>100*B20*C20/C29</f>
        <v>46.042478084638155</v>
      </c>
      <c r="E20" s="1" t="s">
        <v>75</v>
      </c>
      <c r="F20" s="1">
        <v>105.99</v>
      </c>
      <c r="I20" s="10">
        <f>C20*F20*I2/C29</f>
        <v>78.735757537766986</v>
      </c>
      <c r="K20" s="1">
        <f t="shared" si="0"/>
        <v>2.2495930725076283</v>
      </c>
    </row>
    <row r="21" spans="1:11" ht="16">
      <c r="A21" s="1" t="s">
        <v>74</v>
      </c>
      <c r="B21" s="1">
        <v>94.2</v>
      </c>
      <c r="C21" s="11"/>
      <c r="D21" s="3">
        <f>100*B21*C21/C29</f>
        <v>0</v>
      </c>
      <c r="E21" s="1" t="s">
        <v>73</v>
      </c>
      <c r="F21" s="1">
        <v>138.21</v>
      </c>
      <c r="I21" s="10">
        <f>C21*F21*I2/C29</f>
        <v>0</v>
      </c>
      <c r="K21" s="1">
        <f t="shared" si="0"/>
        <v>0</v>
      </c>
    </row>
    <row r="22" spans="1:11" ht="16">
      <c r="A22" s="1" t="s">
        <v>72</v>
      </c>
      <c r="B22" s="1">
        <v>186.49</v>
      </c>
      <c r="C22" s="14"/>
      <c r="D22" s="3">
        <f>100*B22*C22/C29</f>
        <v>0</v>
      </c>
      <c r="E22" s="1" t="s">
        <v>71</v>
      </c>
      <c r="F22" s="1">
        <v>230.95</v>
      </c>
      <c r="I22" s="10">
        <f>C22*F22*I2/C29</f>
        <v>0</v>
      </c>
      <c r="K22" s="1">
        <f t="shared" si="0"/>
        <v>0</v>
      </c>
    </row>
    <row r="23" spans="1:11" ht="16">
      <c r="A23" s="1" t="s">
        <v>70</v>
      </c>
      <c r="B23" s="1">
        <v>281.81</v>
      </c>
      <c r="C23" s="14"/>
      <c r="D23" s="3">
        <f>100*B23*C23/C29</f>
        <v>0</v>
      </c>
      <c r="E23" s="1" t="s">
        <v>69</v>
      </c>
      <c r="F23" s="1">
        <v>325.82</v>
      </c>
      <c r="I23" s="10">
        <f>C23*F23*I2/C29</f>
        <v>0</v>
      </c>
      <c r="K23" s="1">
        <f t="shared" si="0"/>
        <v>0</v>
      </c>
    </row>
    <row r="24" spans="1:11" ht="16">
      <c r="A24" s="1" t="s">
        <v>68</v>
      </c>
      <c r="B24" s="1">
        <v>141.94</v>
      </c>
      <c r="C24" s="14">
        <v>0</v>
      </c>
      <c r="D24" s="3">
        <f>100*B24*C24/C29</f>
        <v>0</v>
      </c>
      <c r="E24" s="1" t="s">
        <v>67</v>
      </c>
      <c r="F24" s="1">
        <v>115.03</v>
      </c>
      <c r="I24" s="10">
        <f>2*C24*F24*I2/C29</f>
        <v>0</v>
      </c>
      <c r="J24" s="1" t="s">
        <v>16</v>
      </c>
    </row>
    <row r="25" spans="1:11" ht="16">
      <c r="A25" s="1" t="s">
        <v>13</v>
      </c>
      <c r="C25" s="14"/>
      <c r="D25" s="3"/>
      <c r="E25" s="1" t="s">
        <v>66</v>
      </c>
      <c r="G25" s="1" t="s">
        <v>65</v>
      </c>
      <c r="I25" s="10"/>
      <c r="J25" s="9" t="s">
        <v>10</v>
      </c>
    </row>
    <row r="26" spans="1:11">
      <c r="C26" s="3"/>
      <c r="D26" s="3"/>
    </row>
    <row r="27" spans="1:11">
      <c r="A27" s="1" t="s">
        <v>9</v>
      </c>
      <c r="C27" s="3">
        <f>SUM(C5:C24)</f>
        <v>100</v>
      </c>
      <c r="D27" s="3">
        <f>SUM(D5:D24)</f>
        <v>100</v>
      </c>
    </row>
    <row r="28" spans="1:11">
      <c r="D28" s="3"/>
      <c r="K28" s="1">
        <f>SUM(K5:K23)</f>
        <v>3.7912365558036809</v>
      </c>
    </row>
    <row r="29" spans="1:11">
      <c r="B29" s="8" t="s">
        <v>64</v>
      </c>
      <c r="C29" s="7">
        <f>(B5*C5+B6*C6+B7*C7+B8*C8+B9*C9+B10*C10+B11*C11+B12*C12+B13*C13+B14*C14+B15*C15+B16*C16+B17*C17+B18*C18+B19*C19+B20*C20+B21*C21+B22*C22+B23*C23+B24*C24)</f>
        <v>6094.0129999999999</v>
      </c>
      <c r="D29" s="3"/>
    </row>
    <row r="30" spans="1:11">
      <c r="D30" s="3"/>
    </row>
    <row r="31" spans="1:11" s="4" customFormat="1" ht="13">
      <c r="A31" s="6" t="s">
        <v>6</v>
      </c>
      <c r="D31" s="5"/>
    </row>
    <row r="32" spans="1:11">
      <c r="A32" s="1" t="s">
        <v>5</v>
      </c>
      <c r="D32" s="3"/>
    </row>
    <row r="33" spans="1:4" ht="13">
      <c r="A33" s="1" t="s">
        <v>4</v>
      </c>
      <c r="D33" s="3"/>
    </row>
    <row r="34" spans="1:4">
      <c r="A34" s="1" t="s">
        <v>3</v>
      </c>
      <c r="D34" s="3"/>
    </row>
    <row r="35" spans="1:4">
      <c r="A35" s="1" t="s">
        <v>2</v>
      </c>
      <c r="D35" s="3"/>
    </row>
    <row r="36" spans="1:4" ht="13">
      <c r="A36" s="1" t="s">
        <v>1</v>
      </c>
      <c r="D36" s="3"/>
    </row>
    <row r="37" spans="1:4" ht="13">
      <c r="A37" s="1" t="s">
        <v>0</v>
      </c>
      <c r="D37" s="3"/>
    </row>
    <row r="38" spans="1:4" ht="13">
      <c r="A38" s="4"/>
      <c r="D38" s="3"/>
    </row>
    <row r="39" spans="1:4">
      <c r="D39" s="3"/>
    </row>
  </sheetData>
  <pageMargins left="0.78740157499999996" right="0.78740157499999996" top="0.984251969" bottom="0.984251969" header="0.4921259845" footer="0.492125984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D9B88-B7E9-6745-9CD2-5DB885D73987}">
  <dimension ref="A1:DM209"/>
  <sheetViews>
    <sheetView tabSelected="1" topLeftCell="E1" zoomScale="71" zoomScaleNormal="71" workbookViewId="0">
      <selection activeCell="L4" sqref="L4"/>
    </sheetView>
  </sheetViews>
  <sheetFormatPr defaultColWidth="11" defaultRowHeight="15.5"/>
  <cols>
    <col min="2" max="2" width="18.83203125" customWidth="1"/>
    <col min="3" max="3" width="14.83203125" bestFit="1" customWidth="1"/>
    <col min="5" max="5" width="11.1640625" bestFit="1" customWidth="1"/>
    <col min="7" max="7" width="11.1640625" bestFit="1" customWidth="1"/>
    <col min="8" max="8" width="11.1640625" customWidth="1"/>
    <col min="9" max="14" width="15.1640625" customWidth="1"/>
    <col min="16" max="39" width="11" style="73"/>
    <col min="41" max="41" width="11" style="71"/>
    <col min="43" max="43" width="13.5" style="31" bestFit="1" customWidth="1"/>
  </cols>
  <sheetData>
    <row r="1" spans="2:117" ht="25.5">
      <c r="C1" s="125" t="s">
        <v>279</v>
      </c>
      <c r="D1" s="125"/>
      <c r="E1" s="125"/>
      <c r="F1" s="125"/>
      <c r="G1" s="125"/>
      <c r="H1" s="65"/>
      <c r="I1" s="65"/>
      <c r="J1" s="65"/>
      <c r="K1" s="65"/>
      <c r="L1" s="65"/>
      <c r="M1" s="65"/>
      <c r="N1" s="65"/>
      <c r="P1" s="126" t="s">
        <v>278</v>
      </c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Q1" s="95"/>
      <c r="AR1" s="126" t="s">
        <v>281</v>
      </c>
      <c r="AS1" s="126"/>
      <c r="AT1" s="126"/>
      <c r="AU1" s="126"/>
      <c r="AV1" s="126"/>
      <c r="AW1" s="126"/>
      <c r="AX1" s="126"/>
      <c r="AY1" s="126"/>
      <c r="AZ1" s="126"/>
      <c r="BA1" s="126"/>
      <c r="BB1" s="126"/>
      <c r="BC1" s="126"/>
      <c r="BD1" s="126"/>
      <c r="BE1" s="126"/>
      <c r="BF1" s="126"/>
      <c r="BG1" s="126"/>
      <c r="BH1" s="126"/>
      <c r="BI1" s="126"/>
      <c r="BJ1" s="126"/>
      <c r="BK1" s="126"/>
      <c r="BL1" s="126"/>
      <c r="BM1" s="126"/>
      <c r="BN1" s="126"/>
      <c r="BQ1" s="122" t="s">
        <v>91</v>
      </c>
      <c r="BR1" s="123"/>
      <c r="BS1" s="123"/>
      <c r="BT1" s="123"/>
      <c r="BU1" s="123"/>
      <c r="BV1" s="123"/>
      <c r="BW1" s="123"/>
      <c r="BX1" s="123"/>
      <c r="BY1" s="123"/>
      <c r="BZ1" s="123"/>
      <c r="CA1" s="123"/>
      <c r="CB1" s="123"/>
      <c r="CC1" s="123"/>
      <c r="CD1" s="123"/>
      <c r="CE1" s="123"/>
      <c r="CF1" s="123"/>
      <c r="CG1" s="123"/>
      <c r="CH1" s="123"/>
      <c r="CI1" s="123"/>
      <c r="CJ1" s="123"/>
      <c r="CK1" s="123"/>
      <c r="CL1" s="123"/>
      <c r="CP1" s="124" t="s">
        <v>309</v>
      </c>
      <c r="CQ1" s="124"/>
      <c r="CR1" s="124"/>
      <c r="CS1" s="124"/>
      <c r="CT1" s="124"/>
      <c r="CU1" s="124"/>
      <c r="CV1" s="124"/>
      <c r="CW1" s="124"/>
      <c r="CX1" s="124"/>
      <c r="CY1" s="124"/>
      <c r="CZ1" s="124"/>
      <c r="DA1" s="124"/>
      <c r="DB1" s="124"/>
      <c r="DC1" s="124"/>
      <c r="DD1" s="124"/>
      <c r="DE1" s="124"/>
      <c r="DF1" s="124"/>
      <c r="DG1" s="124"/>
      <c r="DH1" s="124"/>
      <c r="DI1" s="124"/>
      <c r="DJ1" s="124"/>
      <c r="DK1" s="124"/>
    </row>
    <row r="2" spans="2:117" ht="16.5">
      <c r="B2" s="81" t="s">
        <v>313</v>
      </c>
      <c r="C2" s="83">
        <f>6.02214*10^23</f>
        <v>6.0221399999999997E+23</v>
      </c>
      <c r="D2" s="81" t="s">
        <v>311</v>
      </c>
      <c r="E2" s="84">
        <v>101.325</v>
      </c>
      <c r="F2" s="82" t="s">
        <v>312</v>
      </c>
      <c r="G2" s="85">
        <f>1.380649*10^-23</f>
        <v>1.3806490000000001E-23</v>
      </c>
      <c r="H2" s="85"/>
      <c r="I2" s="81" t="s">
        <v>314</v>
      </c>
      <c r="J2" s="84">
        <v>295</v>
      </c>
      <c r="K2" s="78"/>
      <c r="L2" s="78"/>
      <c r="M2" s="78"/>
      <c r="N2" s="78"/>
      <c r="O2" s="78"/>
      <c r="AQ2" s="95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  <c r="BM2" s="73"/>
      <c r="BN2" s="73"/>
    </row>
    <row r="3" spans="2:117">
      <c r="D3" s="127" t="s">
        <v>277</v>
      </c>
      <c r="E3" s="127"/>
      <c r="AQ3" s="74" t="s">
        <v>307</v>
      </c>
      <c r="AR3" s="75">
        <v>60.08</v>
      </c>
      <c r="AS3" s="75">
        <v>104.59</v>
      </c>
      <c r="AT3" s="75">
        <v>79.900000000000006</v>
      </c>
      <c r="AU3" s="75">
        <v>69.62</v>
      </c>
      <c r="AV3" s="75">
        <v>101.96</v>
      </c>
      <c r="AW3" s="75">
        <v>187.44</v>
      </c>
      <c r="AX3" s="75">
        <v>159.69</v>
      </c>
      <c r="AY3" s="75">
        <v>71.849999999999994</v>
      </c>
      <c r="AZ3" s="75">
        <v>70.94</v>
      </c>
      <c r="BA3" s="75">
        <v>40.31</v>
      </c>
      <c r="BB3" s="75">
        <v>56.08</v>
      </c>
      <c r="BC3" s="75">
        <v>103.62</v>
      </c>
      <c r="BD3" s="75">
        <v>153.34</v>
      </c>
      <c r="BE3" s="75">
        <v>223.19</v>
      </c>
      <c r="BF3" s="75">
        <v>29.88</v>
      </c>
      <c r="BG3" s="75">
        <v>61.98</v>
      </c>
      <c r="BH3" s="75">
        <v>94.2</v>
      </c>
      <c r="BI3" s="75">
        <v>186.49</v>
      </c>
      <c r="BJ3" s="75">
        <v>281.81</v>
      </c>
      <c r="BK3" s="75">
        <v>141.94</v>
      </c>
      <c r="BL3" s="75">
        <v>32.064</v>
      </c>
      <c r="BM3" s="75">
        <v>18.02</v>
      </c>
      <c r="BN3" s="75">
        <v>18.998000000000001</v>
      </c>
      <c r="BQ3" s="75">
        <v>3</v>
      </c>
      <c r="BR3" s="75">
        <v>3</v>
      </c>
      <c r="BS3" s="75">
        <v>3</v>
      </c>
      <c r="BT3" s="75">
        <v>5</v>
      </c>
      <c r="BU3" s="75">
        <v>5</v>
      </c>
      <c r="BV3" s="75">
        <v>5</v>
      </c>
      <c r="BW3" s="75">
        <v>5</v>
      </c>
      <c r="BX3" s="75">
        <v>2</v>
      </c>
      <c r="BY3" s="75">
        <v>2</v>
      </c>
      <c r="BZ3" s="75">
        <v>2</v>
      </c>
      <c r="CA3" s="75">
        <v>2</v>
      </c>
      <c r="CB3" s="75">
        <v>2</v>
      </c>
      <c r="CC3" s="75">
        <v>2</v>
      </c>
      <c r="CD3" s="75">
        <v>2</v>
      </c>
      <c r="CE3" s="75">
        <v>3</v>
      </c>
      <c r="CF3" s="75">
        <v>3</v>
      </c>
      <c r="CG3" s="75">
        <v>3</v>
      </c>
      <c r="CH3" s="75">
        <v>3</v>
      </c>
      <c r="CI3" s="75">
        <v>3</v>
      </c>
      <c r="CJ3" s="75">
        <v>7</v>
      </c>
      <c r="CK3" s="75">
        <v>1</v>
      </c>
      <c r="CL3" s="75">
        <v>1</v>
      </c>
    </row>
    <row r="4" spans="2:117" ht="16.5">
      <c r="B4" s="57" t="s">
        <v>276</v>
      </c>
      <c r="C4" s="56" t="s">
        <v>275</v>
      </c>
      <c r="D4" s="55" t="s">
        <v>274</v>
      </c>
      <c r="E4" s="54" t="s">
        <v>273</v>
      </c>
      <c r="F4" s="55" t="s">
        <v>272</v>
      </c>
      <c r="G4" s="55" t="s">
        <v>271</v>
      </c>
      <c r="H4" s="55"/>
      <c r="I4" s="77" t="s">
        <v>310</v>
      </c>
      <c r="J4" s="77" t="s">
        <v>91</v>
      </c>
      <c r="K4" s="77" t="s">
        <v>92</v>
      </c>
      <c r="L4" s="77" t="s">
        <v>316</v>
      </c>
      <c r="M4" s="77" t="s">
        <v>315</v>
      </c>
      <c r="N4" s="77"/>
      <c r="O4" s="53"/>
      <c r="P4" s="66" t="s">
        <v>293</v>
      </c>
      <c r="Q4" s="67" t="s">
        <v>294</v>
      </c>
      <c r="R4" s="66" t="s">
        <v>295</v>
      </c>
      <c r="S4" s="68" t="s">
        <v>296</v>
      </c>
      <c r="T4" s="66" t="s">
        <v>297</v>
      </c>
      <c r="U4" s="67" t="s">
        <v>298</v>
      </c>
      <c r="V4" s="67" t="s">
        <v>299</v>
      </c>
      <c r="W4" s="66" t="s">
        <v>270</v>
      </c>
      <c r="X4" s="66" t="s">
        <v>40</v>
      </c>
      <c r="Y4" s="66" t="s">
        <v>37</v>
      </c>
      <c r="Z4" s="66" t="s">
        <v>35</v>
      </c>
      <c r="AA4" s="67" t="s">
        <v>33</v>
      </c>
      <c r="AB4" s="67" t="s">
        <v>31</v>
      </c>
      <c r="AC4" s="67" t="s">
        <v>29</v>
      </c>
      <c r="AD4" s="67" t="s">
        <v>300</v>
      </c>
      <c r="AE4" s="66" t="s">
        <v>301</v>
      </c>
      <c r="AF4" s="66" t="s">
        <v>302</v>
      </c>
      <c r="AG4" s="67" t="s">
        <v>303</v>
      </c>
      <c r="AH4" s="67" t="s">
        <v>304</v>
      </c>
      <c r="AI4" s="66" t="s">
        <v>305</v>
      </c>
      <c r="AJ4" s="67" t="s">
        <v>15</v>
      </c>
      <c r="AK4" s="67" t="s">
        <v>338</v>
      </c>
      <c r="AL4" s="67" t="s">
        <v>13</v>
      </c>
      <c r="AM4" s="80" t="s">
        <v>269</v>
      </c>
      <c r="AN4" s="69"/>
      <c r="AO4" s="72" t="s">
        <v>308</v>
      </c>
      <c r="AP4" s="69"/>
      <c r="AQ4" s="96"/>
      <c r="AR4" s="70" t="s">
        <v>306</v>
      </c>
      <c r="AS4" s="70" t="s">
        <v>294</v>
      </c>
      <c r="AT4" s="70" t="s">
        <v>295</v>
      </c>
      <c r="AU4" s="70" t="s">
        <v>296</v>
      </c>
      <c r="AV4" s="70" t="s">
        <v>297</v>
      </c>
      <c r="AW4" s="70" t="s">
        <v>298</v>
      </c>
      <c r="AX4" s="70" t="s">
        <v>299</v>
      </c>
      <c r="AY4" s="70" t="s">
        <v>42</v>
      </c>
      <c r="AZ4" s="70" t="s">
        <v>40</v>
      </c>
      <c r="BA4" s="70" t="s">
        <v>37</v>
      </c>
      <c r="BB4" s="70" t="s">
        <v>35</v>
      </c>
      <c r="BC4" s="70" t="s">
        <v>33</v>
      </c>
      <c r="BD4" s="70" t="s">
        <v>31</v>
      </c>
      <c r="BE4" s="70" t="s">
        <v>29</v>
      </c>
      <c r="BF4" s="70" t="s">
        <v>300</v>
      </c>
      <c r="BG4" s="70" t="s">
        <v>301</v>
      </c>
      <c r="BH4" s="70" t="s">
        <v>302</v>
      </c>
      <c r="BI4" s="70" t="s">
        <v>303</v>
      </c>
      <c r="BJ4" s="70" t="s">
        <v>304</v>
      </c>
      <c r="BK4" s="70" t="s">
        <v>305</v>
      </c>
      <c r="BL4" s="70" t="s">
        <v>15</v>
      </c>
      <c r="BM4" s="70" t="s">
        <v>338</v>
      </c>
      <c r="BN4" s="70" t="s">
        <v>13</v>
      </c>
      <c r="BQ4" s="76" t="s">
        <v>306</v>
      </c>
      <c r="BR4" s="76" t="s">
        <v>294</v>
      </c>
      <c r="BS4" s="76" t="s">
        <v>295</v>
      </c>
      <c r="BT4" s="76" t="s">
        <v>296</v>
      </c>
      <c r="BU4" s="76" t="s">
        <v>297</v>
      </c>
      <c r="BV4" s="76" t="s">
        <v>298</v>
      </c>
      <c r="BW4" s="76" t="s">
        <v>299</v>
      </c>
      <c r="BX4" s="76" t="s">
        <v>42</v>
      </c>
      <c r="BY4" s="76" t="s">
        <v>40</v>
      </c>
      <c r="BZ4" s="76" t="s">
        <v>37</v>
      </c>
      <c r="CA4" s="76" t="s">
        <v>35</v>
      </c>
      <c r="CB4" s="76" t="s">
        <v>33</v>
      </c>
      <c r="CC4" s="76" t="s">
        <v>31</v>
      </c>
      <c r="CD4" s="76" t="s">
        <v>29</v>
      </c>
      <c r="CE4" s="76" t="s">
        <v>300</v>
      </c>
      <c r="CF4" s="76" t="s">
        <v>301</v>
      </c>
      <c r="CG4" s="76" t="s">
        <v>302</v>
      </c>
      <c r="CH4" s="76" t="s">
        <v>303</v>
      </c>
      <c r="CI4" s="76" t="s">
        <v>304</v>
      </c>
      <c r="CJ4" s="76" t="s">
        <v>305</v>
      </c>
      <c r="CK4" s="76" t="s">
        <v>15</v>
      </c>
      <c r="CL4" s="76" t="s">
        <v>13</v>
      </c>
      <c r="CN4" s="76" t="s">
        <v>269</v>
      </c>
      <c r="CP4" s="76" t="s">
        <v>306</v>
      </c>
      <c r="CQ4" s="76" t="s">
        <v>294</v>
      </c>
      <c r="CR4" s="76" t="s">
        <v>295</v>
      </c>
      <c r="CS4" s="76" t="s">
        <v>296</v>
      </c>
      <c r="CT4" s="76" t="s">
        <v>297</v>
      </c>
      <c r="CU4" s="76" t="s">
        <v>298</v>
      </c>
      <c r="CV4" s="76" t="s">
        <v>299</v>
      </c>
      <c r="CW4" s="76" t="s">
        <v>42</v>
      </c>
      <c r="CX4" s="76" t="s">
        <v>40</v>
      </c>
      <c r="CY4" s="76" t="s">
        <v>37</v>
      </c>
      <c r="CZ4" s="76" t="s">
        <v>35</v>
      </c>
      <c r="DA4" s="76" t="s">
        <v>33</v>
      </c>
      <c r="DB4" s="76" t="s">
        <v>31</v>
      </c>
      <c r="DC4" s="76" t="s">
        <v>29</v>
      </c>
      <c r="DD4" s="76" t="s">
        <v>300</v>
      </c>
      <c r="DE4" s="76" t="s">
        <v>301</v>
      </c>
      <c r="DF4" s="76" t="s">
        <v>302</v>
      </c>
      <c r="DG4" s="76" t="s">
        <v>303</v>
      </c>
      <c r="DH4" s="76" t="s">
        <v>304</v>
      </c>
      <c r="DI4" s="76" t="s">
        <v>305</v>
      </c>
      <c r="DJ4" s="76" t="s">
        <v>15</v>
      </c>
      <c r="DK4" s="76" t="s">
        <v>13</v>
      </c>
      <c r="DM4" s="76" t="s">
        <v>183</v>
      </c>
    </row>
    <row r="5" spans="2:117" ht="17.5">
      <c r="B5" s="52" t="s">
        <v>268</v>
      </c>
      <c r="C5" s="43">
        <v>2.2000000000000002</v>
      </c>
      <c r="D5" s="43">
        <v>1427.5</v>
      </c>
      <c r="E5" s="43">
        <v>24</v>
      </c>
      <c r="F5" s="43">
        <v>5972</v>
      </c>
      <c r="G5" s="43">
        <v>3769</v>
      </c>
      <c r="H5" s="43">
        <f t="shared" ref="H5:H36" si="0">($C$2*C5)/CN5</f>
        <v>2.2051777629826899E+22</v>
      </c>
      <c r="I5" s="43">
        <f>($C$2/CN5)*C5*DM5</f>
        <v>6.6155332889480694E+22</v>
      </c>
      <c r="J5" s="42">
        <f>(C5*F5^2)/1000000</f>
        <v>78.462524800000011</v>
      </c>
      <c r="K5" s="42">
        <f>(C5*G5^2)/1000000</f>
        <v>31.251794200000003</v>
      </c>
      <c r="L5" s="42">
        <f>3*K5 + 2*(0.0001 - H5*$G$2*$J$2)/100</f>
        <v>91.959084480762272</v>
      </c>
      <c r="M5" s="79">
        <f t="shared" ref="M5:M15" si="1">3*K5 + 2*(0.0001 - I5*$G$2*$J$2)/100</f>
        <v>88.366484242286816</v>
      </c>
      <c r="N5" s="79"/>
      <c r="O5" s="52" t="str">
        <f t="shared" ref="O5:O36" si="2">B5</f>
        <v xml:space="preserve">SiO2 </v>
      </c>
      <c r="P5" s="86">
        <v>100</v>
      </c>
      <c r="Q5" s="86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6">
        <f>SUM(P5:AI5)</f>
        <v>100</v>
      </c>
      <c r="AO5" s="71">
        <f>(P5/$AR$3+Q5/$AS$3+R5/$AT$3+S5/$AU$3+T5/$AV$3+U5/$AW$3+V5/$AX$3+W5/$AY$3+X5/$AZ$3+Y5/$BA$3+Z5/$BB$3+AA5/$BC$3+AB5/$BD$3+AC5/$BE$3+AD5/$BF$3+AE5/$BG$3+AF5/$BH$3+AG5/$BI$3+AH5/$BJ$3+AI5/$BK$3+AJ5/$BL$3+AL5/$BN$3+AK5/$BM$3)</f>
        <v>1.6644474034620507</v>
      </c>
      <c r="AQ5" s="97" t="str">
        <f>O5</f>
        <v xml:space="preserve">SiO2 </v>
      </c>
      <c r="AR5" s="73">
        <f>100*P5/$AR$3/$AO5</f>
        <v>100</v>
      </c>
      <c r="AS5" s="73">
        <f>100*Q5/$AS$3/$AO5</f>
        <v>0</v>
      </c>
      <c r="AT5" s="73">
        <f>100*R5/$AT$3/$AO5</f>
        <v>0</v>
      </c>
      <c r="AU5" s="73">
        <f>100*S5/$AU$3/$AO5</f>
        <v>0</v>
      </c>
      <c r="AV5" s="73">
        <f>100*T5/$AV$3/$AO5</f>
        <v>0</v>
      </c>
      <c r="AW5" s="73">
        <f>100*U5/$AW$3/$AO5</f>
        <v>0</v>
      </c>
      <c r="AX5" s="73">
        <f>100*V5/$AX$3/$AO5</f>
        <v>0</v>
      </c>
      <c r="AY5" s="73">
        <f>100*W5/$AY$3/$AO5</f>
        <v>0</v>
      </c>
      <c r="AZ5" s="73">
        <f>100*X5/$AZ$3/$AO5</f>
        <v>0</v>
      </c>
      <c r="BA5" s="73">
        <f>100*Y5/$BA$3/$AO5</f>
        <v>0</v>
      </c>
      <c r="BB5" s="73">
        <f>100*Z5/$BB$3/$AO5</f>
        <v>0</v>
      </c>
      <c r="BC5" s="73">
        <f>100*AA5/$BC$3/$AO5</f>
        <v>0</v>
      </c>
      <c r="BD5" s="73">
        <f>100*AB5/$BD$3/$AO5</f>
        <v>0</v>
      </c>
      <c r="BE5" s="73">
        <f>100*AC5/$BE$3/$AO5</f>
        <v>0</v>
      </c>
      <c r="BF5" s="73">
        <f>100*AD5/$BF$3/$AO5</f>
        <v>0</v>
      </c>
      <c r="BG5" s="73">
        <f>100*AE5/$BG$3/$AO5</f>
        <v>0</v>
      </c>
      <c r="BH5" s="73">
        <f>100*AF5/$BH$3/$AO5</f>
        <v>0</v>
      </c>
      <c r="BI5" s="73">
        <f>100*AG5/$BI$3/$AO5</f>
        <v>0</v>
      </c>
      <c r="BJ5" s="73">
        <f>100*AH5/$BJ$3/$AO5</f>
        <v>0</v>
      </c>
      <c r="BK5" s="73">
        <f>100*AI5/$BK$3/$AO5</f>
        <v>0</v>
      </c>
      <c r="BL5" s="73">
        <f>100*AJ5/$BL$3/$AO5</f>
        <v>0</v>
      </c>
      <c r="BM5" s="73">
        <f>100*AK5/$BM$3/$AO5</f>
        <v>0</v>
      </c>
      <c r="BN5" s="73">
        <f>100*AL5/$BN$3/$AO5</f>
        <v>0</v>
      </c>
      <c r="BQ5">
        <f t="shared" ref="BQ5:BQ36" si="3">(AR5/100)*$AR$3</f>
        <v>60.08</v>
      </c>
      <c r="BR5">
        <f>(AS5/100)*$AS$3</f>
        <v>0</v>
      </c>
      <c r="BS5">
        <f>(AT5/100)*$AT$3</f>
        <v>0</v>
      </c>
      <c r="BT5">
        <f>(AU5/100)*$AU$3</f>
        <v>0</v>
      </c>
      <c r="BU5">
        <f>(AV5/100)*$AV$3</f>
        <v>0</v>
      </c>
      <c r="BV5">
        <f>(AW5/100)*$AW$3</f>
        <v>0</v>
      </c>
      <c r="BW5">
        <f>(AX5/100)*$AX$3</f>
        <v>0</v>
      </c>
      <c r="BX5">
        <f>(AY5/100)*$AY$3</f>
        <v>0</v>
      </c>
      <c r="BY5">
        <f>(AZ5/100)*$AZ$3</f>
        <v>0</v>
      </c>
      <c r="BZ5">
        <f>(BA5/100)*$BA$3</f>
        <v>0</v>
      </c>
      <c r="CA5">
        <f>(BB5/100)*$BB$3</f>
        <v>0</v>
      </c>
      <c r="CB5">
        <f>(BC5/100)*$BC$3</f>
        <v>0</v>
      </c>
      <c r="CC5">
        <f>(BD5/100)*$BD$3</f>
        <v>0</v>
      </c>
      <c r="CD5">
        <f>(BE5/100)*$BE$3</f>
        <v>0</v>
      </c>
      <c r="CE5">
        <f>(BF5/100)*$BF$3</f>
        <v>0</v>
      </c>
      <c r="CF5">
        <f>(BG5/100)*$BG$3</f>
        <v>0</v>
      </c>
      <c r="CG5">
        <f>(BH5/100)*$BH$3</f>
        <v>0</v>
      </c>
      <c r="CH5">
        <f>(BI5/100)*$BI$3</f>
        <v>0</v>
      </c>
      <c r="CI5">
        <f>(BJ5/100)*$BJ$3</f>
        <v>0</v>
      </c>
      <c r="CJ5">
        <f>(BK5/100)*$BK$3</f>
        <v>0</v>
      </c>
      <c r="CK5">
        <f>(BL5/100)*$BL$3</f>
        <v>0</v>
      </c>
      <c r="CL5">
        <f>(BN5/100)*$BN$3</f>
        <v>0</v>
      </c>
      <c r="CN5">
        <f>SUM(BQ5:CL5)</f>
        <v>60.08</v>
      </c>
      <c r="CP5">
        <f>(AR5/100)*$BQ$3</f>
        <v>3</v>
      </c>
      <c r="CQ5">
        <f>(AS5/100)*$BR$3</f>
        <v>0</v>
      </c>
      <c r="CR5">
        <f>(AT5/100)*$BS$3</f>
        <v>0</v>
      </c>
      <c r="CS5">
        <f>(AU5/100)*$BT$3</f>
        <v>0</v>
      </c>
      <c r="CT5">
        <f>(AV5/100)*$BU$3</f>
        <v>0</v>
      </c>
      <c r="CU5">
        <f>(AW5/100)*$BV$3</f>
        <v>0</v>
      </c>
      <c r="CV5">
        <f>(AX5/100)*$BW$3</f>
        <v>0</v>
      </c>
      <c r="CW5">
        <f>(AY5/100)*$BX$3</f>
        <v>0</v>
      </c>
      <c r="CX5">
        <f>(AZ5/100)*$BY$3</f>
        <v>0</v>
      </c>
      <c r="CY5">
        <f>(BA5/100)*$BZ$3</f>
        <v>0</v>
      </c>
      <c r="CZ5">
        <f>(BB5/100)*$CA$3</f>
        <v>0</v>
      </c>
      <c r="DA5">
        <f>(BC5/100)*$CB$3</f>
        <v>0</v>
      </c>
      <c r="DB5">
        <f>(BD5/100)*$CC$3</f>
        <v>0</v>
      </c>
      <c r="DC5">
        <f>(BE5/100)*$CD$3</f>
        <v>0</v>
      </c>
      <c r="DD5">
        <f>(BF5/100)*$CE$3</f>
        <v>0</v>
      </c>
      <c r="DE5">
        <f>(BG5/100)*$CF$3</f>
        <v>0</v>
      </c>
      <c r="DF5">
        <f>(BH5/100)*$CG$3</f>
        <v>0</v>
      </c>
      <c r="DG5">
        <f>(BI5/100)*$CH$3</f>
        <v>0</v>
      </c>
      <c r="DH5">
        <f>(BJ5/100)*$CI$3</f>
        <v>0</v>
      </c>
      <c r="DI5">
        <f>(BK5/100)*$CJ$3</f>
        <v>0</v>
      </c>
      <c r="DJ5">
        <f>(BL5/100)*$CK$3</f>
        <v>0</v>
      </c>
      <c r="DK5">
        <f>(BN5/100)*$CL$3</f>
        <v>0</v>
      </c>
      <c r="DM5">
        <f>SUM(CP5:DK5)</f>
        <v>3</v>
      </c>
    </row>
    <row r="6" spans="2:117">
      <c r="B6" s="45" t="s">
        <v>118</v>
      </c>
      <c r="C6" s="43">
        <v>2.3199999999999998</v>
      </c>
      <c r="D6" s="47">
        <v>1043.8</v>
      </c>
      <c r="E6" s="43">
        <v>26.3</v>
      </c>
      <c r="F6" s="43">
        <v>5835</v>
      </c>
      <c r="G6" s="43">
        <v>3604</v>
      </c>
      <c r="H6" s="43">
        <f t="shared" si="0"/>
        <v>2.1778231566413217E+22</v>
      </c>
      <c r="I6" s="43">
        <f t="shared" ref="I6:I36" si="4">($C$2/CN6)*C6*DM6</f>
        <v>6.7963346270332048E+22</v>
      </c>
      <c r="J6" s="42">
        <f t="shared" ref="J6:J36" si="5">(C6*F6^2)/1000000</f>
        <v>78.989562000000006</v>
      </c>
      <c r="K6" s="42">
        <f t="shared" ref="K6:K87" si="6">(C6*G6^2)/1000000</f>
        <v>30.134053119999997</v>
      </c>
      <c r="L6" s="42">
        <f t="shared" ref="L6:L87" si="7">3*K6 + 2*(0.0001 - H6*$G$2*$J$2)/100</f>
        <v>88.628143835597712</v>
      </c>
      <c r="M6" s="79">
        <f t="shared" si="1"/>
        <v>84.865983322177513</v>
      </c>
      <c r="N6" s="79"/>
      <c r="O6" s="52" t="str">
        <f t="shared" si="2"/>
        <v>RhA</v>
      </c>
      <c r="P6" s="47">
        <v>77.63</v>
      </c>
      <c r="Q6" s="47"/>
      <c r="R6" s="47">
        <v>0.11</v>
      </c>
      <c r="S6" s="47"/>
      <c r="T6" s="47">
        <v>12.73</v>
      </c>
      <c r="U6" s="47"/>
      <c r="V6" s="47"/>
      <c r="W6" s="47">
        <v>3.03</v>
      </c>
      <c r="X6" s="47">
        <v>0.03</v>
      </c>
      <c r="Y6" s="47">
        <v>0.06</v>
      </c>
      <c r="Z6" s="47">
        <v>0.92</v>
      </c>
      <c r="AA6" s="47"/>
      <c r="AB6" s="47"/>
      <c r="AC6" s="47"/>
      <c r="AD6" s="47"/>
      <c r="AE6" s="47">
        <v>4.4400000000000004</v>
      </c>
      <c r="AF6" s="47">
        <v>1.62</v>
      </c>
      <c r="AG6" s="47"/>
      <c r="AH6" s="47"/>
      <c r="AI6" s="51"/>
      <c r="AJ6" s="51"/>
      <c r="AK6" s="51"/>
      <c r="AL6" s="51"/>
      <c r="AM6" s="86">
        <f>SUM(P6:AI6)</f>
        <v>100.57000000000001</v>
      </c>
      <c r="AO6" s="71">
        <f t="shared" ref="AO6:AO69" si="8">(P6/$AR$3+Q6/$AS$3+R6/$AT$3+S6/$AU$3+T6/$AV$3+U6/$AW$3+V6/$AX$3+W6/$AY$3+X6/$AZ$3+Y6/$BA$3+Z6/$BB$3+AA6/$BC$3+AB6/$BD$3+AC6/$BE$3+AD6/$BF$3+AE6/$BG$3+AF6/$BH$3+AG6/$BI$3+AH6/$BJ$3+AI6/$BK$3+AJ6/$BL$3+AL6/$BN$3+AK6/$BM$3)</f>
        <v>1.5676612700243697</v>
      </c>
      <c r="AQ6" s="97" t="str">
        <f t="shared" ref="AQ6:AQ69" si="9">O6</f>
        <v>RhA</v>
      </c>
      <c r="AR6" s="73">
        <f t="shared" ref="AR6:AR40" si="10">100*P6/$AR$3/$AO6</f>
        <v>82.422813143014224</v>
      </c>
      <c r="AS6" s="73">
        <f t="shared" ref="AS6:AS40" si="11">100*Q6/$AS$3/$AO6</f>
        <v>0</v>
      </c>
      <c r="AT6" s="73">
        <f t="shared" ref="AT6:AT40" si="12">100*R6/$AT$3/$AO6</f>
        <v>8.7820049359579211E-2</v>
      </c>
      <c r="AU6" s="73">
        <f t="shared" ref="AU6:AU40" si="13">100*S6/$AU$3/$AO6</f>
        <v>0</v>
      </c>
      <c r="AV6" s="73">
        <f t="shared" ref="AV6:AV40" si="14">100*T6/$AV$3/$AO6</f>
        <v>7.9642768416277994</v>
      </c>
      <c r="AW6" s="73">
        <f t="shared" ref="AW6:AW40" si="15">100*U6/$AW$3/$AO6</f>
        <v>0</v>
      </c>
      <c r="AX6" s="73">
        <f t="shared" ref="AX6:AX40" si="16">100*V6/$AX$3/$AO6</f>
        <v>0</v>
      </c>
      <c r="AY6" s="73">
        <f t="shared" ref="AY6:AY40" si="17">100*W6/$AY$3/$AO6</f>
        <v>2.69007028402683</v>
      </c>
      <c r="AZ6" s="73">
        <f t="shared" ref="AZ6:AZ40" si="18">100*X6/$AZ$3/$AO6</f>
        <v>2.6976017929993514E-2</v>
      </c>
      <c r="BA6" s="73">
        <f t="shared" ref="BA6:BA40" si="19">100*Y6/$BA$3/$AO6</f>
        <v>9.4948087916335397E-2</v>
      </c>
      <c r="BB6" s="73">
        <f t="shared" ref="BB6:BB40" si="20">100*Z6/$BB$3/$AO6</f>
        <v>1.0464719537550171</v>
      </c>
      <c r="BC6" s="73">
        <f t="shared" ref="BC6:BC40" si="21">100*AA6/$BC$3/$AO6</f>
        <v>0</v>
      </c>
      <c r="BD6" s="73">
        <f t="shared" ref="BD6:BD40" si="22">100*AB6/$BD$3/$AO6</f>
        <v>0</v>
      </c>
      <c r="BE6" s="73">
        <f t="shared" ref="BE6:BE40" si="23">100*AC6/$BE$3/$AO6</f>
        <v>0</v>
      </c>
      <c r="BF6" s="73">
        <f t="shared" ref="BF6:BF40" si="24">100*AD6/$BF$3/$AO6</f>
        <v>0</v>
      </c>
      <c r="BG6" s="73">
        <f t="shared" ref="BG6:BG40" si="25">100*AE6/$BG$3/$AO6</f>
        <v>4.5696103480018326</v>
      </c>
      <c r="BH6" s="73">
        <f t="shared" ref="BH6:BH40" si="26">100*AF6/$BH$3/$AO6</f>
        <v>1.0970132743683858</v>
      </c>
      <c r="BI6" s="73">
        <f t="shared" ref="BI6:BI40" si="27">100*AG6/$BI$3/$AO6</f>
        <v>0</v>
      </c>
      <c r="BJ6" s="73">
        <f t="shared" ref="BJ6:BJ40" si="28">100*AH6/$BJ$3/$AO6</f>
        <v>0</v>
      </c>
      <c r="BK6" s="73">
        <f t="shared" ref="BK6:BK40" si="29">100*AI6/$BK$3/$AO6</f>
        <v>0</v>
      </c>
      <c r="BL6" s="73">
        <f t="shared" ref="BL6:BL40" si="30">100*AJ6/$BL$3/$AO6</f>
        <v>0</v>
      </c>
      <c r="BM6" s="73">
        <f t="shared" ref="BM6:BM69" si="31">100*AK6/$BM$3/$AO6</f>
        <v>0</v>
      </c>
      <c r="BN6" s="73">
        <f t="shared" ref="BN6:BN40" si="32">100*AL6/$BN$3/$AO6</f>
        <v>0</v>
      </c>
      <c r="BQ6">
        <f t="shared" si="3"/>
        <v>49.519626136322948</v>
      </c>
      <c r="BR6">
        <f t="shared" ref="BR6:BR89" si="33">(AS6/100)*$AS$3</f>
        <v>0</v>
      </c>
      <c r="BS6">
        <f t="shared" ref="BS6:BS89" si="34">(AT6/100)*$AT$3</f>
        <v>7.01682194383038E-2</v>
      </c>
      <c r="BT6">
        <f t="shared" ref="BT6:BT89" si="35">(AU6/100)*$AU$3</f>
        <v>0</v>
      </c>
      <c r="BU6">
        <f t="shared" ref="BU6:BU89" si="36">(AV6/100)*$AV$3</f>
        <v>8.1203766677237024</v>
      </c>
      <c r="BV6">
        <f t="shared" ref="BV6:BV89" si="37">(AW6/100)*$AW$3</f>
        <v>0</v>
      </c>
      <c r="BW6">
        <f t="shared" ref="BW6:BW89" si="38">(AX6/100)*$AX$3</f>
        <v>0</v>
      </c>
      <c r="BX6">
        <f t="shared" ref="BX6:BX89" si="39">(AY6/100)*$AY$3</f>
        <v>1.9328154990732773</v>
      </c>
      <c r="BY6">
        <f t="shared" ref="BY6:BY89" si="40">(AZ6/100)*$AZ$3</f>
        <v>1.91367871195374E-2</v>
      </c>
      <c r="BZ6">
        <f t="shared" ref="BZ6:BZ89" si="41">(BA6/100)*$BA$3</f>
        <v>3.8273574239074799E-2</v>
      </c>
      <c r="CA6">
        <f t="shared" ref="CA6:CA89" si="42">(BB6/100)*$BB$3</f>
        <v>0.58686147166581359</v>
      </c>
      <c r="CB6">
        <f t="shared" ref="CB6:CB89" si="43">(BC6/100)*$BC$3</f>
        <v>0</v>
      </c>
      <c r="CC6">
        <f t="shared" ref="CC6:CC89" si="44">(BD6/100)*$BD$3</f>
        <v>0</v>
      </c>
      <c r="CD6">
        <f t="shared" ref="CD6:CD89" si="45">(BE6/100)*$BE$3</f>
        <v>0</v>
      </c>
      <c r="CE6">
        <f t="shared" ref="CE6:CE89" si="46">(BF6/100)*$BF$3</f>
        <v>0</v>
      </c>
      <c r="CF6">
        <f t="shared" ref="CF6:CF89" si="47">(BG6/100)*$BG$3</f>
        <v>2.8322444936915359</v>
      </c>
      <c r="CG6">
        <f t="shared" ref="CG6:CG89" si="48">(BH6/100)*$BH$3</f>
        <v>1.0333865044550195</v>
      </c>
      <c r="CH6">
        <f t="shared" ref="CH6:CH89" si="49">(BI6/100)*$BI$3</f>
        <v>0</v>
      </c>
      <c r="CI6">
        <f t="shared" ref="CI6:CI89" si="50">(BJ6/100)*$BJ$3</f>
        <v>0</v>
      </c>
      <c r="CJ6">
        <f t="shared" ref="CJ6:CJ89" si="51">(BK6/100)*$BK$3</f>
        <v>0</v>
      </c>
      <c r="CK6">
        <f t="shared" ref="CK6:CK89" si="52">(BL6/100)*$BL$3</f>
        <v>0</v>
      </c>
      <c r="CL6">
        <f t="shared" ref="CL6:CL89" si="53">(BN6/100)*$BN$3</f>
        <v>0</v>
      </c>
      <c r="CN6">
        <f>SUM(BQ6:CL6)</f>
        <v>64.152889353729208</v>
      </c>
      <c r="CP6">
        <f t="shared" ref="CP6:CP89" si="54">(AR6/100)*$BQ$3</f>
        <v>2.4726843942904271</v>
      </c>
      <c r="CQ6">
        <f t="shared" ref="CQ6:CQ89" si="55">(AS6/100)*$BR$3</f>
        <v>0</v>
      </c>
      <c r="CR6">
        <f t="shared" ref="CR6:CR89" si="56">(AT6/100)*$BS$3</f>
        <v>2.6346014807873764E-3</v>
      </c>
      <c r="CS6">
        <f t="shared" ref="CS6:CS89" si="57">(AU6/100)*$BT$3</f>
        <v>0</v>
      </c>
      <c r="CT6">
        <f t="shared" ref="CT6:CT89" si="58">(AV6/100)*$BU$3</f>
        <v>0.39821384208138993</v>
      </c>
      <c r="CU6">
        <f t="shared" ref="CU6:CU89" si="59">(AW6/100)*$BV$3</f>
        <v>0</v>
      </c>
      <c r="CV6">
        <f t="shared" ref="CV6:CV89" si="60">(AX6/100)*$BW$3</f>
        <v>0</v>
      </c>
      <c r="CW6">
        <f t="shared" ref="CW6:CW89" si="61">(AY6/100)*$BX$3</f>
        <v>5.3801405680536603E-2</v>
      </c>
      <c r="CX6">
        <f t="shared" ref="CX6:CX89" si="62">(AZ6/100)*$BY$3</f>
        <v>5.3952035859987032E-4</v>
      </c>
      <c r="CY6">
        <f t="shared" ref="CY6:CY89" si="63">(BA6/100)*$BZ$3</f>
        <v>1.8989617583267079E-3</v>
      </c>
      <c r="CZ6">
        <f t="shared" ref="CZ6:CZ89" si="64">(BB6/100)*$CA$3</f>
        <v>2.0929439075100344E-2</v>
      </c>
      <c r="DA6">
        <f t="shared" ref="DA6:DA89" si="65">(BC6/100)*$CB$3</f>
        <v>0</v>
      </c>
      <c r="DB6">
        <f t="shared" ref="DB6:DB89" si="66">(BD6/100)*$CC$3</f>
        <v>0</v>
      </c>
      <c r="DC6">
        <f t="shared" ref="DC6:DC89" si="67">(BE6/100)*$CD$3</f>
        <v>0</v>
      </c>
      <c r="DD6">
        <f t="shared" ref="DD6:DD89" si="68">(BF6/100)*$CE$3</f>
        <v>0</v>
      </c>
      <c r="DE6">
        <f t="shared" ref="DE6:DE89" si="69">(BG6/100)*$CF$3</f>
        <v>0.13708831044005498</v>
      </c>
      <c r="DF6">
        <f t="shared" ref="DF6:DF89" si="70">(BH6/100)*$CG$3</f>
        <v>3.2910398231051574E-2</v>
      </c>
      <c r="DG6">
        <f t="shared" ref="DG6:DG89" si="71">(BI6/100)*$CH$3</f>
        <v>0</v>
      </c>
      <c r="DH6">
        <f t="shared" ref="DH6:DH89" si="72">(BJ6/100)*$CI$3</f>
        <v>0</v>
      </c>
      <c r="DI6">
        <f t="shared" ref="DI6:DI89" si="73">(BK6/100)*$CJ$3</f>
        <v>0</v>
      </c>
      <c r="DJ6">
        <f t="shared" ref="DJ6:DJ89" si="74">(BL6/100)*$CK$3</f>
        <v>0</v>
      </c>
      <c r="DK6">
        <f t="shared" ref="DK6:DK89" si="75">(BN6/100)*$CL$3</f>
        <v>0</v>
      </c>
      <c r="DM6">
        <f t="shared" ref="DM6:DM89" si="76">SUM(CP6:DK6)</f>
        <v>3.1207008733962747</v>
      </c>
    </row>
    <row r="7" spans="2:117">
      <c r="B7" s="45" t="s">
        <v>202</v>
      </c>
      <c r="C7" s="43">
        <v>2.2799999999999998</v>
      </c>
      <c r="D7" s="47">
        <v>1093</v>
      </c>
      <c r="E7" s="43">
        <v>27.1</v>
      </c>
      <c r="F7" s="43">
        <v>5869</v>
      </c>
      <c r="G7" s="43">
        <v>3610</v>
      </c>
      <c r="H7" s="43">
        <f t="shared" si="0"/>
        <v>2.1190670886846396E+22</v>
      </c>
      <c r="I7" s="43">
        <f t="shared" si="4"/>
        <v>6.6393946823644364E+22</v>
      </c>
      <c r="J7" s="42">
        <f t="shared" si="5"/>
        <v>78.534967080000001</v>
      </c>
      <c r="K7" s="42">
        <f t="shared" si="6"/>
        <v>29.713187999999995</v>
      </c>
      <c r="L7" s="42">
        <f t="shared" si="7"/>
        <v>87.413410164414017</v>
      </c>
      <c r="M7" s="79">
        <f t="shared" si="1"/>
        <v>83.731228559001025</v>
      </c>
      <c r="N7" s="79"/>
      <c r="O7" s="52" t="str">
        <f t="shared" si="2"/>
        <v>RhB</v>
      </c>
      <c r="P7" s="47">
        <v>77.28</v>
      </c>
      <c r="Q7" s="47"/>
      <c r="R7" s="47">
        <v>0.14000000000000001</v>
      </c>
      <c r="S7" s="47"/>
      <c r="T7" s="47">
        <v>13.39</v>
      </c>
      <c r="U7" s="47"/>
      <c r="V7" s="47"/>
      <c r="W7" s="47">
        <v>2.94</v>
      </c>
      <c r="X7" s="47">
        <v>0.02</v>
      </c>
      <c r="Y7" s="47">
        <v>0.06</v>
      </c>
      <c r="Z7" s="47">
        <v>0.75</v>
      </c>
      <c r="AA7" s="47"/>
      <c r="AB7" s="47"/>
      <c r="AC7" s="47"/>
      <c r="AD7" s="47"/>
      <c r="AE7" s="47">
        <v>2.71</v>
      </c>
      <c r="AF7" s="47">
        <v>3.61</v>
      </c>
      <c r="AG7" s="47"/>
      <c r="AH7" s="47"/>
      <c r="AI7" s="51">
        <v>0.03</v>
      </c>
      <c r="AJ7" s="51"/>
      <c r="AK7" s="51"/>
      <c r="AL7" s="51"/>
      <c r="AM7" s="86">
        <f t="shared" ref="AM7:AM49" si="77">SUM(P7:AI7)</f>
        <v>100.92999999999999</v>
      </c>
      <c r="AO7" s="71">
        <f t="shared" si="8"/>
        <v>1.5576837351819495</v>
      </c>
      <c r="AQ7" s="97" t="str">
        <f t="shared" si="9"/>
        <v>RhB</v>
      </c>
      <c r="AR7" s="73">
        <f t="shared" si="10"/>
        <v>82.576772443812203</v>
      </c>
      <c r="AS7" s="73">
        <f t="shared" si="11"/>
        <v>0</v>
      </c>
      <c r="AT7" s="73">
        <f t="shared" si="12"/>
        <v>0.11248690592462131</v>
      </c>
      <c r="AU7" s="73">
        <f t="shared" si="13"/>
        <v>0</v>
      </c>
      <c r="AV7" s="73">
        <f t="shared" si="14"/>
        <v>8.4308519909363095</v>
      </c>
      <c r="AW7" s="73">
        <f t="shared" si="15"/>
        <v>0</v>
      </c>
      <c r="AX7" s="73">
        <f t="shared" si="16"/>
        <v>0</v>
      </c>
      <c r="AY7" s="73">
        <f t="shared" si="17"/>
        <v>2.6268862832417823</v>
      </c>
      <c r="AZ7" s="73">
        <f t="shared" si="18"/>
        <v>1.8099206136729714E-2</v>
      </c>
      <c r="BA7" s="73">
        <f t="shared" si="19"/>
        <v>9.5556265195207588E-2</v>
      </c>
      <c r="BB7" s="73">
        <f t="shared" si="20"/>
        <v>0.85856656785369512</v>
      </c>
      <c r="BC7" s="73">
        <f t="shared" si="21"/>
        <v>0</v>
      </c>
      <c r="BD7" s="73">
        <f t="shared" si="22"/>
        <v>0</v>
      </c>
      <c r="BE7" s="73">
        <f t="shared" si="23"/>
        <v>0</v>
      </c>
      <c r="BF7" s="73">
        <f t="shared" si="24"/>
        <v>0</v>
      </c>
      <c r="BG7" s="73">
        <f t="shared" si="25"/>
        <v>2.8069742835191449</v>
      </c>
      <c r="BH7" s="73">
        <f t="shared" si="26"/>
        <v>2.4602373868662299</v>
      </c>
      <c r="BI7" s="73">
        <f t="shared" si="27"/>
        <v>0</v>
      </c>
      <c r="BJ7" s="73">
        <f t="shared" si="28"/>
        <v>0</v>
      </c>
      <c r="BK7" s="73">
        <f t="shared" si="29"/>
        <v>1.3568666514086296E-2</v>
      </c>
      <c r="BL7" s="73">
        <f t="shared" si="30"/>
        <v>0</v>
      </c>
      <c r="BM7" s="73">
        <f t="shared" si="31"/>
        <v>0</v>
      </c>
      <c r="BN7" s="73">
        <f t="shared" si="32"/>
        <v>0</v>
      </c>
      <c r="BQ7">
        <f t="shared" si="3"/>
        <v>49.61212488424237</v>
      </c>
      <c r="BR7">
        <f t="shared" si="33"/>
        <v>0</v>
      </c>
      <c r="BS7">
        <f t="shared" si="34"/>
        <v>8.9877037833772433E-2</v>
      </c>
      <c r="BT7">
        <f t="shared" si="35"/>
        <v>0</v>
      </c>
      <c r="BU7">
        <f t="shared" si="36"/>
        <v>8.5960966899586602</v>
      </c>
      <c r="BV7">
        <f t="shared" si="37"/>
        <v>0</v>
      </c>
      <c r="BW7">
        <f t="shared" si="38"/>
        <v>0</v>
      </c>
      <c r="BX7">
        <f t="shared" si="39"/>
        <v>1.8874177945092203</v>
      </c>
      <c r="BY7">
        <f t="shared" si="40"/>
        <v>1.2839576833396059E-2</v>
      </c>
      <c r="BZ7">
        <f t="shared" si="41"/>
        <v>3.8518730500188177E-2</v>
      </c>
      <c r="CA7">
        <f t="shared" si="42"/>
        <v>0.48148413125235223</v>
      </c>
      <c r="CB7">
        <f t="shared" si="43"/>
        <v>0</v>
      </c>
      <c r="CC7">
        <f t="shared" si="44"/>
        <v>0</v>
      </c>
      <c r="CD7">
        <f t="shared" si="45"/>
        <v>0</v>
      </c>
      <c r="CE7">
        <f t="shared" si="46"/>
        <v>0</v>
      </c>
      <c r="CF7">
        <f t="shared" si="47"/>
        <v>1.739762660925166</v>
      </c>
      <c r="CG7">
        <f t="shared" si="48"/>
        <v>2.3175436184279885</v>
      </c>
      <c r="CH7">
        <f t="shared" si="49"/>
        <v>0</v>
      </c>
      <c r="CI7">
        <f t="shared" si="50"/>
        <v>0</v>
      </c>
      <c r="CJ7">
        <f t="shared" si="51"/>
        <v>1.9259365250094088E-2</v>
      </c>
      <c r="CK7">
        <f t="shared" si="52"/>
        <v>0</v>
      </c>
      <c r="CL7">
        <f t="shared" si="53"/>
        <v>0</v>
      </c>
      <c r="CN7">
        <f t="shared" ref="CN7:CN89" si="78">SUM(BQ7:CL7)</f>
        <v>64.794924489733205</v>
      </c>
      <c r="CP7">
        <f t="shared" si="54"/>
        <v>2.4773031733143664</v>
      </c>
      <c r="CQ7">
        <f t="shared" si="55"/>
        <v>0</v>
      </c>
      <c r="CR7">
        <f t="shared" si="56"/>
        <v>3.3746071777386393E-3</v>
      </c>
      <c r="CS7">
        <f t="shared" si="57"/>
        <v>0</v>
      </c>
      <c r="CT7">
        <f t="shared" si="58"/>
        <v>0.4215425995468155</v>
      </c>
      <c r="CU7">
        <f t="shared" si="59"/>
        <v>0</v>
      </c>
      <c r="CV7">
        <f t="shared" si="60"/>
        <v>0</v>
      </c>
      <c r="CW7">
        <f t="shared" si="61"/>
        <v>5.2537725664835645E-2</v>
      </c>
      <c r="CX7">
        <f t="shared" si="62"/>
        <v>3.6198412273459428E-4</v>
      </c>
      <c r="CY7">
        <f t="shared" si="63"/>
        <v>1.9111253039041517E-3</v>
      </c>
      <c r="CZ7">
        <f t="shared" si="64"/>
        <v>1.7171331357073903E-2</v>
      </c>
      <c r="DA7">
        <f t="shared" si="65"/>
        <v>0</v>
      </c>
      <c r="DB7">
        <f t="shared" si="66"/>
        <v>0</v>
      </c>
      <c r="DC7">
        <f t="shared" si="67"/>
        <v>0</v>
      </c>
      <c r="DD7">
        <f t="shared" si="68"/>
        <v>0</v>
      </c>
      <c r="DE7">
        <f t="shared" si="69"/>
        <v>8.4209228505574343E-2</v>
      </c>
      <c r="DF7">
        <f t="shared" si="70"/>
        <v>7.3807121605986903E-2</v>
      </c>
      <c r="DG7">
        <f t="shared" si="71"/>
        <v>0</v>
      </c>
      <c r="DH7">
        <f t="shared" si="72"/>
        <v>0</v>
      </c>
      <c r="DI7">
        <f t="shared" si="73"/>
        <v>9.4980665598604064E-4</v>
      </c>
      <c r="DJ7">
        <f t="shared" si="74"/>
        <v>0</v>
      </c>
      <c r="DK7">
        <f t="shared" si="75"/>
        <v>0</v>
      </c>
      <c r="DM7">
        <f t="shared" si="76"/>
        <v>3.1331687032550168</v>
      </c>
    </row>
    <row r="8" spans="2:117">
      <c r="B8" s="45" t="s">
        <v>114</v>
      </c>
      <c r="C8" s="43">
        <v>2.29</v>
      </c>
      <c r="D8" s="47">
        <v>1097.4000000000001</v>
      </c>
      <c r="E8" s="43">
        <v>27.2</v>
      </c>
      <c r="F8" s="43">
        <v>5810</v>
      </c>
      <c r="G8" s="43">
        <v>3595</v>
      </c>
      <c r="H8" s="43">
        <f t="shared" si="0"/>
        <v>2.131267782249898E+22</v>
      </c>
      <c r="I8" s="43">
        <f t="shared" si="4"/>
        <v>6.6477429584707684E+22</v>
      </c>
      <c r="J8" s="42">
        <f t="shared" si="5"/>
        <v>77.301468999999997</v>
      </c>
      <c r="K8" s="42">
        <f t="shared" si="6"/>
        <v>29.596017249999999</v>
      </c>
      <c r="L8" s="42">
        <f t="shared" si="7"/>
        <v>87.051959437945627</v>
      </c>
      <c r="M8" s="79">
        <f t="shared" si="1"/>
        <v>83.372915945956862</v>
      </c>
      <c r="N8" s="79"/>
      <c r="O8" s="52" t="str">
        <f t="shared" si="2"/>
        <v>RhD</v>
      </c>
      <c r="P8" s="47">
        <v>76.83</v>
      </c>
      <c r="Q8" s="47"/>
      <c r="R8" s="47">
        <v>0.11</v>
      </c>
      <c r="S8" s="47"/>
      <c r="T8" s="47">
        <v>12.43</v>
      </c>
      <c r="U8" s="47"/>
      <c r="V8" s="47"/>
      <c r="W8" s="47">
        <v>2.96</v>
      </c>
      <c r="X8" s="47">
        <v>0.05</v>
      </c>
      <c r="Y8" s="47">
        <v>7.0000000000000007E-2</v>
      </c>
      <c r="Z8" s="47">
        <v>0.9</v>
      </c>
      <c r="AA8" s="47"/>
      <c r="AB8" s="47"/>
      <c r="AC8" s="47"/>
      <c r="AD8" s="47"/>
      <c r="AE8" s="47">
        <v>2.93</v>
      </c>
      <c r="AF8" s="47">
        <v>4.29</v>
      </c>
      <c r="AG8" s="47"/>
      <c r="AH8" s="47"/>
      <c r="AI8" s="51">
        <v>0.04</v>
      </c>
      <c r="AJ8" s="51"/>
      <c r="AK8" s="51"/>
      <c r="AL8" s="51"/>
      <c r="AM8" s="86">
        <f t="shared" si="77"/>
        <v>100.61000000000001</v>
      </c>
      <c r="AO8" s="71">
        <f t="shared" si="8"/>
        <v>1.5548655415821455</v>
      </c>
      <c r="AQ8" s="97" t="str">
        <f t="shared" si="9"/>
        <v>RhD</v>
      </c>
      <c r="AR8" s="73">
        <f t="shared" si="10"/>
        <v>82.244728298413648</v>
      </c>
      <c r="AS8" s="73">
        <f t="shared" si="11"/>
        <v>0</v>
      </c>
      <c r="AT8" s="73">
        <f t="shared" si="12"/>
        <v>8.8542762335933722E-2</v>
      </c>
      <c r="AU8" s="73">
        <f t="shared" si="13"/>
        <v>0</v>
      </c>
      <c r="AV8" s="73">
        <f t="shared" si="14"/>
        <v>7.8405849186195065</v>
      </c>
      <c r="AW8" s="73">
        <f t="shared" si="15"/>
        <v>0</v>
      </c>
      <c r="AX8" s="73">
        <f t="shared" si="16"/>
        <v>0</v>
      </c>
      <c r="AY8" s="73">
        <f t="shared" si="17"/>
        <v>2.6495498783447426</v>
      </c>
      <c r="AZ8" s="73">
        <f t="shared" si="18"/>
        <v>4.5330027363976635E-2</v>
      </c>
      <c r="BA8" s="73">
        <f t="shared" si="19"/>
        <v>0.11168437106625412</v>
      </c>
      <c r="BB8" s="73">
        <f t="shared" si="20"/>
        <v>1.0321472635807605</v>
      </c>
      <c r="BC8" s="73">
        <f t="shared" si="21"/>
        <v>0</v>
      </c>
      <c r="BD8" s="73">
        <f t="shared" si="22"/>
        <v>0</v>
      </c>
      <c r="BE8" s="73">
        <f t="shared" si="23"/>
        <v>0</v>
      </c>
      <c r="BF8" s="73">
        <f t="shared" si="24"/>
        <v>0</v>
      </c>
      <c r="BG8" s="73">
        <f t="shared" si="25"/>
        <v>3.0403473939068966</v>
      </c>
      <c r="BH8" s="73">
        <f t="shared" si="26"/>
        <v>2.9289607400743427</v>
      </c>
      <c r="BI8" s="73">
        <f t="shared" si="27"/>
        <v>0</v>
      </c>
      <c r="BJ8" s="73">
        <f t="shared" si="28"/>
        <v>0</v>
      </c>
      <c r="BK8" s="73">
        <f t="shared" si="29"/>
        <v>1.8124346293929842E-2</v>
      </c>
      <c r="BL8" s="73">
        <f t="shared" si="30"/>
        <v>0</v>
      </c>
      <c r="BM8" s="73">
        <f t="shared" si="31"/>
        <v>0</v>
      </c>
      <c r="BN8" s="73">
        <f t="shared" si="32"/>
        <v>0</v>
      </c>
      <c r="BQ8">
        <f t="shared" si="3"/>
        <v>49.412632761686922</v>
      </c>
      <c r="BR8">
        <f t="shared" si="33"/>
        <v>0</v>
      </c>
      <c r="BS8">
        <f t="shared" si="34"/>
        <v>7.0745667106411045E-2</v>
      </c>
      <c r="BT8">
        <f t="shared" si="35"/>
        <v>0</v>
      </c>
      <c r="BU8">
        <f t="shared" si="36"/>
        <v>7.9942603830244474</v>
      </c>
      <c r="BV8">
        <f t="shared" si="37"/>
        <v>0</v>
      </c>
      <c r="BW8">
        <f t="shared" si="38"/>
        <v>0</v>
      </c>
      <c r="BX8">
        <f t="shared" si="39"/>
        <v>1.9037015875906975</v>
      </c>
      <c r="BY8">
        <f t="shared" si="40"/>
        <v>3.2157121412005024E-2</v>
      </c>
      <c r="BZ8">
        <f t="shared" si="41"/>
        <v>4.5019969976807038E-2</v>
      </c>
      <c r="CA8">
        <f t="shared" si="42"/>
        <v>0.57882818541609049</v>
      </c>
      <c r="CB8">
        <f t="shared" si="43"/>
        <v>0</v>
      </c>
      <c r="CC8">
        <f t="shared" si="44"/>
        <v>0</v>
      </c>
      <c r="CD8">
        <f t="shared" si="45"/>
        <v>0</v>
      </c>
      <c r="CE8">
        <f t="shared" si="46"/>
        <v>0</v>
      </c>
      <c r="CF8">
        <f t="shared" si="47"/>
        <v>1.8844073147434943</v>
      </c>
      <c r="CG8">
        <f t="shared" si="48"/>
        <v>2.7590810171500308</v>
      </c>
      <c r="CH8">
        <f t="shared" si="49"/>
        <v>0</v>
      </c>
      <c r="CI8">
        <f t="shared" si="50"/>
        <v>0</v>
      </c>
      <c r="CJ8">
        <f t="shared" si="51"/>
        <v>2.5725697129604017E-2</v>
      </c>
      <c r="CK8">
        <f t="shared" si="52"/>
        <v>0</v>
      </c>
      <c r="CL8">
        <f t="shared" si="53"/>
        <v>0</v>
      </c>
      <c r="CN8">
        <f t="shared" si="78"/>
        <v>64.706559705236501</v>
      </c>
      <c r="CP8">
        <f t="shared" si="54"/>
        <v>2.4673418489524095</v>
      </c>
      <c r="CQ8">
        <f t="shared" si="55"/>
        <v>0</v>
      </c>
      <c r="CR8">
        <f t="shared" si="56"/>
        <v>2.6562828700780116E-3</v>
      </c>
      <c r="CS8">
        <f t="shared" si="57"/>
        <v>0</v>
      </c>
      <c r="CT8">
        <f t="shared" si="58"/>
        <v>0.39202924593097532</v>
      </c>
      <c r="CU8">
        <f t="shared" si="59"/>
        <v>0</v>
      </c>
      <c r="CV8">
        <f t="shared" si="60"/>
        <v>0</v>
      </c>
      <c r="CW8">
        <f t="shared" si="61"/>
        <v>5.2990997566894855E-2</v>
      </c>
      <c r="CX8">
        <f t="shared" si="62"/>
        <v>9.066005472795327E-4</v>
      </c>
      <c r="CY8">
        <f t="shared" si="63"/>
        <v>2.2336874213250823E-3</v>
      </c>
      <c r="CZ8">
        <f t="shared" si="64"/>
        <v>2.0642945271615209E-2</v>
      </c>
      <c r="DA8">
        <f t="shared" si="65"/>
        <v>0</v>
      </c>
      <c r="DB8">
        <f t="shared" si="66"/>
        <v>0</v>
      </c>
      <c r="DC8">
        <f t="shared" si="67"/>
        <v>0</v>
      </c>
      <c r="DD8">
        <f t="shared" si="68"/>
        <v>0</v>
      </c>
      <c r="DE8">
        <f t="shared" si="69"/>
        <v>9.1210421817206899E-2</v>
      </c>
      <c r="DF8">
        <f t="shared" si="70"/>
        <v>8.7868822202230273E-2</v>
      </c>
      <c r="DG8">
        <f t="shared" si="71"/>
        <v>0</v>
      </c>
      <c r="DH8">
        <f t="shared" si="72"/>
        <v>0</v>
      </c>
      <c r="DI8">
        <f t="shared" si="73"/>
        <v>1.268704240575089E-3</v>
      </c>
      <c r="DJ8">
        <f t="shared" si="74"/>
        <v>0</v>
      </c>
      <c r="DK8">
        <f t="shared" si="75"/>
        <v>0</v>
      </c>
      <c r="DM8">
        <f t="shared" si="76"/>
        <v>3.1191495568205894</v>
      </c>
    </row>
    <row r="9" spans="2:117">
      <c r="B9" s="45" t="s">
        <v>117</v>
      </c>
      <c r="C9" s="43">
        <v>2.31</v>
      </c>
      <c r="D9" s="47">
        <v>1108</v>
      </c>
      <c r="E9" s="43">
        <v>26.9</v>
      </c>
      <c r="F9" s="43">
        <v>5773</v>
      </c>
      <c r="G9" s="43">
        <v>3550</v>
      </c>
      <c r="H9" s="43">
        <f t="shared" si="0"/>
        <v>2.1199287536394336E+22</v>
      </c>
      <c r="I9" s="43">
        <f t="shared" si="4"/>
        <v>6.648380088072812E+22</v>
      </c>
      <c r="J9" s="42">
        <f t="shared" si="5"/>
        <v>76.986591989999994</v>
      </c>
      <c r="K9" s="42">
        <f t="shared" si="6"/>
        <v>29.111775000000002</v>
      </c>
      <c r="L9" s="42">
        <f t="shared" si="7"/>
        <v>85.608469266867729</v>
      </c>
      <c r="M9" s="79">
        <f t="shared" si="1"/>
        <v>81.919670201071597</v>
      </c>
      <c r="N9" s="79"/>
      <c r="O9" s="52" t="str">
        <f t="shared" si="2"/>
        <v>RhE</v>
      </c>
      <c r="P9" s="47">
        <v>75.33</v>
      </c>
      <c r="Q9" s="47"/>
      <c r="R9" s="47">
        <v>0.12</v>
      </c>
      <c r="S9" s="47"/>
      <c r="T9" s="47">
        <v>13.61</v>
      </c>
      <c r="U9" s="47"/>
      <c r="V9" s="47"/>
      <c r="W9" s="47">
        <v>2.93</v>
      </c>
      <c r="X9" s="47">
        <v>0.03</v>
      </c>
      <c r="Y9" s="47">
        <v>7.0000000000000007E-2</v>
      </c>
      <c r="Z9" s="47">
        <v>0.88</v>
      </c>
      <c r="AA9" s="47"/>
      <c r="AB9" s="47"/>
      <c r="AC9" s="47"/>
      <c r="AD9" s="47"/>
      <c r="AE9" s="47">
        <v>1.41</v>
      </c>
      <c r="AF9" s="47">
        <v>6.8</v>
      </c>
      <c r="AG9" s="47"/>
      <c r="AH9" s="47"/>
      <c r="AI9" s="51">
        <v>0.06</v>
      </c>
      <c r="AJ9" s="51"/>
      <c r="AK9" s="51"/>
      <c r="AL9" s="51"/>
      <c r="AM9" s="86">
        <f t="shared" si="77"/>
        <v>101.24</v>
      </c>
      <c r="AO9" s="71">
        <f t="shared" si="8"/>
        <v>1.5428033544565165</v>
      </c>
      <c r="AQ9" s="97" t="str">
        <f t="shared" si="9"/>
        <v>RhE</v>
      </c>
      <c r="AR9" s="73">
        <f t="shared" si="10"/>
        <v>81.269477759830835</v>
      </c>
      <c r="AS9" s="73">
        <f t="shared" si="11"/>
        <v>0</v>
      </c>
      <c r="AT9" s="73">
        <f t="shared" si="12"/>
        <v>9.7347295904241835E-2</v>
      </c>
      <c r="AU9" s="73">
        <f t="shared" si="13"/>
        <v>0</v>
      </c>
      <c r="AV9" s="73">
        <f t="shared" si="14"/>
        <v>8.6520241688581176</v>
      </c>
      <c r="AW9" s="73">
        <f t="shared" si="15"/>
        <v>0</v>
      </c>
      <c r="AX9" s="73">
        <f t="shared" si="16"/>
        <v>0</v>
      </c>
      <c r="AY9" s="73">
        <f t="shared" si="17"/>
        <v>2.6432015080322833</v>
      </c>
      <c r="AZ9" s="73">
        <f t="shared" si="18"/>
        <v>2.7410660215495219E-2</v>
      </c>
      <c r="BA9" s="73">
        <f t="shared" si="19"/>
        <v>0.11255755933027879</v>
      </c>
      <c r="BB9" s="73">
        <f t="shared" si="20"/>
        <v>1.0171010267503346</v>
      </c>
      <c r="BC9" s="73">
        <f t="shared" si="21"/>
        <v>0</v>
      </c>
      <c r="BD9" s="73">
        <f t="shared" si="22"/>
        <v>0</v>
      </c>
      <c r="BE9" s="73">
        <f t="shared" si="23"/>
        <v>0</v>
      </c>
      <c r="BF9" s="73">
        <f t="shared" si="24"/>
        <v>0</v>
      </c>
      <c r="BG9" s="73">
        <f t="shared" si="25"/>
        <v>1.4745413855646958</v>
      </c>
      <c r="BH9" s="73">
        <f t="shared" si="26"/>
        <v>4.6789395621631877</v>
      </c>
      <c r="BI9" s="73">
        <f t="shared" si="27"/>
        <v>0</v>
      </c>
      <c r="BJ9" s="73">
        <f t="shared" si="28"/>
        <v>0</v>
      </c>
      <c r="BK9" s="73">
        <f t="shared" si="29"/>
        <v>2.7399073350531645E-2</v>
      </c>
      <c r="BL9" s="73">
        <f t="shared" si="30"/>
        <v>0</v>
      </c>
      <c r="BM9" s="73">
        <f t="shared" si="31"/>
        <v>0</v>
      </c>
      <c r="BN9" s="73">
        <f t="shared" si="32"/>
        <v>0</v>
      </c>
      <c r="BQ9">
        <f t="shared" si="3"/>
        <v>48.826702238106364</v>
      </c>
      <c r="BR9">
        <f t="shared" si="33"/>
        <v>0</v>
      </c>
      <c r="BS9">
        <f t="shared" si="34"/>
        <v>7.7780489427489233E-2</v>
      </c>
      <c r="BT9">
        <f t="shared" si="35"/>
        <v>0</v>
      </c>
      <c r="BU9">
        <f t="shared" si="36"/>
        <v>8.8216038425677361</v>
      </c>
      <c r="BV9">
        <f t="shared" si="37"/>
        <v>0</v>
      </c>
      <c r="BW9">
        <f t="shared" si="38"/>
        <v>0</v>
      </c>
      <c r="BX9">
        <f t="shared" si="39"/>
        <v>1.8991402835211952</v>
      </c>
      <c r="BY9">
        <f t="shared" si="40"/>
        <v>1.9445122356872308E-2</v>
      </c>
      <c r="BZ9">
        <f t="shared" si="41"/>
        <v>4.5371952166035387E-2</v>
      </c>
      <c r="CA9">
        <f t="shared" si="42"/>
        <v>0.57039025580158764</v>
      </c>
      <c r="CB9">
        <f t="shared" si="43"/>
        <v>0</v>
      </c>
      <c r="CC9">
        <f t="shared" si="44"/>
        <v>0</v>
      </c>
      <c r="CD9">
        <f t="shared" si="45"/>
        <v>0</v>
      </c>
      <c r="CE9">
        <f t="shared" si="46"/>
        <v>0</v>
      </c>
      <c r="CF9">
        <f t="shared" si="47"/>
        <v>0.91392075077299839</v>
      </c>
      <c r="CG9">
        <f t="shared" si="48"/>
        <v>4.4075610675577224</v>
      </c>
      <c r="CH9">
        <f t="shared" si="49"/>
        <v>0</v>
      </c>
      <c r="CI9">
        <f t="shared" si="50"/>
        <v>0</v>
      </c>
      <c r="CJ9">
        <f t="shared" si="51"/>
        <v>3.8890244713744616E-2</v>
      </c>
      <c r="CK9">
        <f t="shared" si="52"/>
        <v>0</v>
      </c>
      <c r="CL9">
        <f t="shared" si="53"/>
        <v>0</v>
      </c>
      <c r="CN9">
        <f t="shared" si="78"/>
        <v>65.620806246991748</v>
      </c>
      <c r="CP9">
        <f t="shared" si="54"/>
        <v>2.4380843327949249</v>
      </c>
      <c r="CQ9">
        <f t="shared" si="55"/>
        <v>0</v>
      </c>
      <c r="CR9">
        <f t="shared" si="56"/>
        <v>2.9204188771272551E-3</v>
      </c>
      <c r="CS9">
        <f t="shared" si="57"/>
        <v>0</v>
      </c>
      <c r="CT9">
        <f t="shared" si="58"/>
        <v>0.43260120844290589</v>
      </c>
      <c r="CU9">
        <f t="shared" si="59"/>
        <v>0</v>
      </c>
      <c r="CV9">
        <f t="shared" si="60"/>
        <v>0</v>
      </c>
      <c r="CW9">
        <f t="shared" si="61"/>
        <v>5.2864030160645663E-2</v>
      </c>
      <c r="CX9">
        <f t="shared" si="62"/>
        <v>5.4821320430990437E-4</v>
      </c>
      <c r="CY9">
        <f t="shared" si="63"/>
        <v>2.2511511866055759E-3</v>
      </c>
      <c r="CZ9">
        <f t="shared" si="64"/>
        <v>2.0342020535006694E-2</v>
      </c>
      <c r="DA9">
        <f t="shared" si="65"/>
        <v>0</v>
      </c>
      <c r="DB9">
        <f t="shared" si="66"/>
        <v>0</v>
      </c>
      <c r="DC9">
        <f t="shared" si="67"/>
        <v>0</v>
      </c>
      <c r="DD9">
        <f t="shared" si="68"/>
        <v>0</v>
      </c>
      <c r="DE9">
        <f t="shared" si="69"/>
        <v>4.4236241566940879E-2</v>
      </c>
      <c r="DF9">
        <f t="shared" si="70"/>
        <v>0.14036818686489563</v>
      </c>
      <c r="DG9">
        <f t="shared" si="71"/>
        <v>0</v>
      </c>
      <c r="DH9">
        <f t="shared" si="72"/>
        <v>0</v>
      </c>
      <c r="DI9">
        <f t="shared" si="73"/>
        <v>1.9179351345372151E-3</v>
      </c>
      <c r="DJ9">
        <f t="shared" si="74"/>
        <v>0</v>
      </c>
      <c r="DK9">
        <f t="shared" si="75"/>
        <v>0</v>
      </c>
      <c r="DM9">
        <f t="shared" si="76"/>
        <v>3.1361337387678998</v>
      </c>
    </row>
    <row r="10" spans="2:117">
      <c r="B10" s="45" t="s">
        <v>113</v>
      </c>
      <c r="C10" s="43">
        <v>2.4</v>
      </c>
      <c r="D10" s="47">
        <v>992.1</v>
      </c>
      <c r="E10" s="43">
        <v>26.9</v>
      </c>
      <c r="F10" s="43">
        <v>5870</v>
      </c>
      <c r="G10" s="43">
        <v>3581</v>
      </c>
      <c r="H10" s="43">
        <f t="shared" si="0"/>
        <v>2.2639756816863692E+22</v>
      </c>
      <c r="I10" s="43">
        <f t="shared" si="4"/>
        <v>6.9279776374655755E+22</v>
      </c>
      <c r="J10" s="42">
        <f t="shared" si="5"/>
        <v>82.696560000000005</v>
      </c>
      <c r="K10" s="42">
        <f t="shared" si="6"/>
        <v>30.776546399999997</v>
      </c>
      <c r="L10" s="42">
        <f t="shared" si="7"/>
        <v>90.485445301042674</v>
      </c>
      <c r="M10" s="79">
        <f t="shared" si="1"/>
        <v>86.686229015658355</v>
      </c>
      <c r="N10" s="79"/>
      <c r="O10" s="52" t="str">
        <f t="shared" si="2"/>
        <v>RhJ</v>
      </c>
      <c r="P10" s="47">
        <v>73.75</v>
      </c>
      <c r="Q10" s="47"/>
      <c r="R10" s="47">
        <v>0.31</v>
      </c>
      <c r="S10" s="47"/>
      <c r="T10" s="47">
        <v>11.99</v>
      </c>
      <c r="U10" s="47"/>
      <c r="V10" s="47"/>
      <c r="W10" s="47">
        <v>3.31</v>
      </c>
      <c r="X10" s="47">
        <v>7.0000000000000007E-2</v>
      </c>
      <c r="Y10" s="47">
        <v>1.64</v>
      </c>
      <c r="Z10" s="47">
        <v>2.98</v>
      </c>
      <c r="AA10" s="47"/>
      <c r="AB10" s="47"/>
      <c r="AC10" s="47"/>
      <c r="AD10" s="47"/>
      <c r="AE10" s="47">
        <v>3.16</v>
      </c>
      <c r="AF10" s="47">
        <v>3.56</v>
      </c>
      <c r="AG10" s="47"/>
      <c r="AH10" s="47"/>
      <c r="AI10" s="50">
        <v>0.02</v>
      </c>
      <c r="AJ10" s="50"/>
      <c r="AK10" s="50"/>
      <c r="AL10" s="50"/>
      <c r="AM10" s="86">
        <f t="shared" si="77"/>
        <v>100.78999999999999</v>
      </c>
      <c r="AO10" s="71">
        <f t="shared" si="8"/>
        <v>1.5787999847034524</v>
      </c>
      <c r="AQ10" s="97" t="str">
        <f t="shared" si="9"/>
        <v>RhJ</v>
      </c>
      <c r="AR10" s="73">
        <f t="shared" si="10"/>
        <v>77.750821633294521</v>
      </c>
      <c r="AS10" s="73">
        <f t="shared" si="11"/>
        <v>0</v>
      </c>
      <c r="AT10" s="73">
        <f t="shared" si="12"/>
        <v>0.24574676018850403</v>
      </c>
      <c r="AU10" s="73">
        <f t="shared" si="13"/>
        <v>0</v>
      </c>
      <c r="AV10" s="73">
        <f t="shared" si="14"/>
        <v>7.4483871602825609</v>
      </c>
      <c r="AW10" s="73">
        <f t="shared" si="15"/>
        <v>0</v>
      </c>
      <c r="AX10" s="73">
        <f t="shared" si="16"/>
        <v>0</v>
      </c>
      <c r="AY10" s="73">
        <f t="shared" si="17"/>
        <v>2.917924884741665</v>
      </c>
      <c r="AZ10" s="73">
        <f t="shared" si="18"/>
        <v>6.2499960426998881E-2</v>
      </c>
      <c r="BA10" s="73">
        <f t="shared" si="19"/>
        <v>2.5769378020391009</v>
      </c>
      <c r="BB10" s="73">
        <f t="shared" si="20"/>
        <v>3.3657445063735674</v>
      </c>
      <c r="BC10" s="73">
        <f t="shared" si="21"/>
        <v>0</v>
      </c>
      <c r="BD10" s="73">
        <f t="shared" si="22"/>
        <v>0</v>
      </c>
      <c r="BE10" s="73">
        <f t="shared" si="23"/>
        <v>0</v>
      </c>
      <c r="BF10" s="73">
        <f t="shared" si="24"/>
        <v>0</v>
      </c>
      <c r="BG10" s="73">
        <f t="shared" si="25"/>
        <v>3.229300034320866</v>
      </c>
      <c r="BH10" s="73">
        <f t="shared" si="26"/>
        <v>2.3937124667851122</v>
      </c>
      <c r="BI10" s="73">
        <f t="shared" si="27"/>
        <v>0</v>
      </c>
      <c r="BJ10" s="73">
        <f t="shared" si="28"/>
        <v>0</v>
      </c>
      <c r="BK10" s="73">
        <f t="shared" si="29"/>
        <v>8.9247915471150803E-3</v>
      </c>
      <c r="BL10" s="73">
        <f t="shared" si="30"/>
        <v>0</v>
      </c>
      <c r="BM10" s="73">
        <f t="shared" si="31"/>
        <v>0</v>
      </c>
      <c r="BN10" s="73">
        <f t="shared" si="32"/>
        <v>0</v>
      </c>
      <c r="BQ10">
        <f t="shared" si="3"/>
        <v>46.712693637283344</v>
      </c>
      <c r="BR10">
        <f t="shared" si="33"/>
        <v>0</v>
      </c>
      <c r="BS10">
        <f t="shared" si="34"/>
        <v>0.19635166139061472</v>
      </c>
      <c r="BT10">
        <f t="shared" si="35"/>
        <v>0</v>
      </c>
      <c r="BU10">
        <f t="shared" si="36"/>
        <v>7.5943755486240976</v>
      </c>
      <c r="BV10">
        <f t="shared" si="37"/>
        <v>0</v>
      </c>
      <c r="BW10">
        <f t="shared" si="38"/>
        <v>0</v>
      </c>
      <c r="BX10">
        <f t="shared" si="39"/>
        <v>2.0965290296868861</v>
      </c>
      <c r="BY10">
        <f t="shared" si="40"/>
        <v>4.4337471926913008E-2</v>
      </c>
      <c r="BZ10">
        <f t="shared" si="41"/>
        <v>1.0387636280019616</v>
      </c>
      <c r="CA10">
        <f t="shared" si="42"/>
        <v>1.8875095191742963</v>
      </c>
      <c r="CB10">
        <f t="shared" si="43"/>
        <v>0</v>
      </c>
      <c r="CC10">
        <f t="shared" si="44"/>
        <v>0</v>
      </c>
      <c r="CD10">
        <f t="shared" si="45"/>
        <v>0</v>
      </c>
      <c r="CE10">
        <f t="shared" si="46"/>
        <v>0</v>
      </c>
      <c r="CF10">
        <f t="shared" si="47"/>
        <v>2.0015201612720723</v>
      </c>
      <c r="CG10">
        <f t="shared" si="48"/>
        <v>2.254877143711576</v>
      </c>
      <c r="CH10">
        <f t="shared" si="49"/>
        <v>0</v>
      </c>
      <c r="CI10">
        <f t="shared" si="50"/>
        <v>0</v>
      </c>
      <c r="CJ10">
        <f t="shared" si="51"/>
        <v>1.2667849121975144E-2</v>
      </c>
      <c r="CK10">
        <f t="shared" si="52"/>
        <v>0</v>
      </c>
      <c r="CL10">
        <f t="shared" si="53"/>
        <v>0</v>
      </c>
      <c r="CN10">
        <f t="shared" si="78"/>
        <v>63.839625650193739</v>
      </c>
      <c r="CP10">
        <f t="shared" si="54"/>
        <v>2.3325246489988354</v>
      </c>
      <c r="CQ10">
        <f t="shared" si="55"/>
        <v>0</v>
      </c>
      <c r="CR10">
        <f t="shared" si="56"/>
        <v>7.3724028056551209E-3</v>
      </c>
      <c r="CS10">
        <f t="shared" si="57"/>
        <v>0</v>
      </c>
      <c r="CT10">
        <f t="shared" si="58"/>
        <v>0.37241935801412801</v>
      </c>
      <c r="CU10">
        <f t="shared" si="59"/>
        <v>0</v>
      </c>
      <c r="CV10">
        <f t="shared" si="60"/>
        <v>0</v>
      </c>
      <c r="CW10">
        <f t="shared" si="61"/>
        <v>5.8358497694833297E-2</v>
      </c>
      <c r="CX10">
        <f t="shared" si="62"/>
        <v>1.2499992085399777E-3</v>
      </c>
      <c r="CY10">
        <f t="shared" si="63"/>
        <v>5.1538756040782022E-2</v>
      </c>
      <c r="CZ10">
        <f t="shared" si="64"/>
        <v>6.7314890127471341E-2</v>
      </c>
      <c r="DA10">
        <f t="shared" si="65"/>
        <v>0</v>
      </c>
      <c r="DB10">
        <f t="shared" si="66"/>
        <v>0</v>
      </c>
      <c r="DC10">
        <f t="shared" si="67"/>
        <v>0</v>
      </c>
      <c r="DD10">
        <f t="shared" si="68"/>
        <v>0</v>
      </c>
      <c r="DE10">
        <f t="shared" si="69"/>
        <v>9.6879001029625975E-2</v>
      </c>
      <c r="DF10">
        <f t="shared" si="70"/>
        <v>7.1811374003553363E-2</v>
      </c>
      <c r="DG10">
        <f t="shared" si="71"/>
        <v>0</v>
      </c>
      <c r="DH10">
        <f t="shared" si="72"/>
        <v>0</v>
      </c>
      <c r="DI10">
        <f t="shared" si="73"/>
        <v>6.2473540829805559E-4</v>
      </c>
      <c r="DJ10">
        <f t="shared" si="74"/>
        <v>0</v>
      </c>
      <c r="DK10">
        <f t="shared" si="75"/>
        <v>0</v>
      </c>
      <c r="DM10">
        <f t="shared" si="76"/>
        <v>3.0600936633317226</v>
      </c>
    </row>
    <row r="11" spans="2:117">
      <c r="B11" s="45" t="s">
        <v>110</v>
      </c>
      <c r="C11" s="43">
        <v>2.6</v>
      </c>
      <c r="D11" s="47">
        <v>958.2</v>
      </c>
      <c r="E11" s="43">
        <v>33</v>
      </c>
      <c r="F11" s="43">
        <v>6150</v>
      </c>
      <c r="G11" s="43">
        <v>3608</v>
      </c>
      <c r="H11" s="43">
        <f t="shared" si="0"/>
        <v>2.4222045532047226E+22</v>
      </c>
      <c r="I11" s="43">
        <f t="shared" si="4"/>
        <v>7.3502025143473347E+22</v>
      </c>
      <c r="J11" s="42">
        <f t="shared" si="5"/>
        <v>98.338499999999996</v>
      </c>
      <c r="K11" s="42">
        <f t="shared" si="6"/>
        <v>33.845926399999996</v>
      </c>
      <c r="L11" s="42">
        <f t="shared" si="7"/>
        <v>99.564694766435238</v>
      </c>
      <c r="M11" s="79">
        <f t="shared" si="1"/>
        <v>95.55043184677362</v>
      </c>
      <c r="N11" s="79"/>
      <c r="O11" s="52" t="str">
        <f t="shared" si="2"/>
        <v>MSA</v>
      </c>
      <c r="P11" s="47">
        <v>59.58</v>
      </c>
      <c r="Q11" s="47"/>
      <c r="R11" s="47">
        <v>0.57999999999999996</v>
      </c>
      <c r="S11" s="47"/>
      <c r="T11" s="47">
        <v>17.940000000000001</v>
      </c>
      <c r="U11" s="47"/>
      <c r="V11" s="47"/>
      <c r="W11" s="47">
        <v>6.28</v>
      </c>
      <c r="X11" s="47">
        <v>0.2</v>
      </c>
      <c r="Y11" s="47">
        <v>2.86</v>
      </c>
      <c r="Z11" s="47">
        <v>7.71</v>
      </c>
      <c r="AA11" s="47"/>
      <c r="AB11" s="47"/>
      <c r="AC11" s="47"/>
      <c r="AD11" s="47"/>
      <c r="AE11" s="47">
        <v>3.75</v>
      </c>
      <c r="AF11" s="47">
        <v>0.84</v>
      </c>
      <c r="AG11" s="47"/>
      <c r="AH11" s="47"/>
      <c r="AI11" s="50"/>
      <c r="AJ11" s="50"/>
      <c r="AK11" s="50"/>
      <c r="AL11" s="50"/>
      <c r="AM11" s="86">
        <f t="shared" si="77"/>
        <v>99.74</v>
      </c>
      <c r="AO11" s="71">
        <f t="shared" si="8"/>
        <v>1.5429646791585141</v>
      </c>
      <c r="AQ11" s="97" t="str">
        <f t="shared" si="9"/>
        <v>MSA</v>
      </c>
      <c r="AR11" s="73">
        <f t="shared" si="10"/>
        <v>64.270930914861935</v>
      </c>
      <c r="AS11" s="73">
        <f t="shared" si="11"/>
        <v>0</v>
      </c>
      <c r="AT11" s="73">
        <f t="shared" si="12"/>
        <v>0.47046273581983444</v>
      </c>
      <c r="AU11" s="73">
        <f t="shared" si="13"/>
        <v>0</v>
      </c>
      <c r="AV11" s="73">
        <f t="shared" si="14"/>
        <v>11.403459576787483</v>
      </c>
      <c r="AW11" s="73">
        <f t="shared" si="15"/>
        <v>0</v>
      </c>
      <c r="AX11" s="73">
        <f t="shared" si="16"/>
        <v>0</v>
      </c>
      <c r="AY11" s="73">
        <f t="shared" si="17"/>
        <v>5.6646996347224832</v>
      </c>
      <c r="AZ11" s="73">
        <f t="shared" si="18"/>
        <v>0.18271862862256005</v>
      </c>
      <c r="BA11" s="73">
        <f t="shared" si="19"/>
        <v>4.5982994556469121</v>
      </c>
      <c r="BB11" s="73">
        <f t="shared" si="20"/>
        <v>8.9102602404310609</v>
      </c>
      <c r="BC11" s="73">
        <f t="shared" si="21"/>
        <v>0</v>
      </c>
      <c r="BD11" s="73">
        <f t="shared" si="22"/>
        <v>0</v>
      </c>
      <c r="BE11" s="73">
        <f t="shared" si="23"/>
        <v>0</v>
      </c>
      <c r="BF11" s="73">
        <f t="shared" si="24"/>
        <v>0</v>
      </c>
      <c r="BG11" s="73">
        <f t="shared" si="25"/>
        <v>3.9212425927167258</v>
      </c>
      <c r="BH11" s="73">
        <f t="shared" si="26"/>
        <v>0.57792622039102459</v>
      </c>
      <c r="BI11" s="73">
        <f t="shared" si="27"/>
        <v>0</v>
      </c>
      <c r="BJ11" s="73">
        <f t="shared" si="28"/>
        <v>0</v>
      </c>
      <c r="BK11" s="73">
        <f t="shared" si="29"/>
        <v>0</v>
      </c>
      <c r="BL11" s="73">
        <f t="shared" si="30"/>
        <v>0</v>
      </c>
      <c r="BM11" s="73">
        <f t="shared" si="31"/>
        <v>0</v>
      </c>
      <c r="BN11" s="73">
        <f t="shared" si="32"/>
        <v>0</v>
      </c>
      <c r="BQ11">
        <f t="shared" si="3"/>
        <v>38.613975293649048</v>
      </c>
      <c r="BR11">
        <f t="shared" si="33"/>
        <v>0</v>
      </c>
      <c r="BS11">
        <f t="shared" si="34"/>
        <v>0.37589972592004778</v>
      </c>
      <c r="BT11">
        <f t="shared" si="35"/>
        <v>0</v>
      </c>
      <c r="BU11">
        <f t="shared" si="36"/>
        <v>11.626967384492518</v>
      </c>
      <c r="BV11">
        <f t="shared" si="37"/>
        <v>0</v>
      </c>
      <c r="BW11">
        <f t="shared" si="38"/>
        <v>0</v>
      </c>
      <c r="BX11">
        <f t="shared" si="39"/>
        <v>4.0700866875481037</v>
      </c>
      <c r="BY11">
        <f t="shared" si="40"/>
        <v>0.12962059514484409</v>
      </c>
      <c r="BZ11">
        <f t="shared" si="41"/>
        <v>1.8535745105712704</v>
      </c>
      <c r="CA11">
        <f t="shared" si="42"/>
        <v>4.996873942833739</v>
      </c>
      <c r="CB11">
        <f t="shared" si="43"/>
        <v>0</v>
      </c>
      <c r="CC11">
        <f t="shared" si="44"/>
        <v>0</v>
      </c>
      <c r="CD11">
        <f t="shared" si="45"/>
        <v>0</v>
      </c>
      <c r="CE11">
        <f t="shared" si="46"/>
        <v>0</v>
      </c>
      <c r="CF11">
        <f t="shared" si="47"/>
        <v>2.4303861589658262</v>
      </c>
      <c r="CG11">
        <f t="shared" si="48"/>
        <v>0.5444064996083452</v>
      </c>
      <c r="CH11">
        <f t="shared" si="49"/>
        <v>0</v>
      </c>
      <c r="CI11">
        <f t="shared" si="50"/>
        <v>0</v>
      </c>
      <c r="CJ11">
        <f t="shared" si="51"/>
        <v>0</v>
      </c>
      <c r="CK11">
        <f t="shared" si="52"/>
        <v>0</v>
      </c>
      <c r="CL11">
        <f t="shared" si="53"/>
        <v>0</v>
      </c>
      <c r="CN11">
        <f t="shared" si="78"/>
        <v>64.641790798733737</v>
      </c>
      <c r="CP11">
        <f t="shared" si="54"/>
        <v>1.928127927445858</v>
      </c>
      <c r="CQ11">
        <f t="shared" si="55"/>
        <v>0</v>
      </c>
      <c r="CR11">
        <f t="shared" si="56"/>
        <v>1.4113882074595033E-2</v>
      </c>
      <c r="CS11">
        <f t="shared" si="57"/>
        <v>0</v>
      </c>
      <c r="CT11">
        <f t="shared" si="58"/>
        <v>0.57017297883937412</v>
      </c>
      <c r="CU11">
        <f t="shared" si="59"/>
        <v>0</v>
      </c>
      <c r="CV11">
        <f t="shared" si="60"/>
        <v>0</v>
      </c>
      <c r="CW11">
        <f t="shared" si="61"/>
        <v>0.11329399269444966</v>
      </c>
      <c r="CX11">
        <f t="shared" si="62"/>
        <v>3.6543725724512009E-3</v>
      </c>
      <c r="CY11">
        <f t="shared" si="63"/>
        <v>9.196598911293824E-2</v>
      </c>
      <c r="CZ11">
        <f t="shared" si="64"/>
        <v>0.17820520480862123</v>
      </c>
      <c r="DA11">
        <f t="shared" si="65"/>
        <v>0</v>
      </c>
      <c r="DB11">
        <f t="shared" si="66"/>
        <v>0</v>
      </c>
      <c r="DC11">
        <f t="shared" si="67"/>
        <v>0</v>
      </c>
      <c r="DD11">
        <f t="shared" si="68"/>
        <v>0</v>
      </c>
      <c r="DE11">
        <f t="shared" si="69"/>
        <v>0.11763727778150176</v>
      </c>
      <c r="DF11">
        <f t="shared" si="70"/>
        <v>1.7337786611730736E-2</v>
      </c>
      <c r="DG11">
        <f t="shared" si="71"/>
        <v>0</v>
      </c>
      <c r="DH11">
        <f t="shared" si="72"/>
        <v>0</v>
      </c>
      <c r="DI11">
        <f t="shared" si="73"/>
        <v>0</v>
      </c>
      <c r="DJ11">
        <f t="shared" si="74"/>
        <v>0</v>
      </c>
      <c r="DK11">
        <f t="shared" si="75"/>
        <v>0</v>
      </c>
      <c r="DM11">
        <f t="shared" si="76"/>
        <v>3.0345094119415199</v>
      </c>
    </row>
    <row r="12" spans="2:117">
      <c r="B12" s="45" t="s">
        <v>105</v>
      </c>
      <c r="C12" s="43">
        <v>2.68</v>
      </c>
      <c r="D12" s="47">
        <v>932.6</v>
      </c>
      <c r="E12" s="43">
        <v>40.9</v>
      </c>
      <c r="F12" s="43">
        <v>6249</v>
      </c>
      <c r="G12" s="43">
        <v>3569</v>
      </c>
      <c r="H12" s="43">
        <f t="shared" si="0"/>
        <v>2.5287678403745709E+22</v>
      </c>
      <c r="I12" s="43">
        <f t="shared" si="4"/>
        <v>7.365698034983769E+22</v>
      </c>
      <c r="J12" s="42">
        <f t="shared" si="5"/>
        <v>104.65400268</v>
      </c>
      <c r="K12" s="42">
        <f t="shared" si="6"/>
        <v>34.137199480000007</v>
      </c>
      <c r="L12" s="42">
        <f t="shared" si="7"/>
        <v>100.35170937387329</v>
      </c>
      <c r="M12" s="79">
        <f t="shared" si="1"/>
        <v>96.411628700481657</v>
      </c>
      <c r="N12" s="79"/>
      <c r="O12" s="52" t="str">
        <f t="shared" si="2"/>
        <v>str</v>
      </c>
      <c r="P12" s="47">
        <v>49.3</v>
      </c>
      <c r="Q12" s="47"/>
      <c r="R12" s="47">
        <v>0.86</v>
      </c>
      <c r="S12" s="47"/>
      <c r="T12" s="47">
        <v>16.899999999999999</v>
      </c>
      <c r="U12" s="47"/>
      <c r="V12" s="47"/>
      <c r="W12" s="47">
        <v>8.09</v>
      </c>
      <c r="X12" s="47">
        <v>0.16</v>
      </c>
      <c r="Y12" s="47">
        <v>6.12</v>
      </c>
      <c r="Z12" s="47">
        <v>12</v>
      </c>
      <c r="AA12" s="47"/>
      <c r="AB12" s="47"/>
      <c r="AC12" s="47"/>
      <c r="AD12" s="47"/>
      <c r="AE12" s="47">
        <v>2.74</v>
      </c>
      <c r="AF12" s="47">
        <v>2.14</v>
      </c>
      <c r="AG12" s="47"/>
      <c r="AH12" s="47"/>
      <c r="AI12" s="50">
        <v>0.5</v>
      </c>
      <c r="AJ12" s="50"/>
      <c r="AK12" s="50"/>
      <c r="AL12" s="50"/>
      <c r="AM12" s="86">
        <f t="shared" si="77"/>
        <v>98.81</v>
      </c>
      <c r="AO12" s="71">
        <f t="shared" si="8"/>
        <v>1.5481898554744145</v>
      </c>
      <c r="AQ12" s="97" t="str">
        <f t="shared" si="9"/>
        <v>str</v>
      </c>
      <c r="AR12" s="73">
        <f t="shared" si="10"/>
        <v>53.002063474659671</v>
      </c>
      <c r="AS12" s="73">
        <f t="shared" si="11"/>
        <v>0</v>
      </c>
      <c r="AT12" s="73">
        <f t="shared" si="12"/>
        <v>0.69522831969462218</v>
      </c>
      <c r="AU12" s="73">
        <f t="shared" si="13"/>
        <v>0</v>
      </c>
      <c r="AV12" s="73">
        <f t="shared" si="14"/>
        <v>10.706133645283209</v>
      </c>
      <c r="AW12" s="73">
        <f t="shared" si="15"/>
        <v>0</v>
      </c>
      <c r="AX12" s="73">
        <f t="shared" si="16"/>
        <v>0</v>
      </c>
      <c r="AY12" s="73">
        <f t="shared" si="17"/>
        <v>7.2727311225862445</v>
      </c>
      <c r="AZ12" s="73">
        <f t="shared" si="18"/>
        <v>0.14568155924390822</v>
      </c>
      <c r="BA12" s="73">
        <f t="shared" si="19"/>
        <v>9.8065084430210607</v>
      </c>
      <c r="BB12" s="73">
        <f t="shared" si="20"/>
        <v>13.821304136184267</v>
      </c>
      <c r="BC12" s="73">
        <f t="shared" si="21"/>
        <v>0</v>
      </c>
      <c r="BD12" s="73">
        <f t="shared" si="22"/>
        <v>0</v>
      </c>
      <c r="BE12" s="73">
        <f t="shared" si="23"/>
        <v>0</v>
      </c>
      <c r="BF12" s="73">
        <f t="shared" si="24"/>
        <v>0</v>
      </c>
      <c r="BG12" s="73">
        <f t="shared" si="25"/>
        <v>2.8554514043814745</v>
      </c>
      <c r="BH12" s="73">
        <f t="shared" si="26"/>
        <v>1.467366679890691</v>
      </c>
      <c r="BI12" s="73">
        <f t="shared" si="27"/>
        <v>0</v>
      </c>
      <c r="BJ12" s="73">
        <f t="shared" si="28"/>
        <v>0</v>
      </c>
      <c r="BK12" s="73">
        <f t="shared" si="29"/>
        <v>0.22753121505483942</v>
      </c>
      <c r="BL12" s="73">
        <f t="shared" si="30"/>
        <v>0</v>
      </c>
      <c r="BM12" s="73">
        <f t="shared" si="31"/>
        <v>0</v>
      </c>
      <c r="BN12" s="73">
        <f t="shared" si="32"/>
        <v>0</v>
      </c>
      <c r="BQ12">
        <f t="shared" si="3"/>
        <v>31.843639735575525</v>
      </c>
      <c r="BR12">
        <f t="shared" si="33"/>
        <v>0</v>
      </c>
      <c r="BS12">
        <f t="shared" si="34"/>
        <v>0.5554874274360031</v>
      </c>
      <c r="BT12">
        <f t="shared" si="35"/>
        <v>0</v>
      </c>
      <c r="BU12">
        <f t="shared" si="36"/>
        <v>10.915973864730761</v>
      </c>
      <c r="BV12">
        <f t="shared" si="37"/>
        <v>0</v>
      </c>
      <c r="BW12">
        <f t="shared" si="38"/>
        <v>0</v>
      </c>
      <c r="BX12">
        <f t="shared" si="39"/>
        <v>5.2254573115782161</v>
      </c>
      <c r="BY12">
        <f t="shared" si="40"/>
        <v>0.10334649812762849</v>
      </c>
      <c r="BZ12">
        <f t="shared" si="41"/>
        <v>3.95300355338179</v>
      </c>
      <c r="CA12">
        <f t="shared" si="42"/>
        <v>7.7509873595721368</v>
      </c>
      <c r="CB12">
        <f t="shared" si="43"/>
        <v>0</v>
      </c>
      <c r="CC12">
        <f t="shared" si="44"/>
        <v>0</v>
      </c>
      <c r="CD12">
        <f t="shared" si="45"/>
        <v>0</v>
      </c>
      <c r="CE12">
        <f t="shared" si="46"/>
        <v>0</v>
      </c>
      <c r="CF12">
        <f t="shared" si="47"/>
        <v>1.7698087804356379</v>
      </c>
      <c r="CG12">
        <f t="shared" si="48"/>
        <v>1.3822594124570309</v>
      </c>
      <c r="CH12">
        <f t="shared" si="49"/>
        <v>0</v>
      </c>
      <c r="CI12">
        <f t="shared" si="50"/>
        <v>0</v>
      </c>
      <c r="CJ12">
        <f t="shared" si="51"/>
        <v>0.32295780664883911</v>
      </c>
      <c r="CK12">
        <f t="shared" si="52"/>
        <v>0</v>
      </c>
      <c r="CL12">
        <f t="shared" si="53"/>
        <v>0</v>
      </c>
      <c r="CN12">
        <f t="shared" si="78"/>
        <v>63.822921749943568</v>
      </c>
      <c r="CP12">
        <f t="shared" si="54"/>
        <v>1.5900619042397901</v>
      </c>
      <c r="CQ12">
        <f t="shared" si="55"/>
        <v>0</v>
      </c>
      <c r="CR12">
        <f t="shared" si="56"/>
        <v>2.0856849590838666E-2</v>
      </c>
      <c r="CS12">
        <f t="shared" si="57"/>
        <v>0</v>
      </c>
      <c r="CT12">
        <f t="shared" si="58"/>
        <v>0.53530668226416045</v>
      </c>
      <c r="CU12">
        <f t="shared" si="59"/>
        <v>0</v>
      </c>
      <c r="CV12">
        <f t="shared" si="60"/>
        <v>0</v>
      </c>
      <c r="CW12">
        <f t="shared" si="61"/>
        <v>0.14545462245172489</v>
      </c>
      <c r="CX12">
        <f t="shared" si="62"/>
        <v>2.9136311848781643E-3</v>
      </c>
      <c r="CY12">
        <f t="shared" si="63"/>
        <v>0.19613016886042123</v>
      </c>
      <c r="CZ12">
        <f t="shared" si="64"/>
        <v>0.27642608272368535</v>
      </c>
      <c r="DA12">
        <f t="shared" si="65"/>
        <v>0</v>
      </c>
      <c r="DB12">
        <f t="shared" si="66"/>
        <v>0</v>
      </c>
      <c r="DC12">
        <f t="shared" si="67"/>
        <v>0</v>
      </c>
      <c r="DD12">
        <f t="shared" si="68"/>
        <v>0</v>
      </c>
      <c r="DE12">
        <f t="shared" si="69"/>
        <v>8.566354213144424E-2</v>
      </c>
      <c r="DF12">
        <f t="shared" si="70"/>
        <v>4.402100039672073E-2</v>
      </c>
      <c r="DG12">
        <f t="shared" si="71"/>
        <v>0</v>
      </c>
      <c r="DH12">
        <f t="shared" si="72"/>
        <v>0</v>
      </c>
      <c r="DI12">
        <f t="shared" si="73"/>
        <v>1.592718505383876E-2</v>
      </c>
      <c r="DJ12">
        <f t="shared" si="74"/>
        <v>0</v>
      </c>
      <c r="DK12">
        <f t="shared" si="75"/>
        <v>0</v>
      </c>
      <c r="DM12">
        <f t="shared" si="76"/>
        <v>2.9127616688975033</v>
      </c>
    </row>
    <row r="13" spans="2:117">
      <c r="B13" s="45" t="s">
        <v>267</v>
      </c>
      <c r="C13" s="43"/>
      <c r="D13" s="43"/>
      <c r="E13" s="43">
        <v>44.9</v>
      </c>
      <c r="F13" s="43"/>
      <c r="G13" s="43"/>
      <c r="H13" s="43">
        <f t="shared" si="0"/>
        <v>0</v>
      </c>
      <c r="I13" s="43">
        <f t="shared" si="4"/>
        <v>0</v>
      </c>
      <c r="J13" s="42">
        <f t="shared" si="5"/>
        <v>0</v>
      </c>
      <c r="K13" s="42">
        <f t="shared" si="6"/>
        <v>0</v>
      </c>
      <c r="L13" s="42">
        <f t="shared" si="7"/>
        <v>1.9999999999999999E-6</v>
      </c>
      <c r="M13" s="79">
        <f t="shared" si="1"/>
        <v>1.9999999999999999E-6</v>
      </c>
      <c r="N13" s="79"/>
      <c r="O13" s="52" t="str">
        <f t="shared" si="2"/>
        <v>E-glass</v>
      </c>
      <c r="P13" s="87">
        <v>56.51</v>
      </c>
      <c r="Q13" s="87"/>
      <c r="R13" s="87">
        <v>0.12</v>
      </c>
      <c r="S13" s="87">
        <v>6.4</v>
      </c>
      <c r="T13" s="87">
        <v>14.3</v>
      </c>
      <c r="U13" s="87"/>
      <c r="V13" s="87"/>
      <c r="W13" s="87"/>
      <c r="X13" s="87"/>
      <c r="Y13" s="87">
        <v>2.65</v>
      </c>
      <c r="Z13" s="87">
        <v>18.36</v>
      </c>
      <c r="AA13" s="87"/>
      <c r="AB13" s="87"/>
      <c r="AC13" s="87"/>
      <c r="AD13" s="87"/>
      <c r="AE13" s="87">
        <v>0.45</v>
      </c>
      <c r="AF13" s="87">
        <v>0.35</v>
      </c>
      <c r="AG13" s="87"/>
      <c r="AH13" s="87"/>
      <c r="AI13" s="87"/>
      <c r="AJ13" s="87"/>
      <c r="AK13" s="87"/>
      <c r="AL13" s="87"/>
      <c r="AM13" s="86">
        <f t="shared" si="77"/>
        <v>99.14</v>
      </c>
      <c r="AO13" s="71">
        <f t="shared" si="8"/>
        <v>1.5783656511195885</v>
      </c>
      <c r="AQ13" s="97" t="str">
        <f t="shared" si="9"/>
        <v>E-glass</v>
      </c>
      <c r="AR13" s="73">
        <f t="shared" si="10"/>
        <v>59.591972685747436</v>
      </c>
      <c r="AS13" s="73">
        <f t="shared" si="11"/>
        <v>0</v>
      </c>
      <c r="AT13" s="73">
        <f t="shared" si="12"/>
        <v>9.5153955334622328E-2</v>
      </c>
      <c r="AU13" s="73">
        <f t="shared" si="13"/>
        <v>5.8242275447563534</v>
      </c>
      <c r="AV13" s="73">
        <f t="shared" si="14"/>
        <v>8.8858420578886683</v>
      </c>
      <c r="AW13" s="73">
        <f t="shared" si="15"/>
        <v>0</v>
      </c>
      <c r="AX13" s="73">
        <f t="shared" si="16"/>
        <v>0</v>
      </c>
      <c r="AY13" s="73">
        <f t="shared" si="17"/>
        <v>0</v>
      </c>
      <c r="AZ13" s="73">
        <f t="shared" si="18"/>
        <v>0</v>
      </c>
      <c r="BA13" s="73">
        <f t="shared" si="19"/>
        <v>4.1651002093724179</v>
      </c>
      <c r="BB13" s="73">
        <f t="shared" si="20"/>
        <v>20.742306665106234</v>
      </c>
      <c r="BC13" s="73">
        <f t="shared" si="21"/>
        <v>0</v>
      </c>
      <c r="BD13" s="73">
        <f t="shared" si="22"/>
        <v>0</v>
      </c>
      <c r="BE13" s="73">
        <f t="shared" si="23"/>
        <v>0</v>
      </c>
      <c r="BF13" s="73">
        <f t="shared" si="24"/>
        <v>0</v>
      </c>
      <c r="BG13" s="73">
        <f t="shared" si="25"/>
        <v>0.45999522212223654</v>
      </c>
      <c r="BH13" s="73">
        <f t="shared" si="26"/>
        <v>0.23540165967203763</v>
      </c>
      <c r="BI13" s="73">
        <f t="shared" si="27"/>
        <v>0</v>
      </c>
      <c r="BJ13" s="73">
        <f t="shared" si="28"/>
        <v>0</v>
      </c>
      <c r="BK13" s="73">
        <f t="shared" si="29"/>
        <v>0</v>
      </c>
      <c r="BL13" s="73">
        <f t="shared" si="30"/>
        <v>0</v>
      </c>
      <c r="BM13" s="73">
        <f t="shared" si="31"/>
        <v>0</v>
      </c>
      <c r="BN13" s="73">
        <f t="shared" si="32"/>
        <v>0</v>
      </c>
      <c r="BQ13">
        <f t="shared" si="3"/>
        <v>35.802857189597063</v>
      </c>
      <c r="BR13">
        <f t="shared" si="33"/>
        <v>0</v>
      </c>
      <c r="BS13">
        <f t="shared" si="34"/>
        <v>7.6028010312363239E-2</v>
      </c>
      <c r="BT13">
        <f t="shared" si="35"/>
        <v>4.0548272166593735</v>
      </c>
      <c r="BU13">
        <f t="shared" si="36"/>
        <v>9.0600045622232859</v>
      </c>
      <c r="BV13">
        <f t="shared" si="37"/>
        <v>0</v>
      </c>
      <c r="BW13">
        <f t="shared" si="38"/>
        <v>0</v>
      </c>
      <c r="BX13">
        <f t="shared" si="39"/>
        <v>0</v>
      </c>
      <c r="BY13">
        <f t="shared" si="40"/>
        <v>0</v>
      </c>
      <c r="BZ13">
        <f t="shared" si="41"/>
        <v>1.6789518943980217</v>
      </c>
      <c r="CA13">
        <f t="shared" si="42"/>
        <v>11.632285577791576</v>
      </c>
      <c r="CB13">
        <f t="shared" si="43"/>
        <v>0</v>
      </c>
      <c r="CC13">
        <f t="shared" si="44"/>
        <v>0</v>
      </c>
      <c r="CD13">
        <f t="shared" si="45"/>
        <v>0</v>
      </c>
      <c r="CE13">
        <f t="shared" si="46"/>
        <v>0</v>
      </c>
      <c r="CF13">
        <f t="shared" si="47"/>
        <v>0.28510503867136217</v>
      </c>
      <c r="CG13">
        <f t="shared" si="48"/>
        <v>0.22174836341105944</v>
      </c>
      <c r="CH13">
        <f t="shared" si="49"/>
        <v>0</v>
      </c>
      <c r="CI13">
        <f t="shared" si="50"/>
        <v>0</v>
      </c>
      <c r="CJ13">
        <f t="shared" si="51"/>
        <v>0</v>
      </c>
      <c r="CK13">
        <f t="shared" si="52"/>
        <v>0</v>
      </c>
      <c r="CL13">
        <f t="shared" si="53"/>
        <v>0</v>
      </c>
      <c r="CN13">
        <f t="shared" si="78"/>
        <v>62.811807853064103</v>
      </c>
      <c r="CP13">
        <f t="shared" si="54"/>
        <v>1.7877591805724231</v>
      </c>
      <c r="CQ13">
        <f t="shared" si="55"/>
        <v>0</v>
      </c>
      <c r="CR13">
        <f t="shared" si="56"/>
        <v>2.8546186600386697E-3</v>
      </c>
      <c r="CS13">
        <f t="shared" si="57"/>
        <v>0.29121137723781765</v>
      </c>
      <c r="CT13">
        <f t="shared" si="58"/>
        <v>0.44429210289443344</v>
      </c>
      <c r="CU13">
        <f t="shared" si="59"/>
        <v>0</v>
      </c>
      <c r="CV13">
        <f t="shared" si="60"/>
        <v>0</v>
      </c>
      <c r="CW13">
        <f t="shared" si="61"/>
        <v>0</v>
      </c>
      <c r="CX13">
        <f t="shared" si="62"/>
        <v>0</v>
      </c>
      <c r="CY13">
        <f t="shared" si="63"/>
        <v>8.3302004187448361E-2</v>
      </c>
      <c r="CZ13">
        <f t="shared" si="64"/>
        <v>0.41484613330212466</v>
      </c>
      <c r="DA13">
        <f t="shared" si="65"/>
        <v>0</v>
      </c>
      <c r="DB13">
        <f t="shared" si="66"/>
        <v>0</v>
      </c>
      <c r="DC13">
        <f t="shared" si="67"/>
        <v>0</v>
      </c>
      <c r="DD13">
        <f t="shared" si="68"/>
        <v>0</v>
      </c>
      <c r="DE13">
        <f t="shared" si="69"/>
        <v>1.3799856663667096E-2</v>
      </c>
      <c r="DF13">
        <f t="shared" si="70"/>
        <v>7.0620497901611283E-3</v>
      </c>
      <c r="DG13">
        <f t="shared" si="71"/>
        <v>0</v>
      </c>
      <c r="DH13">
        <f t="shared" si="72"/>
        <v>0</v>
      </c>
      <c r="DI13">
        <f t="shared" si="73"/>
        <v>0</v>
      </c>
      <c r="DJ13">
        <f t="shared" si="74"/>
        <v>0</v>
      </c>
      <c r="DK13">
        <f t="shared" si="75"/>
        <v>0</v>
      </c>
      <c r="DM13">
        <f t="shared" si="76"/>
        <v>3.0451273233081144</v>
      </c>
    </row>
    <row r="14" spans="2:117">
      <c r="B14" s="45" t="s">
        <v>165</v>
      </c>
      <c r="C14" s="43">
        <v>2.7069999999999999</v>
      </c>
      <c r="D14" s="43"/>
      <c r="E14" s="43">
        <v>47</v>
      </c>
      <c r="F14" s="43">
        <v>5904</v>
      </c>
      <c r="G14" s="43">
        <v>3353</v>
      </c>
      <c r="H14" s="43">
        <f t="shared" si="0"/>
        <v>2.6465167826601183E+22</v>
      </c>
      <c r="I14" s="43">
        <f t="shared" si="4"/>
        <v>7.5030002937856271E+22</v>
      </c>
      <c r="J14" s="42">
        <f t="shared" si="5"/>
        <v>94.358483711999995</v>
      </c>
      <c r="K14" s="42">
        <f t="shared" si="6"/>
        <v>30.433742562999996</v>
      </c>
      <c r="L14" s="42">
        <f t="shared" si="7"/>
        <v>89.145422346816872</v>
      </c>
      <c r="M14" s="79">
        <f t="shared" si="1"/>
        <v>85.189413875957229</v>
      </c>
      <c r="N14" s="79"/>
      <c r="O14" s="52" t="str">
        <f t="shared" si="2"/>
        <v>45S5</v>
      </c>
      <c r="P14" s="47">
        <v>45</v>
      </c>
      <c r="Q14" s="47"/>
      <c r="R14" s="87"/>
      <c r="S14" s="87"/>
      <c r="T14" s="87"/>
      <c r="U14" s="87"/>
      <c r="V14" s="87"/>
      <c r="W14" s="87"/>
      <c r="X14" s="87"/>
      <c r="Y14" s="87"/>
      <c r="Z14" s="47">
        <v>24.5</v>
      </c>
      <c r="AA14" s="47"/>
      <c r="AB14" s="47"/>
      <c r="AC14" s="47"/>
      <c r="AD14" s="47"/>
      <c r="AE14" s="47">
        <v>24.5</v>
      </c>
      <c r="AF14" s="87"/>
      <c r="AG14" s="87"/>
      <c r="AH14" s="87"/>
      <c r="AI14" s="50">
        <v>6</v>
      </c>
      <c r="AJ14" s="50"/>
      <c r="AK14" s="50"/>
      <c r="AL14" s="50"/>
      <c r="AM14" s="86">
        <f t="shared" si="77"/>
        <v>100</v>
      </c>
      <c r="AO14" s="71">
        <f t="shared" si="8"/>
        <v>1.6234374082552012</v>
      </c>
      <c r="AQ14" s="97" t="str">
        <f t="shared" si="9"/>
        <v>45S5</v>
      </c>
      <c r="AR14" s="73">
        <f t="shared" si="10"/>
        <v>46.136754503083445</v>
      </c>
      <c r="AS14" s="73">
        <f t="shared" si="11"/>
        <v>0</v>
      </c>
      <c r="AT14" s="73">
        <f t="shared" si="12"/>
        <v>0</v>
      </c>
      <c r="AU14" s="73">
        <f t="shared" si="13"/>
        <v>0</v>
      </c>
      <c r="AV14" s="73">
        <f t="shared" si="14"/>
        <v>0</v>
      </c>
      <c r="AW14" s="73">
        <f t="shared" si="15"/>
        <v>0</v>
      </c>
      <c r="AX14" s="73">
        <f t="shared" si="16"/>
        <v>0</v>
      </c>
      <c r="AY14" s="73">
        <f t="shared" si="17"/>
        <v>0</v>
      </c>
      <c r="AZ14" s="73">
        <f t="shared" si="18"/>
        <v>0</v>
      </c>
      <c r="BA14" s="73">
        <f t="shared" si="19"/>
        <v>0</v>
      </c>
      <c r="BB14" s="73">
        <f t="shared" si="20"/>
        <v>26.910547296861118</v>
      </c>
      <c r="BC14" s="73">
        <f t="shared" si="21"/>
        <v>0</v>
      </c>
      <c r="BD14" s="73">
        <f t="shared" si="22"/>
        <v>0</v>
      </c>
      <c r="BE14" s="73">
        <f t="shared" si="23"/>
        <v>0</v>
      </c>
      <c r="BF14" s="73">
        <f t="shared" si="24"/>
        <v>0</v>
      </c>
      <c r="BG14" s="73">
        <f t="shared" si="25"/>
        <v>24.348878548047299</v>
      </c>
      <c r="BH14" s="73">
        <f t="shared" si="26"/>
        <v>0</v>
      </c>
      <c r="BI14" s="73">
        <f t="shared" si="27"/>
        <v>0</v>
      </c>
      <c r="BJ14" s="73">
        <f t="shared" si="28"/>
        <v>0</v>
      </c>
      <c r="BK14" s="73">
        <f t="shared" si="29"/>
        <v>2.6038196520081289</v>
      </c>
      <c r="BL14" s="73">
        <f t="shared" si="30"/>
        <v>0</v>
      </c>
      <c r="BM14" s="73">
        <f t="shared" si="31"/>
        <v>0</v>
      </c>
      <c r="BN14" s="73">
        <f t="shared" si="32"/>
        <v>0</v>
      </c>
      <c r="BQ14">
        <f t="shared" si="3"/>
        <v>27.718962105452533</v>
      </c>
      <c r="BR14">
        <f t="shared" si="33"/>
        <v>0</v>
      </c>
      <c r="BS14">
        <f t="shared" si="34"/>
        <v>0</v>
      </c>
      <c r="BT14">
        <f t="shared" si="35"/>
        <v>0</v>
      </c>
      <c r="BU14">
        <f t="shared" si="36"/>
        <v>0</v>
      </c>
      <c r="BV14">
        <f t="shared" si="37"/>
        <v>0</v>
      </c>
      <c r="BW14">
        <f t="shared" si="38"/>
        <v>0</v>
      </c>
      <c r="BX14">
        <f t="shared" si="39"/>
        <v>0</v>
      </c>
      <c r="BY14">
        <f t="shared" si="40"/>
        <v>0</v>
      </c>
      <c r="BZ14">
        <f t="shared" si="41"/>
        <v>0</v>
      </c>
      <c r="CA14">
        <f t="shared" si="42"/>
        <v>15.091434924079715</v>
      </c>
      <c r="CB14">
        <f t="shared" si="43"/>
        <v>0</v>
      </c>
      <c r="CC14">
        <f t="shared" si="44"/>
        <v>0</v>
      </c>
      <c r="CD14">
        <f t="shared" si="45"/>
        <v>0</v>
      </c>
      <c r="CE14">
        <f t="shared" si="46"/>
        <v>0</v>
      </c>
      <c r="CF14">
        <f t="shared" si="47"/>
        <v>15.091434924079715</v>
      </c>
      <c r="CG14">
        <f t="shared" si="48"/>
        <v>0</v>
      </c>
      <c r="CH14">
        <f t="shared" si="49"/>
        <v>0</v>
      </c>
      <c r="CI14">
        <f t="shared" si="50"/>
        <v>0</v>
      </c>
      <c r="CJ14">
        <f t="shared" si="51"/>
        <v>3.6958616140603384</v>
      </c>
      <c r="CK14">
        <f t="shared" si="52"/>
        <v>0</v>
      </c>
      <c r="CL14">
        <f t="shared" si="53"/>
        <v>0</v>
      </c>
      <c r="CN14">
        <f t="shared" si="78"/>
        <v>61.597693567672302</v>
      </c>
      <c r="CP14">
        <f t="shared" si="54"/>
        <v>1.3841026350925034</v>
      </c>
      <c r="CQ14">
        <f t="shared" si="55"/>
        <v>0</v>
      </c>
      <c r="CR14">
        <f t="shared" si="56"/>
        <v>0</v>
      </c>
      <c r="CS14">
        <f t="shared" si="57"/>
        <v>0</v>
      </c>
      <c r="CT14">
        <f t="shared" si="58"/>
        <v>0</v>
      </c>
      <c r="CU14">
        <f t="shared" si="59"/>
        <v>0</v>
      </c>
      <c r="CV14">
        <f t="shared" si="60"/>
        <v>0</v>
      </c>
      <c r="CW14">
        <f t="shared" si="61"/>
        <v>0</v>
      </c>
      <c r="CX14">
        <f t="shared" si="62"/>
        <v>0</v>
      </c>
      <c r="CY14">
        <f t="shared" si="63"/>
        <v>0</v>
      </c>
      <c r="CZ14">
        <f t="shared" si="64"/>
        <v>0.53821094593722241</v>
      </c>
      <c r="DA14">
        <f t="shared" si="65"/>
        <v>0</v>
      </c>
      <c r="DB14">
        <f t="shared" si="66"/>
        <v>0</v>
      </c>
      <c r="DC14">
        <f t="shared" si="67"/>
        <v>0</v>
      </c>
      <c r="DD14">
        <f t="shared" si="68"/>
        <v>0</v>
      </c>
      <c r="DE14">
        <f t="shared" si="69"/>
        <v>0.73046635644141888</v>
      </c>
      <c r="DF14">
        <f t="shared" si="70"/>
        <v>0</v>
      </c>
      <c r="DG14">
        <f t="shared" si="71"/>
        <v>0</v>
      </c>
      <c r="DH14">
        <f t="shared" si="72"/>
        <v>0</v>
      </c>
      <c r="DI14">
        <f t="shared" si="73"/>
        <v>0.18226737564056902</v>
      </c>
      <c r="DJ14">
        <f t="shared" si="74"/>
        <v>0</v>
      </c>
      <c r="DK14">
        <f t="shared" si="75"/>
        <v>0</v>
      </c>
      <c r="DM14">
        <f t="shared" si="76"/>
        <v>2.8350473131117138</v>
      </c>
    </row>
    <row r="15" spans="2:117">
      <c r="B15" s="45" t="s">
        <v>266</v>
      </c>
      <c r="C15" s="43"/>
      <c r="D15" s="43"/>
      <c r="E15" s="43">
        <v>32.799999999999997</v>
      </c>
      <c r="F15" s="43"/>
      <c r="G15" s="43"/>
      <c r="H15" s="43"/>
      <c r="I15" s="43"/>
      <c r="J15" s="42"/>
      <c r="K15" s="42">
        <f t="shared" si="6"/>
        <v>0</v>
      </c>
      <c r="L15" s="42">
        <f t="shared" si="7"/>
        <v>1.9999999999999999E-6</v>
      </c>
      <c r="M15" s="79">
        <f t="shared" si="1"/>
        <v>1.9999999999999999E-6</v>
      </c>
      <c r="N15" s="79"/>
      <c r="O15" s="52" t="str">
        <f t="shared" si="2"/>
        <v>S53P4</v>
      </c>
      <c r="P15" s="47">
        <v>53</v>
      </c>
      <c r="Q15" s="47"/>
      <c r="R15" s="47"/>
      <c r="S15" s="87"/>
      <c r="T15" s="87"/>
      <c r="U15" s="87"/>
      <c r="V15" s="87"/>
      <c r="W15" s="87"/>
      <c r="X15" s="87"/>
      <c r="Y15" s="87"/>
      <c r="Z15" s="47">
        <v>19.97</v>
      </c>
      <c r="AA15" s="47"/>
      <c r="AB15" s="47"/>
      <c r="AC15" s="47"/>
      <c r="AD15" s="47"/>
      <c r="AE15" s="47">
        <v>23.03</v>
      </c>
      <c r="AF15" s="87"/>
      <c r="AG15" s="87"/>
      <c r="AH15" s="87"/>
      <c r="AI15" s="50">
        <v>4</v>
      </c>
      <c r="AJ15" s="50"/>
      <c r="AK15" s="50"/>
      <c r="AL15" s="50"/>
      <c r="AM15" s="86">
        <f t="shared" si="77"/>
        <v>100</v>
      </c>
      <c r="AO15" s="71">
        <f t="shared" si="8"/>
        <v>1.6380079508333927</v>
      </c>
      <c r="AQ15" s="97" t="str">
        <f t="shared" si="9"/>
        <v>S53P4</v>
      </c>
      <c r="AR15" s="73">
        <f t="shared" si="10"/>
        <v>53.855484851954422</v>
      </c>
      <c r="AS15" s="73">
        <f t="shared" si="11"/>
        <v>0</v>
      </c>
      <c r="AT15" s="73">
        <f t="shared" si="12"/>
        <v>0</v>
      </c>
      <c r="AU15" s="73">
        <f t="shared" si="13"/>
        <v>0</v>
      </c>
      <c r="AV15" s="73">
        <f t="shared" si="14"/>
        <v>0</v>
      </c>
      <c r="AW15" s="73">
        <f t="shared" si="15"/>
        <v>0</v>
      </c>
      <c r="AX15" s="73">
        <f t="shared" si="16"/>
        <v>0</v>
      </c>
      <c r="AY15" s="73">
        <f t="shared" si="17"/>
        <v>0</v>
      </c>
      <c r="AZ15" s="73">
        <f t="shared" si="18"/>
        <v>0</v>
      </c>
      <c r="BA15" s="73">
        <f t="shared" si="19"/>
        <v>0</v>
      </c>
      <c r="BB15" s="73">
        <f t="shared" si="20"/>
        <v>21.739725416591956</v>
      </c>
      <c r="BC15" s="73">
        <f t="shared" si="21"/>
        <v>0</v>
      </c>
      <c r="BD15" s="73">
        <f t="shared" si="22"/>
        <v>0</v>
      </c>
      <c r="BE15" s="73">
        <f t="shared" si="23"/>
        <v>0</v>
      </c>
      <c r="BF15" s="73">
        <f t="shared" si="24"/>
        <v>0</v>
      </c>
      <c r="BG15" s="73">
        <f t="shared" si="25"/>
        <v>22.684351103436249</v>
      </c>
      <c r="BH15" s="73">
        <f t="shared" si="26"/>
        <v>0</v>
      </c>
      <c r="BI15" s="73">
        <f t="shared" si="27"/>
        <v>0</v>
      </c>
      <c r="BJ15" s="73">
        <f t="shared" si="28"/>
        <v>0</v>
      </c>
      <c r="BK15" s="73">
        <f t="shared" si="29"/>
        <v>1.7204386280173773</v>
      </c>
      <c r="BL15" s="73">
        <f t="shared" si="30"/>
        <v>0</v>
      </c>
      <c r="BM15" s="73">
        <f t="shared" si="31"/>
        <v>0</v>
      </c>
      <c r="BN15" s="73">
        <f t="shared" si="32"/>
        <v>0</v>
      </c>
      <c r="BQ15">
        <f t="shared" si="3"/>
        <v>32.356375299054221</v>
      </c>
      <c r="BR15">
        <f t="shared" si="33"/>
        <v>0</v>
      </c>
      <c r="BS15">
        <f t="shared" si="34"/>
        <v>0</v>
      </c>
      <c r="BT15">
        <f t="shared" si="35"/>
        <v>0</v>
      </c>
      <c r="BU15">
        <f t="shared" si="36"/>
        <v>0</v>
      </c>
      <c r="BV15">
        <f t="shared" si="37"/>
        <v>0</v>
      </c>
      <c r="BW15">
        <f t="shared" si="38"/>
        <v>0</v>
      </c>
      <c r="BX15">
        <f t="shared" si="39"/>
        <v>0</v>
      </c>
      <c r="BY15">
        <f t="shared" si="40"/>
        <v>0</v>
      </c>
      <c r="BZ15">
        <f t="shared" si="41"/>
        <v>0</v>
      </c>
      <c r="CA15">
        <f t="shared" si="42"/>
        <v>12.191638013624768</v>
      </c>
      <c r="CB15">
        <f t="shared" si="43"/>
        <v>0</v>
      </c>
      <c r="CC15">
        <f t="shared" si="44"/>
        <v>0</v>
      </c>
      <c r="CD15">
        <f t="shared" si="45"/>
        <v>0</v>
      </c>
      <c r="CE15">
        <f t="shared" si="46"/>
        <v>0</v>
      </c>
      <c r="CF15">
        <f t="shared" si="47"/>
        <v>14.059760813909786</v>
      </c>
      <c r="CG15">
        <f t="shared" si="48"/>
        <v>0</v>
      </c>
      <c r="CH15">
        <f t="shared" si="49"/>
        <v>0</v>
      </c>
      <c r="CI15">
        <f t="shared" si="50"/>
        <v>0</v>
      </c>
      <c r="CJ15">
        <f t="shared" si="51"/>
        <v>2.4419905886078657</v>
      </c>
      <c r="CK15">
        <f t="shared" si="52"/>
        <v>0</v>
      </c>
      <c r="CL15">
        <f t="shared" si="53"/>
        <v>0</v>
      </c>
      <c r="CN15">
        <f t="shared" si="78"/>
        <v>61.049764715196645</v>
      </c>
      <c r="CP15">
        <f t="shared" si="54"/>
        <v>1.6156645455586327</v>
      </c>
      <c r="CQ15">
        <f t="shared" si="55"/>
        <v>0</v>
      </c>
      <c r="CR15">
        <f t="shared" si="56"/>
        <v>0</v>
      </c>
      <c r="CS15">
        <f t="shared" si="57"/>
        <v>0</v>
      </c>
      <c r="CT15">
        <f t="shared" si="58"/>
        <v>0</v>
      </c>
      <c r="CU15">
        <f t="shared" si="59"/>
        <v>0</v>
      </c>
      <c r="CV15">
        <f t="shared" si="60"/>
        <v>0</v>
      </c>
      <c r="CW15">
        <f t="shared" si="61"/>
        <v>0</v>
      </c>
      <c r="CX15">
        <f t="shared" si="62"/>
        <v>0</v>
      </c>
      <c r="CY15">
        <f t="shared" si="63"/>
        <v>0</v>
      </c>
      <c r="CZ15">
        <f t="shared" si="64"/>
        <v>0.43479450833183914</v>
      </c>
      <c r="DA15">
        <f t="shared" si="65"/>
        <v>0</v>
      </c>
      <c r="DB15">
        <f t="shared" si="66"/>
        <v>0</v>
      </c>
      <c r="DC15">
        <f t="shared" si="67"/>
        <v>0</v>
      </c>
      <c r="DD15">
        <f t="shared" si="68"/>
        <v>0</v>
      </c>
      <c r="DE15">
        <f t="shared" si="69"/>
        <v>0.68053053310308742</v>
      </c>
      <c r="DF15">
        <f t="shared" si="70"/>
        <v>0</v>
      </c>
      <c r="DG15">
        <f t="shared" si="71"/>
        <v>0</v>
      </c>
      <c r="DH15">
        <f t="shared" si="72"/>
        <v>0</v>
      </c>
      <c r="DI15">
        <f t="shared" si="73"/>
        <v>0.12043070396121643</v>
      </c>
      <c r="DJ15">
        <f t="shared" si="74"/>
        <v>0</v>
      </c>
      <c r="DK15">
        <f t="shared" si="75"/>
        <v>0</v>
      </c>
      <c r="DM15">
        <f t="shared" si="76"/>
        <v>2.8514202909547754</v>
      </c>
    </row>
    <row r="16" spans="2:117">
      <c r="B16" s="46" t="s">
        <v>265</v>
      </c>
      <c r="C16" s="43"/>
      <c r="D16" s="43">
        <v>996</v>
      </c>
      <c r="E16" s="43">
        <v>39.700000000000003</v>
      </c>
      <c r="F16" s="43"/>
      <c r="G16" s="43"/>
      <c r="H16" s="43" t="e">
        <f t="shared" si="0"/>
        <v>#DIV/0!</v>
      </c>
      <c r="I16" s="43" t="e">
        <f t="shared" si="4"/>
        <v>#DIV/0!</v>
      </c>
      <c r="J16" s="42">
        <f t="shared" si="5"/>
        <v>0</v>
      </c>
      <c r="K16" s="42">
        <f t="shared" si="6"/>
        <v>0</v>
      </c>
      <c r="L16" s="42"/>
      <c r="M16" s="79"/>
      <c r="N16" s="79"/>
      <c r="O16" s="52" t="str">
        <f t="shared" si="2"/>
        <v>EZ-1</v>
      </c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6">
        <f t="shared" si="77"/>
        <v>0</v>
      </c>
      <c r="AO16" s="71">
        <f t="shared" si="8"/>
        <v>0</v>
      </c>
      <c r="AQ16" s="97" t="str">
        <f t="shared" si="9"/>
        <v>EZ-1</v>
      </c>
      <c r="AR16" s="73" t="e">
        <f t="shared" si="10"/>
        <v>#DIV/0!</v>
      </c>
      <c r="AS16" s="73" t="e">
        <f t="shared" si="11"/>
        <v>#DIV/0!</v>
      </c>
      <c r="AT16" s="73" t="e">
        <f t="shared" si="12"/>
        <v>#DIV/0!</v>
      </c>
      <c r="AU16" s="73" t="e">
        <f t="shared" si="13"/>
        <v>#DIV/0!</v>
      </c>
      <c r="AV16" s="73" t="e">
        <f t="shared" si="14"/>
        <v>#DIV/0!</v>
      </c>
      <c r="AW16" s="73" t="e">
        <f t="shared" si="15"/>
        <v>#DIV/0!</v>
      </c>
      <c r="AX16" s="73" t="e">
        <f t="shared" si="16"/>
        <v>#DIV/0!</v>
      </c>
      <c r="AY16" s="73" t="e">
        <f t="shared" si="17"/>
        <v>#DIV/0!</v>
      </c>
      <c r="AZ16" s="73" t="e">
        <f t="shared" si="18"/>
        <v>#DIV/0!</v>
      </c>
      <c r="BA16" s="73" t="e">
        <f t="shared" si="19"/>
        <v>#DIV/0!</v>
      </c>
      <c r="BB16" s="73" t="e">
        <f t="shared" si="20"/>
        <v>#DIV/0!</v>
      </c>
      <c r="BC16" s="73" t="e">
        <f t="shared" si="21"/>
        <v>#DIV/0!</v>
      </c>
      <c r="BD16" s="73" t="e">
        <f t="shared" si="22"/>
        <v>#DIV/0!</v>
      </c>
      <c r="BE16" s="73" t="e">
        <f t="shared" si="23"/>
        <v>#DIV/0!</v>
      </c>
      <c r="BF16" s="73" t="e">
        <f t="shared" si="24"/>
        <v>#DIV/0!</v>
      </c>
      <c r="BG16" s="73" t="e">
        <f t="shared" si="25"/>
        <v>#DIV/0!</v>
      </c>
      <c r="BH16" s="73" t="e">
        <f t="shared" si="26"/>
        <v>#DIV/0!</v>
      </c>
      <c r="BI16" s="73" t="e">
        <f t="shared" si="27"/>
        <v>#DIV/0!</v>
      </c>
      <c r="BJ16" s="73" t="e">
        <f t="shared" si="28"/>
        <v>#DIV/0!</v>
      </c>
      <c r="BK16" s="73" t="e">
        <f t="shared" si="29"/>
        <v>#DIV/0!</v>
      </c>
      <c r="BL16" s="73" t="e">
        <f t="shared" si="30"/>
        <v>#DIV/0!</v>
      </c>
      <c r="BM16" s="73" t="e">
        <f t="shared" si="31"/>
        <v>#DIV/0!</v>
      </c>
      <c r="BN16" s="73" t="e">
        <f t="shared" si="32"/>
        <v>#DIV/0!</v>
      </c>
      <c r="BQ16" t="e">
        <f t="shared" si="3"/>
        <v>#DIV/0!</v>
      </c>
      <c r="BR16" t="e">
        <f t="shared" si="33"/>
        <v>#DIV/0!</v>
      </c>
      <c r="BS16" t="e">
        <f t="shared" si="34"/>
        <v>#DIV/0!</v>
      </c>
      <c r="BT16" t="e">
        <f t="shared" si="35"/>
        <v>#DIV/0!</v>
      </c>
      <c r="BU16" t="e">
        <f t="shared" si="36"/>
        <v>#DIV/0!</v>
      </c>
      <c r="BV16" t="e">
        <f t="shared" si="37"/>
        <v>#DIV/0!</v>
      </c>
      <c r="BW16" t="e">
        <f t="shared" si="38"/>
        <v>#DIV/0!</v>
      </c>
      <c r="BX16" t="e">
        <f t="shared" si="39"/>
        <v>#DIV/0!</v>
      </c>
      <c r="BY16" t="e">
        <f t="shared" si="40"/>
        <v>#DIV/0!</v>
      </c>
      <c r="BZ16" t="e">
        <f t="shared" si="41"/>
        <v>#DIV/0!</v>
      </c>
      <c r="CA16" t="e">
        <f t="shared" si="42"/>
        <v>#DIV/0!</v>
      </c>
      <c r="CB16" t="e">
        <f t="shared" si="43"/>
        <v>#DIV/0!</v>
      </c>
      <c r="CC16" t="e">
        <f t="shared" si="44"/>
        <v>#DIV/0!</v>
      </c>
      <c r="CD16" t="e">
        <f t="shared" si="45"/>
        <v>#DIV/0!</v>
      </c>
      <c r="CE16" t="e">
        <f t="shared" si="46"/>
        <v>#DIV/0!</v>
      </c>
      <c r="CF16" t="e">
        <f t="shared" si="47"/>
        <v>#DIV/0!</v>
      </c>
      <c r="CG16" t="e">
        <f t="shared" si="48"/>
        <v>#DIV/0!</v>
      </c>
      <c r="CH16" t="e">
        <f t="shared" si="49"/>
        <v>#DIV/0!</v>
      </c>
      <c r="CI16" t="e">
        <f t="shared" si="50"/>
        <v>#DIV/0!</v>
      </c>
      <c r="CJ16" t="e">
        <f t="shared" si="51"/>
        <v>#DIV/0!</v>
      </c>
      <c r="CK16" t="e">
        <f t="shared" si="52"/>
        <v>#DIV/0!</v>
      </c>
      <c r="CL16" t="e">
        <f t="shared" si="53"/>
        <v>#DIV/0!</v>
      </c>
      <c r="CN16" t="e">
        <f t="shared" si="78"/>
        <v>#DIV/0!</v>
      </c>
      <c r="CP16" t="e">
        <f t="shared" si="54"/>
        <v>#DIV/0!</v>
      </c>
      <c r="CQ16" t="e">
        <f t="shared" si="55"/>
        <v>#DIV/0!</v>
      </c>
      <c r="CR16" t="e">
        <f t="shared" si="56"/>
        <v>#DIV/0!</v>
      </c>
      <c r="CS16" t="e">
        <f t="shared" si="57"/>
        <v>#DIV/0!</v>
      </c>
      <c r="CT16" t="e">
        <f t="shared" si="58"/>
        <v>#DIV/0!</v>
      </c>
      <c r="CU16" t="e">
        <f t="shared" si="59"/>
        <v>#DIV/0!</v>
      </c>
      <c r="CV16" t="e">
        <f t="shared" si="60"/>
        <v>#DIV/0!</v>
      </c>
      <c r="CW16" t="e">
        <f t="shared" si="61"/>
        <v>#DIV/0!</v>
      </c>
      <c r="CX16" t="e">
        <f t="shared" si="62"/>
        <v>#DIV/0!</v>
      </c>
      <c r="CY16" t="e">
        <f t="shared" si="63"/>
        <v>#DIV/0!</v>
      </c>
      <c r="CZ16" t="e">
        <f t="shared" si="64"/>
        <v>#DIV/0!</v>
      </c>
      <c r="DA16" t="e">
        <f t="shared" si="65"/>
        <v>#DIV/0!</v>
      </c>
      <c r="DB16" t="e">
        <f t="shared" si="66"/>
        <v>#DIV/0!</v>
      </c>
      <c r="DC16" t="e">
        <f t="shared" si="67"/>
        <v>#DIV/0!</v>
      </c>
      <c r="DD16" t="e">
        <f t="shared" si="68"/>
        <v>#DIV/0!</v>
      </c>
      <c r="DE16" t="e">
        <f t="shared" si="69"/>
        <v>#DIV/0!</v>
      </c>
      <c r="DF16" t="e">
        <f t="shared" si="70"/>
        <v>#DIV/0!</v>
      </c>
      <c r="DG16" t="e">
        <f t="shared" si="71"/>
        <v>#DIV/0!</v>
      </c>
      <c r="DH16" t="e">
        <f t="shared" si="72"/>
        <v>#DIV/0!</v>
      </c>
      <c r="DI16" t="e">
        <f t="shared" si="73"/>
        <v>#DIV/0!</v>
      </c>
      <c r="DJ16" t="e">
        <f t="shared" si="74"/>
        <v>#DIV/0!</v>
      </c>
      <c r="DK16" t="e">
        <f t="shared" si="75"/>
        <v>#DIV/0!</v>
      </c>
      <c r="DM16" t="e">
        <f t="shared" si="76"/>
        <v>#DIV/0!</v>
      </c>
    </row>
    <row r="17" spans="2:117">
      <c r="B17" s="45" t="s">
        <v>264</v>
      </c>
      <c r="C17" s="43">
        <v>2.242</v>
      </c>
      <c r="D17" s="43">
        <v>842.2</v>
      </c>
      <c r="E17" s="43">
        <v>28.9</v>
      </c>
      <c r="F17" s="43">
        <v>5561</v>
      </c>
      <c r="G17" s="43">
        <v>3422</v>
      </c>
      <c r="H17" s="43">
        <f t="shared" si="0"/>
        <v>2.1861464730663049E+22</v>
      </c>
      <c r="I17" s="43">
        <f t="shared" si="4"/>
        <v>7.0826196409632567E+22</v>
      </c>
      <c r="J17" s="42">
        <f t="shared" si="5"/>
        <v>69.333224481999991</v>
      </c>
      <c r="K17" s="42">
        <f t="shared" si="6"/>
        <v>26.254008328000001</v>
      </c>
      <c r="L17" s="42">
        <f t="shared" si="7"/>
        <v>76.981229428283413</v>
      </c>
      <c r="M17" s="79">
        <f>3*K17 + 2*(0.0001 - I17*$G$2*$J$2)/100</f>
        <v>72.992646066440997</v>
      </c>
      <c r="N17" s="79"/>
      <c r="O17" s="52" t="str">
        <f t="shared" si="2"/>
        <v>pyrex</v>
      </c>
      <c r="P17" s="87">
        <v>81.099999999999994</v>
      </c>
      <c r="Q17" s="87"/>
      <c r="R17" s="87">
        <v>0.02</v>
      </c>
      <c r="S17" s="87">
        <v>12.3</v>
      </c>
      <c r="T17" s="87">
        <v>2.0499999999999998</v>
      </c>
      <c r="U17" s="87"/>
      <c r="V17" s="87"/>
      <c r="W17" s="87"/>
      <c r="X17" s="87"/>
      <c r="Y17" s="87">
        <v>0.03</v>
      </c>
      <c r="Z17" s="87">
        <v>0.05</v>
      </c>
      <c r="AA17" s="87"/>
      <c r="AB17" s="87"/>
      <c r="AC17" s="87"/>
      <c r="AD17" s="87"/>
      <c r="AE17" s="87">
        <v>5.2</v>
      </c>
      <c r="AF17" s="87">
        <v>0.2</v>
      </c>
      <c r="AG17" s="87"/>
      <c r="AH17" s="87"/>
      <c r="AI17" s="87"/>
      <c r="AJ17" s="87"/>
      <c r="AK17" s="87"/>
      <c r="AL17" s="87"/>
      <c r="AM17" s="86">
        <f t="shared" si="77"/>
        <v>100.94999999999999</v>
      </c>
      <c r="AO17" s="71">
        <f t="shared" si="8"/>
        <v>1.6345534402381965</v>
      </c>
      <c r="AQ17" s="97" t="str">
        <f t="shared" si="9"/>
        <v>pyrex</v>
      </c>
      <c r="AR17" s="73">
        <f t="shared" si="10"/>
        <v>82.583218815471255</v>
      </c>
      <c r="AS17" s="73">
        <f t="shared" si="11"/>
        <v>0</v>
      </c>
      <c r="AT17" s="73">
        <f t="shared" si="12"/>
        <v>1.5313839544910526E-2</v>
      </c>
      <c r="AU17" s="73">
        <f t="shared" si="13"/>
        <v>10.808662804906431</v>
      </c>
      <c r="AV17" s="73">
        <f t="shared" si="14"/>
        <v>1.2300560750581695</v>
      </c>
      <c r="AW17" s="73">
        <f t="shared" si="15"/>
        <v>0</v>
      </c>
      <c r="AX17" s="73">
        <f t="shared" si="16"/>
        <v>0</v>
      </c>
      <c r="AY17" s="73">
        <f t="shared" si="17"/>
        <v>0</v>
      </c>
      <c r="AZ17" s="73">
        <f t="shared" si="18"/>
        <v>0</v>
      </c>
      <c r="BA17" s="73">
        <f t="shared" si="19"/>
        <v>4.553122474466699E-2</v>
      </c>
      <c r="BB17" s="73">
        <f t="shared" si="20"/>
        <v>5.4545995882594109E-2</v>
      </c>
      <c r="BC17" s="73">
        <f t="shared" si="21"/>
        <v>0</v>
      </c>
      <c r="BD17" s="73">
        <f t="shared" si="22"/>
        <v>0</v>
      </c>
      <c r="BE17" s="73">
        <f t="shared" si="23"/>
        <v>0</v>
      </c>
      <c r="BF17" s="73">
        <f t="shared" si="24"/>
        <v>0</v>
      </c>
      <c r="BG17" s="73">
        <f t="shared" si="25"/>
        <v>5.1327799726681391</v>
      </c>
      <c r="BH17" s="73">
        <f t="shared" si="26"/>
        <v>0.12989127172381645</v>
      </c>
      <c r="BI17" s="73">
        <f t="shared" si="27"/>
        <v>0</v>
      </c>
      <c r="BJ17" s="73">
        <f t="shared" si="28"/>
        <v>0</v>
      </c>
      <c r="BK17" s="73">
        <f t="shared" si="29"/>
        <v>0</v>
      </c>
      <c r="BL17" s="73">
        <f t="shared" si="30"/>
        <v>0</v>
      </c>
      <c r="BM17" s="73">
        <f t="shared" si="31"/>
        <v>0</v>
      </c>
      <c r="BN17" s="73">
        <f t="shared" si="32"/>
        <v>0</v>
      </c>
      <c r="BQ17">
        <f t="shared" si="3"/>
        <v>49.615997864335128</v>
      </c>
      <c r="BR17">
        <f t="shared" si="33"/>
        <v>0</v>
      </c>
      <c r="BS17">
        <f t="shared" si="34"/>
        <v>1.2235757796383509E-2</v>
      </c>
      <c r="BT17">
        <f t="shared" si="35"/>
        <v>7.5249910447758577</v>
      </c>
      <c r="BU17">
        <f t="shared" si="36"/>
        <v>1.2541651741293094</v>
      </c>
      <c r="BV17">
        <f t="shared" si="37"/>
        <v>0</v>
      </c>
      <c r="BW17">
        <f t="shared" si="38"/>
        <v>0</v>
      </c>
      <c r="BX17">
        <f t="shared" si="39"/>
        <v>0</v>
      </c>
      <c r="BY17">
        <f t="shared" si="40"/>
        <v>0</v>
      </c>
      <c r="BZ17">
        <f t="shared" si="41"/>
        <v>1.8353636694575265E-2</v>
      </c>
      <c r="CA17">
        <f t="shared" si="42"/>
        <v>3.0589394490958773E-2</v>
      </c>
      <c r="CB17">
        <f t="shared" si="43"/>
        <v>0</v>
      </c>
      <c r="CC17">
        <f t="shared" si="44"/>
        <v>0</v>
      </c>
      <c r="CD17">
        <f t="shared" si="45"/>
        <v>0</v>
      </c>
      <c r="CE17">
        <f t="shared" si="46"/>
        <v>0</v>
      </c>
      <c r="CF17">
        <f t="shared" si="47"/>
        <v>3.1812970270597125</v>
      </c>
      <c r="CG17">
        <f t="shared" si="48"/>
        <v>0.12235757796383512</v>
      </c>
      <c r="CH17">
        <f t="shared" si="49"/>
        <v>0</v>
      </c>
      <c r="CI17">
        <f t="shared" si="50"/>
        <v>0</v>
      </c>
      <c r="CJ17">
        <f t="shared" si="51"/>
        <v>0</v>
      </c>
      <c r="CK17">
        <f t="shared" si="52"/>
        <v>0</v>
      </c>
      <c r="CL17">
        <f t="shared" si="53"/>
        <v>0</v>
      </c>
      <c r="CN17">
        <f t="shared" si="78"/>
        <v>61.759987477245765</v>
      </c>
      <c r="CP17">
        <f t="shared" si="54"/>
        <v>2.477496564464138</v>
      </c>
      <c r="CQ17">
        <f t="shared" si="55"/>
        <v>0</v>
      </c>
      <c r="CR17">
        <f t="shared" si="56"/>
        <v>4.5941518634731574E-4</v>
      </c>
      <c r="CS17">
        <f t="shared" si="57"/>
        <v>0.54043314024532152</v>
      </c>
      <c r="CT17">
        <f t="shared" si="58"/>
        <v>6.1502803752908473E-2</v>
      </c>
      <c r="CU17">
        <f t="shared" si="59"/>
        <v>0</v>
      </c>
      <c r="CV17">
        <f t="shared" si="60"/>
        <v>0</v>
      </c>
      <c r="CW17">
        <f t="shared" si="61"/>
        <v>0</v>
      </c>
      <c r="CX17">
        <f t="shared" si="62"/>
        <v>0</v>
      </c>
      <c r="CY17">
        <f t="shared" si="63"/>
        <v>9.1062449489333981E-4</v>
      </c>
      <c r="CZ17">
        <f t="shared" si="64"/>
        <v>1.0909199176518821E-3</v>
      </c>
      <c r="DA17">
        <f t="shared" si="65"/>
        <v>0</v>
      </c>
      <c r="DB17">
        <f t="shared" si="66"/>
        <v>0</v>
      </c>
      <c r="DC17">
        <f t="shared" si="67"/>
        <v>0</v>
      </c>
      <c r="DD17">
        <f t="shared" si="68"/>
        <v>0</v>
      </c>
      <c r="DE17">
        <f t="shared" si="69"/>
        <v>0.15398339918004417</v>
      </c>
      <c r="DF17">
        <f t="shared" si="70"/>
        <v>3.8967381517144937E-3</v>
      </c>
      <c r="DG17">
        <f t="shared" si="71"/>
        <v>0</v>
      </c>
      <c r="DH17">
        <f t="shared" si="72"/>
        <v>0</v>
      </c>
      <c r="DI17">
        <f t="shared" si="73"/>
        <v>0</v>
      </c>
      <c r="DJ17">
        <f t="shared" si="74"/>
        <v>0</v>
      </c>
      <c r="DK17">
        <f t="shared" si="75"/>
        <v>0</v>
      </c>
      <c r="DM17">
        <f t="shared" si="76"/>
        <v>3.2397736053930197</v>
      </c>
    </row>
    <row r="18" spans="2:117">
      <c r="B18" s="45" t="s">
        <v>111</v>
      </c>
      <c r="C18" s="43">
        <v>2.548</v>
      </c>
      <c r="D18" s="43"/>
      <c r="E18" s="43">
        <v>33</v>
      </c>
      <c r="F18" s="43">
        <v>5760</v>
      </c>
      <c r="G18" s="43">
        <v>3303</v>
      </c>
      <c r="H18" s="43">
        <f t="shared" si="0"/>
        <v>2.4962191187322778E+22</v>
      </c>
      <c r="I18" s="43">
        <f t="shared" si="4"/>
        <v>7.1664288002687524E+22</v>
      </c>
      <c r="J18" s="42">
        <f t="shared" si="5"/>
        <v>84.536524799999995</v>
      </c>
      <c r="K18" s="42">
        <f t="shared" si="6"/>
        <v>27.798193332000004</v>
      </c>
      <c r="L18" s="42">
        <f t="shared" si="7"/>
        <v>81.361204562265428</v>
      </c>
      <c r="M18" s="79">
        <f>3*K18 + 2*(0.0001 - I18*$G$2*$J$2)/100</f>
        <v>77.556931569569272</v>
      </c>
      <c r="N18" s="79"/>
      <c r="O18" s="52" t="str">
        <f t="shared" si="2"/>
        <v>NBS710</v>
      </c>
      <c r="P18" s="87">
        <v>70.5</v>
      </c>
      <c r="Q18" s="87"/>
      <c r="R18" s="87"/>
      <c r="S18" s="87"/>
      <c r="T18" s="87"/>
      <c r="U18" s="87"/>
      <c r="V18" s="87"/>
      <c r="W18" s="87"/>
      <c r="X18" s="87"/>
      <c r="Y18" s="87"/>
      <c r="Z18" s="87">
        <v>11.6</v>
      </c>
      <c r="AA18" s="87"/>
      <c r="AB18" s="87"/>
      <c r="AC18" s="87"/>
      <c r="AD18" s="87"/>
      <c r="AE18" s="87">
        <v>8.6999999999999993</v>
      </c>
      <c r="AF18" s="87">
        <v>7.7</v>
      </c>
      <c r="AG18" s="87"/>
      <c r="AH18" s="87"/>
      <c r="AI18" s="87"/>
      <c r="AJ18" s="87"/>
      <c r="AK18" s="87"/>
      <c r="AL18" s="87"/>
      <c r="AM18" s="86">
        <f t="shared" si="77"/>
        <v>98.5</v>
      </c>
      <c r="AO18" s="71">
        <f t="shared" si="8"/>
        <v>1.6023916175993562</v>
      </c>
      <c r="AQ18" s="97" t="str">
        <f t="shared" si="9"/>
        <v>NBS710</v>
      </c>
      <c r="AR18" s="73">
        <f t="shared" si="10"/>
        <v>73.23025199038068</v>
      </c>
      <c r="AS18" s="73">
        <f t="shared" si="11"/>
        <v>0</v>
      </c>
      <c r="AT18" s="73">
        <f t="shared" si="12"/>
        <v>0</v>
      </c>
      <c r="AU18" s="73">
        <f t="shared" si="13"/>
        <v>0</v>
      </c>
      <c r="AV18" s="73">
        <f t="shared" si="14"/>
        <v>0</v>
      </c>
      <c r="AW18" s="73">
        <f t="shared" si="15"/>
        <v>0</v>
      </c>
      <c r="AX18" s="73">
        <f t="shared" si="16"/>
        <v>0</v>
      </c>
      <c r="AY18" s="73">
        <f t="shared" si="17"/>
        <v>0</v>
      </c>
      <c r="AZ18" s="73">
        <f t="shared" si="18"/>
        <v>0</v>
      </c>
      <c r="BA18" s="73">
        <f t="shared" si="19"/>
        <v>0</v>
      </c>
      <c r="BB18" s="73">
        <f t="shared" si="20"/>
        <v>12.908664688528045</v>
      </c>
      <c r="BC18" s="73">
        <f t="shared" si="21"/>
        <v>0</v>
      </c>
      <c r="BD18" s="73">
        <f t="shared" si="22"/>
        <v>0</v>
      </c>
      <c r="BE18" s="73">
        <f t="shared" si="23"/>
        <v>0</v>
      </c>
      <c r="BF18" s="73">
        <f t="shared" si="24"/>
        <v>0</v>
      </c>
      <c r="BG18" s="73">
        <f t="shared" si="25"/>
        <v>8.759897334615836</v>
      </c>
      <c r="BH18" s="73">
        <f t="shared" si="26"/>
        <v>5.101185986475425</v>
      </c>
      <c r="BI18" s="73">
        <f t="shared" si="27"/>
        <v>0</v>
      </c>
      <c r="BJ18" s="73">
        <f t="shared" si="28"/>
        <v>0</v>
      </c>
      <c r="BK18" s="73">
        <f t="shared" si="29"/>
        <v>0</v>
      </c>
      <c r="BL18" s="73">
        <f t="shared" si="30"/>
        <v>0</v>
      </c>
      <c r="BM18" s="73">
        <f t="shared" si="31"/>
        <v>0</v>
      </c>
      <c r="BN18" s="73">
        <f t="shared" si="32"/>
        <v>0</v>
      </c>
      <c r="BQ18">
        <f t="shared" si="3"/>
        <v>43.996735395820714</v>
      </c>
      <c r="BR18">
        <f t="shared" si="33"/>
        <v>0</v>
      </c>
      <c r="BS18">
        <f t="shared" si="34"/>
        <v>0</v>
      </c>
      <c r="BT18">
        <f t="shared" si="35"/>
        <v>0</v>
      </c>
      <c r="BU18">
        <f t="shared" si="36"/>
        <v>0</v>
      </c>
      <c r="BV18">
        <f t="shared" si="37"/>
        <v>0</v>
      </c>
      <c r="BW18">
        <f t="shared" si="38"/>
        <v>0</v>
      </c>
      <c r="BX18">
        <f t="shared" si="39"/>
        <v>0</v>
      </c>
      <c r="BY18">
        <f t="shared" si="40"/>
        <v>0</v>
      </c>
      <c r="BZ18">
        <f t="shared" si="41"/>
        <v>0</v>
      </c>
      <c r="CA18">
        <f t="shared" si="42"/>
        <v>7.2391791573265278</v>
      </c>
      <c r="CB18">
        <f t="shared" si="43"/>
        <v>0</v>
      </c>
      <c r="CC18">
        <f t="shared" si="44"/>
        <v>0</v>
      </c>
      <c r="CD18">
        <f t="shared" si="45"/>
        <v>0</v>
      </c>
      <c r="CE18">
        <f t="shared" si="46"/>
        <v>0</v>
      </c>
      <c r="CF18">
        <f t="shared" si="47"/>
        <v>5.4293843679948948</v>
      </c>
      <c r="CG18">
        <f t="shared" si="48"/>
        <v>4.80531719925985</v>
      </c>
      <c r="CH18">
        <f t="shared" si="49"/>
        <v>0</v>
      </c>
      <c r="CI18">
        <f t="shared" si="50"/>
        <v>0</v>
      </c>
      <c r="CJ18">
        <f t="shared" si="51"/>
        <v>0</v>
      </c>
      <c r="CK18">
        <f t="shared" si="52"/>
        <v>0</v>
      </c>
      <c r="CL18">
        <f t="shared" si="53"/>
        <v>0</v>
      </c>
      <c r="CN18">
        <f t="shared" si="78"/>
        <v>61.470616120401985</v>
      </c>
      <c r="CP18">
        <f t="shared" si="54"/>
        <v>2.1969075597114203</v>
      </c>
      <c r="CQ18">
        <f t="shared" si="55"/>
        <v>0</v>
      </c>
      <c r="CR18">
        <f t="shared" si="56"/>
        <v>0</v>
      </c>
      <c r="CS18">
        <f t="shared" si="57"/>
        <v>0</v>
      </c>
      <c r="CT18">
        <f t="shared" si="58"/>
        <v>0</v>
      </c>
      <c r="CU18">
        <f t="shared" si="59"/>
        <v>0</v>
      </c>
      <c r="CV18">
        <f t="shared" si="60"/>
        <v>0</v>
      </c>
      <c r="CW18">
        <f t="shared" si="61"/>
        <v>0</v>
      </c>
      <c r="CX18">
        <f t="shared" si="62"/>
        <v>0</v>
      </c>
      <c r="CY18">
        <f t="shared" si="63"/>
        <v>0</v>
      </c>
      <c r="CZ18">
        <f t="shared" si="64"/>
        <v>0.25817329377056092</v>
      </c>
      <c r="DA18">
        <f t="shared" si="65"/>
        <v>0</v>
      </c>
      <c r="DB18">
        <f t="shared" si="66"/>
        <v>0</v>
      </c>
      <c r="DC18">
        <f t="shared" si="67"/>
        <v>0</v>
      </c>
      <c r="DD18">
        <f t="shared" si="68"/>
        <v>0</v>
      </c>
      <c r="DE18">
        <f t="shared" si="69"/>
        <v>0.2627969200384751</v>
      </c>
      <c r="DF18">
        <f t="shared" si="70"/>
        <v>0.15303557959426273</v>
      </c>
      <c r="DG18">
        <f t="shared" si="71"/>
        <v>0</v>
      </c>
      <c r="DH18">
        <f t="shared" si="72"/>
        <v>0</v>
      </c>
      <c r="DI18">
        <f t="shared" si="73"/>
        <v>0</v>
      </c>
      <c r="DJ18">
        <f t="shared" si="74"/>
        <v>0</v>
      </c>
      <c r="DK18">
        <f t="shared" si="75"/>
        <v>0</v>
      </c>
      <c r="DM18">
        <f t="shared" si="76"/>
        <v>2.8709133531147191</v>
      </c>
    </row>
    <row r="19" spans="2:117">
      <c r="B19" s="45" t="s">
        <v>104</v>
      </c>
      <c r="C19" s="43">
        <v>2.48</v>
      </c>
      <c r="D19" s="47">
        <v>813</v>
      </c>
      <c r="E19" s="43">
        <v>33.299999999999997</v>
      </c>
      <c r="F19" s="43">
        <v>5900</v>
      </c>
      <c r="G19" s="43">
        <v>3451</v>
      </c>
      <c r="H19" s="43">
        <f t="shared" si="0"/>
        <v>2.520728641975928E+22</v>
      </c>
      <c r="I19" s="43">
        <f t="shared" si="4"/>
        <v>7.2621099495171471E+22</v>
      </c>
      <c r="J19" s="42">
        <f t="shared" si="5"/>
        <v>86.328800000000001</v>
      </c>
      <c r="K19" s="42">
        <f t="shared" si="6"/>
        <v>29.53531448</v>
      </c>
      <c r="L19" s="42">
        <f t="shared" si="7"/>
        <v>86.552602967498899</v>
      </c>
      <c r="M19" s="79">
        <f>3*K19 + 2*(0.0001 - I19*$G$2*$J$2)/100</f>
        <v>82.690354784582368</v>
      </c>
      <c r="N19" s="79"/>
      <c r="O19" s="115" t="str">
        <f t="shared" si="2"/>
        <v>DGG</v>
      </c>
      <c r="P19" s="116">
        <v>71.72</v>
      </c>
      <c r="Q19" s="116"/>
      <c r="R19" s="116">
        <v>0.14000000000000001</v>
      </c>
      <c r="S19" s="116"/>
      <c r="T19" s="116">
        <v>1.23</v>
      </c>
      <c r="U19" s="116"/>
      <c r="V19" s="116"/>
      <c r="W19" s="116"/>
      <c r="X19" s="116"/>
      <c r="Y19" s="116">
        <v>4.18</v>
      </c>
      <c r="Z19" s="116">
        <v>6.73</v>
      </c>
      <c r="AA19" s="116"/>
      <c r="AB19" s="87"/>
      <c r="AC19" s="87"/>
      <c r="AD19" s="87"/>
      <c r="AE19" s="87">
        <v>14.95</v>
      </c>
      <c r="AF19" s="87">
        <v>0.38</v>
      </c>
      <c r="AG19" s="87"/>
      <c r="AH19" s="87"/>
      <c r="AI19" s="87"/>
      <c r="AJ19" s="87"/>
      <c r="AK19" s="87"/>
      <c r="AL19" s="87"/>
      <c r="AM19" s="86">
        <f t="shared" si="77"/>
        <v>99.330000000000013</v>
      </c>
      <c r="AO19" s="71">
        <f t="shared" si="8"/>
        <v>1.6765017194580822</v>
      </c>
      <c r="AQ19" s="97" t="str">
        <f t="shared" si="9"/>
        <v>DGG</v>
      </c>
      <c r="AR19" s="73">
        <f t="shared" si="10"/>
        <v>71.204321707993927</v>
      </c>
      <c r="AS19" s="73">
        <f t="shared" si="11"/>
        <v>0</v>
      </c>
      <c r="AT19" s="73">
        <f t="shared" si="12"/>
        <v>0.10451466989032557</v>
      </c>
      <c r="AU19" s="73">
        <f t="shared" si="13"/>
        <v>0</v>
      </c>
      <c r="AV19" s="73">
        <f t="shared" si="14"/>
        <v>0.71956707201784487</v>
      </c>
      <c r="AW19" s="73">
        <f t="shared" si="15"/>
        <v>0</v>
      </c>
      <c r="AX19" s="73">
        <f t="shared" si="16"/>
        <v>0</v>
      </c>
      <c r="AY19" s="73">
        <f t="shared" si="17"/>
        <v>0</v>
      </c>
      <c r="AZ19" s="73">
        <f t="shared" si="18"/>
        <v>0</v>
      </c>
      <c r="BA19" s="73">
        <f t="shared" si="19"/>
        <v>6.1852816527821366</v>
      </c>
      <c r="BB19" s="73">
        <f t="shared" si="20"/>
        <v>7.1581872702408669</v>
      </c>
      <c r="BC19" s="73">
        <f t="shared" si="21"/>
        <v>0</v>
      </c>
      <c r="BD19" s="73">
        <f t="shared" si="22"/>
        <v>0</v>
      </c>
      <c r="BE19" s="73">
        <f t="shared" si="23"/>
        <v>0</v>
      </c>
      <c r="BF19" s="73">
        <f t="shared" si="24"/>
        <v>0</v>
      </c>
      <c r="BG19" s="73">
        <f t="shared" si="25"/>
        <v>14.387509306843606</v>
      </c>
      <c r="BH19" s="73">
        <f t="shared" si="26"/>
        <v>0.24061832023127575</v>
      </c>
      <c r="BI19" s="73">
        <f t="shared" si="27"/>
        <v>0</v>
      </c>
      <c r="BJ19" s="73">
        <f t="shared" si="28"/>
        <v>0</v>
      </c>
      <c r="BK19" s="73">
        <f t="shared" si="29"/>
        <v>0</v>
      </c>
      <c r="BL19" s="73">
        <f t="shared" si="30"/>
        <v>0</v>
      </c>
      <c r="BM19" s="73">
        <f t="shared" si="31"/>
        <v>0</v>
      </c>
      <c r="BN19" s="73">
        <f t="shared" si="32"/>
        <v>0</v>
      </c>
      <c r="BQ19">
        <f t="shared" si="3"/>
        <v>42.779556482162747</v>
      </c>
      <c r="BR19">
        <f t="shared" si="33"/>
        <v>0</v>
      </c>
      <c r="BS19">
        <f t="shared" si="34"/>
        <v>8.350722124237013E-2</v>
      </c>
      <c r="BT19">
        <f t="shared" si="35"/>
        <v>0</v>
      </c>
      <c r="BU19">
        <f t="shared" si="36"/>
        <v>0.73367058662939455</v>
      </c>
      <c r="BV19">
        <f t="shared" si="37"/>
        <v>0</v>
      </c>
      <c r="BW19">
        <f t="shared" si="38"/>
        <v>0</v>
      </c>
      <c r="BX19">
        <f t="shared" si="39"/>
        <v>0</v>
      </c>
      <c r="BY19">
        <f t="shared" si="40"/>
        <v>0</v>
      </c>
      <c r="BZ19">
        <f t="shared" si="41"/>
        <v>2.4932870342364795</v>
      </c>
      <c r="CA19">
        <f t="shared" si="42"/>
        <v>4.0143114211510778</v>
      </c>
      <c r="CB19">
        <f t="shared" si="43"/>
        <v>0</v>
      </c>
      <c r="CC19">
        <f t="shared" si="44"/>
        <v>0</v>
      </c>
      <c r="CD19">
        <f t="shared" si="45"/>
        <v>0</v>
      </c>
      <c r="CE19">
        <f t="shared" si="46"/>
        <v>0</v>
      </c>
      <c r="CF19">
        <f t="shared" si="47"/>
        <v>8.9173782683816665</v>
      </c>
      <c r="CG19">
        <f t="shared" si="48"/>
        <v>0.22666245765786175</v>
      </c>
      <c r="CH19">
        <f t="shared" si="49"/>
        <v>0</v>
      </c>
      <c r="CI19">
        <f t="shared" si="50"/>
        <v>0</v>
      </c>
      <c r="CJ19">
        <f t="shared" si="51"/>
        <v>0</v>
      </c>
      <c r="CK19">
        <f t="shared" si="52"/>
        <v>0</v>
      </c>
      <c r="CL19">
        <f t="shared" si="53"/>
        <v>0</v>
      </c>
      <c r="CN19">
        <f t="shared" si="78"/>
        <v>59.248373471461598</v>
      </c>
      <c r="CP19">
        <f t="shared" si="54"/>
        <v>2.1361296512398176</v>
      </c>
      <c r="CQ19">
        <f t="shared" si="55"/>
        <v>0</v>
      </c>
      <c r="CR19">
        <f t="shared" si="56"/>
        <v>3.1354400967097667E-3</v>
      </c>
      <c r="CS19">
        <f t="shared" si="57"/>
        <v>0</v>
      </c>
      <c r="CT19">
        <f t="shared" si="58"/>
        <v>3.5978353600892243E-2</v>
      </c>
      <c r="CU19">
        <f t="shared" si="59"/>
        <v>0</v>
      </c>
      <c r="CV19">
        <f t="shared" si="60"/>
        <v>0</v>
      </c>
      <c r="CW19">
        <f t="shared" si="61"/>
        <v>0</v>
      </c>
      <c r="CX19">
        <f t="shared" si="62"/>
        <v>0</v>
      </c>
      <c r="CY19">
        <f t="shared" si="63"/>
        <v>0.12370563305564274</v>
      </c>
      <c r="CZ19">
        <f t="shared" si="64"/>
        <v>0.14316374540481733</v>
      </c>
      <c r="DA19">
        <f t="shared" si="65"/>
        <v>0</v>
      </c>
      <c r="DB19">
        <f t="shared" si="66"/>
        <v>0</v>
      </c>
      <c r="DC19">
        <f t="shared" si="67"/>
        <v>0</v>
      </c>
      <c r="DD19">
        <f t="shared" si="68"/>
        <v>0</v>
      </c>
      <c r="DE19">
        <f t="shared" si="69"/>
        <v>0.43162527920530824</v>
      </c>
      <c r="DF19">
        <f t="shared" si="70"/>
        <v>7.2185496069382717E-3</v>
      </c>
      <c r="DG19">
        <f t="shared" si="71"/>
        <v>0</v>
      </c>
      <c r="DH19">
        <f t="shared" si="72"/>
        <v>0</v>
      </c>
      <c r="DI19">
        <f t="shared" si="73"/>
        <v>0</v>
      </c>
      <c r="DJ19">
        <f t="shared" si="74"/>
        <v>0</v>
      </c>
      <c r="DK19">
        <f t="shared" si="75"/>
        <v>0</v>
      </c>
      <c r="DM19">
        <f t="shared" si="76"/>
        <v>2.8809566522101258</v>
      </c>
    </row>
    <row r="20" spans="2:117">
      <c r="B20" s="45" t="s">
        <v>106</v>
      </c>
      <c r="C20" s="43">
        <v>2.69</v>
      </c>
      <c r="D20" s="47">
        <v>1128.9000000000001</v>
      </c>
      <c r="E20" s="43">
        <v>52.3</v>
      </c>
      <c r="F20" s="43">
        <v>6628</v>
      </c>
      <c r="G20" s="43">
        <v>3761</v>
      </c>
      <c r="H20" s="43" t="e">
        <f t="shared" si="0"/>
        <v>#REF!</v>
      </c>
      <c r="I20" s="43" t="e">
        <f t="shared" si="4"/>
        <v>#REF!</v>
      </c>
      <c r="J20" s="42">
        <f t="shared" si="5"/>
        <v>118.17273295999999</v>
      </c>
      <c r="K20" s="42">
        <f t="shared" si="6"/>
        <v>38.05037549</v>
      </c>
      <c r="L20" s="42" t="e">
        <f t="shared" si="7"/>
        <v>#REF!</v>
      </c>
      <c r="M20" s="79" t="e">
        <f>3*K20 + 2*(0.0001 - I20*$G$2*$J$2)/100</f>
        <v>#REF!</v>
      </c>
      <c r="N20" s="79"/>
      <c r="O20" s="52" t="str">
        <f t="shared" si="2"/>
        <v>An</v>
      </c>
      <c r="P20" s="87">
        <v>43.19</v>
      </c>
      <c r="Q20" s="87"/>
      <c r="R20" s="87"/>
      <c r="T20" s="87">
        <v>36.65</v>
      </c>
      <c r="U20" s="87"/>
      <c r="V20" s="87"/>
      <c r="W20" s="87"/>
      <c r="X20" s="87"/>
      <c r="Y20" s="87"/>
      <c r="Z20" s="87">
        <v>20.16</v>
      </c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6">
        <f t="shared" si="77"/>
        <v>100</v>
      </c>
      <c r="AO20" s="71">
        <f t="shared" si="8"/>
        <v>1.4378159695997716</v>
      </c>
      <c r="AQ20" s="97" t="str">
        <f t="shared" si="9"/>
        <v>An</v>
      </c>
      <c r="AR20" s="73">
        <f t="shared" si="10"/>
        <v>49.997694333257733</v>
      </c>
      <c r="AS20" s="73">
        <f t="shared" si="11"/>
        <v>0</v>
      </c>
      <c r="AT20" s="73">
        <f t="shared" si="12"/>
        <v>0</v>
      </c>
      <c r="AU20" s="73">
        <f>100*T20/$AU$3/$AO20</f>
        <v>36.613113092752862</v>
      </c>
      <c r="AV20" s="73" t="e">
        <f>100*#REF!/$AV$3/$AO20</f>
        <v>#REF!</v>
      </c>
      <c r="AW20" s="73">
        <f t="shared" si="15"/>
        <v>0</v>
      </c>
      <c r="AX20" s="73">
        <f t="shared" si="16"/>
        <v>0</v>
      </c>
      <c r="AY20" s="73">
        <f t="shared" si="17"/>
        <v>0</v>
      </c>
      <c r="AZ20" s="73">
        <f t="shared" si="18"/>
        <v>0</v>
      </c>
      <c r="BA20" s="73">
        <f t="shared" si="19"/>
        <v>0</v>
      </c>
      <c r="BB20" s="73">
        <f t="shared" si="20"/>
        <v>25.002257279948875</v>
      </c>
      <c r="BC20" s="73">
        <f t="shared" si="21"/>
        <v>0</v>
      </c>
      <c r="BD20" s="73">
        <f t="shared" si="22"/>
        <v>0</v>
      </c>
      <c r="BE20" s="73">
        <f t="shared" si="23"/>
        <v>0</v>
      </c>
      <c r="BF20" s="73">
        <f t="shared" si="24"/>
        <v>0</v>
      </c>
      <c r="BG20" s="73">
        <f t="shared" si="25"/>
        <v>0</v>
      </c>
      <c r="BH20" s="73">
        <f t="shared" si="26"/>
        <v>0</v>
      </c>
      <c r="BI20" s="73">
        <f t="shared" si="27"/>
        <v>0</v>
      </c>
      <c r="BJ20" s="73">
        <f t="shared" si="28"/>
        <v>0</v>
      </c>
      <c r="BK20" s="73">
        <f t="shared" si="29"/>
        <v>0</v>
      </c>
      <c r="BL20" s="73">
        <f t="shared" si="30"/>
        <v>0</v>
      </c>
      <c r="BM20" s="73">
        <f t="shared" si="31"/>
        <v>0</v>
      </c>
      <c r="BN20" s="73">
        <f>100*AL20/$BN$3/$AO20</f>
        <v>0</v>
      </c>
      <c r="BQ20">
        <f t="shared" si="3"/>
        <v>30.038614755421246</v>
      </c>
      <c r="BR20">
        <f t="shared" si="33"/>
        <v>0</v>
      </c>
      <c r="BS20">
        <f t="shared" si="34"/>
        <v>0</v>
      </c>
      <c r="BT20">
        <f t="shared" si="35"/>
        <v>25.490049335174547</v>
      </c>
      <c r="BU20" t="e">
        <f t="shared" si="36"/>
        <v>#REF!</v>
      </c>
      <c r="BV20">
        <f t="shared" si="37"/>
        <v>0</v>
      </c>
      <c r="BW20">
        <f t="shared" si="38"/>
        <v>0</v>
      </c>
      <c r="BX20">
        <f t="shared" si="39"/>
        <v>0</v>
      </c>
      <c r="BY20">
        <f t="shared" si="40"/>
        <v>0</v>
      </c>
      <c r="BZ20">
        <f t="shared" si="41"/>
        <v>0</v>
      </c>
      <c r="CA20">
        <f t="shared" si="42"/>
        <v>14.021265882595328</v>
      </c>
      <c r="CB20">
        <f t="shared" si="43"/>
        <v>0</v>
      </c>
      <c r="CC20">
        <f t="shared" si="44"/>
        <v>0</v>
      </c>
      <c r="CD20">
        <f t="shared" si="45"/>
        <v>0</v>
      </c>
      <c r="CE20">
        <f t="shared" si="46"/>
        <v>0</v>
      </c>
      <c r="CF20">
        <f t="shared" si="47"/>
        <v>0</v>
      </c>
      <c r="CG20">
        <f t="shared" si="48"/>
        <v>0</v>
      </c>
      <c r="CH20">
        <f t="shared" si="49"/>
        <v>0</v>
      </c>
      <c r="CI20">
        <f t="shared" si="50"/>
        <v>0</v>
      </c>
      <c r="CJ20">
        <f t="shared" si="51"/>
        <v>0</v>
      </c>
      <c r="CK20">
        <f t="shared" si="52"/>
        <v>0</v>
      </c>
      <c r="CL20">
        <f t="shared" si="53"/>
        <v>0</v>
      </c>
      <c r="CN20" t="e">
        <f t="shared" si="78"/>
        <v>#REF!</v>
      </c>
      <c r="CP20">
        <f t="shared" si="54"/>
        <v>1.4999308299977321</v>
      </c>
      <c r="CQ20">
        <f t="shared" si="55"/>
        <v>0</v>
      </c>
      <c r="CR20">
        <f t="shared" si="56"/>
        <v>0</v>
      </c>
      <c r="CS20">
        <f t="shared" si="57"/>
        <v>1.8306556546376431</v>
      </c>
      <c r="CT20" t="e">
        <f t="shared" si="58"/>
        <v>#REF!</v>
      </c>
      <c r="CU20">
        <f t="shared" si="59"/>
        <v>0</v>
      </c>
      <c r="CV20">
        <f t="shared" si="60"/>
        <v>0</v>
      </c>
      <c r="CW20">
        <f t="shared" si="61"/>
        <v>0</v>
      </c>
      <c r="CX20">
        <f t="shared" si="62"/>
        <v>0</v>
      </c>
      <c r="CY20">
        <f t="shared" si="63"/>
        <v>0</v>
      </c>
      <c r="CZ20">
        <f t="shared" si="64"/>
        <v>0.5000451455989775</v>
      </c>
      <c r="DA20">
        <f t="shared" si="65"/>
        <v>0</v>
      </c>
      <c r="DB20">
        <f t="shared" si="66"/>
        <v>0</v>
      </c>
      <c r="DC20">
        <f t="shared" si="67"/>
        <v>0</v>
      </c>
      <c r="DD20">
        <f t="shared" si="68"/>
        <v>0</v>
      </c>
      <c r="DE20">
        <f t="shared" si="69"/>
        <v>0</v>
      </c>
      <c r="DF20">
        <f t="shared" si="70"/>
        <v>0</v>
      </c>
      <c r="DG20">
        <f t="shared" si="71"/>
        <v>0</v>
      </c>
      <c r="DH20">
        <f t="shared" si="72"/>
        <v>0</v>
      </c>
      <c r="DI20">
        <f t="shared" si="73"/>
        <v>0</v>
      </c>
      <c r="DJ20">
        <f t="shared" si="74"/>
        <v>0</v>
      </c>
      <c r="DK20">
        <f t="shared" si="75"/>
        <v>0</v>
      </c>
      <c r="DM20" t="e">
        <f t="shared" si="76"/>
        <v>#REF!</v>
      </c>
    </row>
    <row r="21" spans="2:117">
      <c r="B21" s="45" t="s">
        <v>263</v>
      </c>
      <c r="C21" s="43">
        <v>2.895</v>
      </c>
      <c r="D21" s="43"/>
      <c r="E21" s="43">
        <v>51.9</v>
      </c>
      <c r="F21" s="43"/>
      <c r="G21" s="43"/>
      <c r="H21" s="43" t="e">
        <f t="shared" si="0"/>
        <v>#DIV/0!</v>
      </c>
      <c r="I21" s="43" t="e">
        <f t="shared" si="4"/>
        <v>#DIV/0!</v>
      </c>
      <c r="J21" s="42">
        <f t="shared" si="5"/>
        <v>0</v>
      </c>
      <c r="K21" s="42">
        <f t="shared" si="6"/>
        <v>0</v>
      </c>
      <c r="L21" s="42"/>
      <c r="M21" s="79"/>
      <c r="N21" s="79"/>
      <c r="O21" s="52" t="str">
        <f t="shared" si="2"/>
        <v>Wo100</v>
      </c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6">
        <f t="shared" si="77"/>
        <v>0</v>
      </c>
      <c r="AO21" s="71">
        <f t="shared" si="8"/>
        <v>0</v>
      </c>
      <c r="AQ21" s="97" t="str">
        <f t="shared" si="9"/>
        <v>Wo100</v>
      </c>
      <c r="AR21" s="73" t="e">
        <f t="shared" si="10"/>
        <v>#DIV/0!</v>
      </c>
      <c r="AS21" s="73" t="e">
        <f t="shared" si="11"/>
        <v>#DIV/0!</v>
      </c>
      <c r="AT21" s="73" t="e">
        <f t="shared" si="12"/>
        <v>#DIV/0!</v>
      </c>
      <c r="AU21" s="73" t="e">
        <f t="shared" si="13"/>
        <v>#DIV/0!</v>
      </c>
      <c r="AV21" s="73" t="e">
        <f t="shared" si="14"/>
        <v>#DIV/0!</v>
      </c>
      <c r="AW21" s="73" t="e">
        <f t="shared" si="15"/>
        <v>#DIV/0!</v>
      </c>
      <c r="AX21" s="73" t="e">
        <f t="shared" si="16"/>
        <v>#DIV/0!</v>
      </c>
      <c r="AY21" s="73" t="e">
        <f t="shared" si="17"/>
        <v>#DIV/0!</v>
      </c>
      <c r="AZ21" s="73" t="e">
        <f t="shared" si="18"/>
        <v>#DIV/0!</v>
      </c>
      <c r="BA21" s="73" t="e">
        <f t="shared" si="19"/>
        <v>#DIV/0!</v>
      </c>
      <c r="BB21" s="73" t="e">
        <f t="shared" si="20"/>
        <v>#DIV/0!</v>
      </c>
      <c r="BC21" s="73" t="e">
        <f t="shared" si="21"/>
        <v>#DIV/0!</v>
      </c>
      <c r="BD21" s="73" t="e">
        <f t="shared" si="22"/>
        <v>#DIV/0!</v>
      </c>
      <c r="BE21" s="73" t="e">
        <f t="shared" si="23"/>
        <v>#DIV/0!</v>
      </c>
      <c r="BF21" s="73" t="e">
        <f t="shared" si="24"/>
        <v>#DIV/0!</v>
      </c>
      <c r="BG21" s="73" t="e">
        <f t="shared" si="25"/>
        <v>#DIV/0!</v>
      </c>
      <c r="BH21" s="73" t="e">
        <f t="shared" si="26"/>
        <v>#DIV/0!</v>
      </c>
      <c r="BI21" s="73" t="e">
        <f t="shared" si="27"/>
        <v>#DIV/0!</v>
      </c>
      <c r="BJ21" s="73" t="e">
        <f t="shared" si="28"/>
        <v>#DIV/0!</v>
      </c>
      <c r="BK21" s="73" t="e">
        <f t="shared" si="29"/>
        <v>#DIV/0!</v>
      </c>
      <c r="BL21" s="73" t="e">
        <f t="shared" si="30"/>
        <v>#DIV/0!</v>
      </c>
      <c r="BM21" s="73" t="e">
        <f t="shared" si="31"/>
        <v>#DIV/0!</v>
      </c>
      <c r="BN21" s="73" t="e">
        <f t="shared" si="32"/>
        <v>#DIV/0!</v>
      </c>
      <c r="BQ21" t="e">
        <f t="shared" si="3"/>
        <v>#DIV/0!</v>
      </c>
      <c r="BR21" t="e">
        <f t="shared" si="33"/>
        <v>#DIV/0!</v>
      </c>
      <c r="BS21" t="e">
        <f t="shared" si="34"/>
        <v>#DIV/0!</v>
      </c>
      <c r="BT21" t="e">
        <f t="shared" si="35"/>
        <v>#DIV/0!</v>
      </c>
      <c r="BU21" t="e">
        <f t="shared" si="36"/>
        <v>#DIV/0!</v>
      </c>
      <c r="BV21" t="e">
        <f t="shared" si="37"/>
        <v>#DIV/0!</v>
      </c>
      <c r="BW21" t="e">
        <f t="shared" si="38"/>
        <v>#DIV/0!</v>
      </c>
      <c r="BX21" t="e">
        <f t="shared" si="39"/>
        <v>#DIV/0!</v>
      </c>
      <c r="BY21" t="e">
        <f t="shared" si="40"/>
        <v>#DIV/0!</v>
      </c>
      <c r="BZ21" t="e">
        <f t="shared" si="41"/>
        <v>#DIV/0!</v>
      </c>
      <c r="CA21" t="e">
        <f t="shared" si="42"/>
        <v>#DIV/0!</v>
      </c>
      <c r="CB21" t="e">
        <f t="shared" si="43"/>
        <v>#DIV/0!</v>
      </c>
      <c r="CC21" t="e">
        <f t="shared" si="44"/>
        <v>#DIV/0!</v>
      </c>
      <c r="CD21" t="e">
        <f t="shared" si="45"/>
        <v>#DIV/0!</v>
      </c>
      <c r="CE21" t="e">
        <f t="shared" si="46"/>
        <v>#DIV/0!</v>
      </c>
      <c r="CF21" t="e">
        <f t="shared" si="47"/>
        <v>#DIV/0!</v>
      </c>
      <c r="CG21" t="e">
        <f t="shared" si="48"/>
        <v>#DIV/0!</v>
      </c>
      <c r="CH21" t="e">
        <f t="shared" si="49"/>
        <v>#DIV/0!</v>
      </c>
      <c r="CI21" t="e">
        <f t="shared" si="50"/>
        <v>#DIV/0!</v>
      </c>
      <c r="CJ21" t="e">
        <f t="shared" si="51"/>
        <v>#DIV/0!</v>
      </c>
      <c r="CK21" t="e">
        <f t="shared" si="52"/>
        <v>#DIV/0!</v>
      </c>
      <c r="CL21" t="e">
        <f t="shared" si="53"/>
        <v>#DIV/0!</v>
      </c>
      <c r="CN21" t="e">
        <f t="shared" si="78"/>
        <v>#DIV/0!</v>
      </c>
      <c r="CP21" t="e">
        <f t="shared" si="54"/>
        <v>#DIV/0!</v>
      </c>
      <c r="CQ21" t="e">
        <f t="shared" si="55"/>
        <v>#DIV/0!</v>
      </c>
      <c r="CR21" t="e">
        <f t="shared" si="56"/>
        <v>#DIV/0!</v>
      </c>
      <c r="CS21" t="e">
        <f t="shared" si="57"/>
        <v>#DIV/0!</v>
      </c>
      <c r="CT21" t="e">
        <f t="shared" si="58"/>
        <v>#DIV/0!</v>
      </c>
      <c r="CU21" t="e">
        <f t="shared" si="59"/>
        <v>#DIV/0!</v>
      </c>
      <c r="CV21" t="e">
        <f t="shared" si="60"/>
        <v>#DIV/0!</v>
      </c>
      <c r="CW21" t="e">
        <f t="shared" si="61"/>
        <v>#DIV/0!</v>
      </c>
      <c r="CX21" t="e">
        <f t="shared" si="62"/>
        <v>#DIV/0!</v>
      </c>
      <c r="CY21" t="e">
        <f t="shared" si="63"/>
        <v>#DIV/0!</v>
      </c>
      <c r="CZ21" t="e">
        <f t="shared" si="64"/>
        <v>#DIV/0!</v>
      </c>
      <c r="DA21" t="e">
        <f t="shared" si="65"/>
        <v>#DIV/0!</v>
      </c>
      <c r="DB21" t="e">
        <f t="shared" si="66"/>
        <v>#DIV/0!</v>
      </c>
      <c r="DC21" t="e">
        <f t="shared" si="67"/>
        <v>#DIV/0!</v>
      </c>
      <c r="DD21" t="e">
        <f t="shared" si="68"/>
        <v>#DIV/0!</v>
      </c>
      <c r="DE21" t="e">
        <f t="shared" si="69"/>
        <v>#DIV/0!</v>
      </c>
      <c r="DF21" t="e">
        <f t="shared" si="70"/>
        <v>#DIV/0!</v>
      </c>
      <c r="DG21" t="e">
        <f t="shared" si="71"/>
        <v>#DIV/0!</v>
      </c>
      <c r="DH21" t="e">
        <f t="shared" si="72"/>
        <v>#DIV/0!</v>
      </c>
      <c r="DI21" t="e">
        <f t="shared" si="73"/>
        <v>#DIV/0!</v>
      </c>
      <c r="DJ21" t="e">
        <f t="shared" si="74"/>
        <v>#DIV/0!</v>
      </c>
      <c r="DK21" t="e">
        <f t="shared" si="75"/>
        <v>#DIV/0!</v>
      </c>
      <c r="DM21" t="e">
        <f t="shared" si="76"/>
        <v>#DIV/0!</v>
      </c>
    </row>
    <row r="22" spans="2:117">
      <c r="B22" s="45" t="s">
        <v>262</v>
      </c>
      <c r="C22" s="43">
        <v>2.81</v>
      </c>
      <c r="D22" s="43"/>
      <c r="E22" s="43">
        <v>47</v>
      </c>
      <c r="F22" s="43">
        <v>7160</v>
      </c>
      <c r="G22" s="43">
        <v>3800</v>
      </c>
      <c r="H22" s="43">
        <f t="shared" si="0"/>
        <v>2.9271473317444145E+22</v>
      </c>
      <c r="I22" s="43">
        <f t="shared" si="4"/>
        <v>8.3956582240252944E+22</v>
      </c>
      <c r="J22" s="42">
        <f t="shared" si="5"/>
        <v>144.05633599999999</v>
      </c>
      <c r="K22" s="42">
        <f t="shared" si="6"/>
        <v>40.5764</v>
      </c>
      <c r="L22" s="42">
        <f t="shared" si="7"/>
        <v>119.34479780850889</v>
      </c>
      <c r="M22" s="79">
        <f t="shared" ref="M22:M49" si="79">3*K22 + 2*(0.0001 - I22*$G$2*$J$2)/100</f>
        <v>114.89024229250803</v>
      </c>
      <c r="N22" s="79"/>
      <c r="O22" s="52" t="str">
        <f t="shared" si="2"/>
        <v>Gr0</v>
      </c>
      <c r="P22" s="87">
        <v>45.63</v>
      </c>
      <c r="Q22" s="87"/>
      <c r="R22" s="87"/>
      <c r="S22" s="87"/>
      <c r="T22" s="87">
        <v>25.55</v>
      </c>
      <c r="U22" s="87"/>
      <c r="V22" s="87"/>
      <c r="W22" s="87"/>
      <c r="X22" s="87"/>
      <c r="Y22" s="87">
        <v>29.45</v>
      </c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6">
        <f t="shared" si="77"/>
        <v>100.63000000000001</v>
      </c>
      <c r="AO22" s="71">
        <f t="shared" si="8"/>
        <v>1.7406637597032102</v>
      </c>
      <c r="AQ22" s="97" t="str">
        <f t="shared" si="9"/>
        <v>Gr0</v>
      </c>
      <c r="AR22" s="73">
        <f t="shared" si="10"/>
        <v>43.632053920007458</v>
      </c>
      <c r="AS22" s="73">
        <f t="shared" si="11"/>
        <v>0</v>
      </c>
      <c r="AT22" s="73">
        <f t="shared" si="12"/>
        <v>0</v>
      </c>
      <c r="AU22" s="73">
        <f t="shared" si="13"/>
        <v>0</v>
      </c>
      <c r="AV22" s="73">
        <f t="shared" si="14"/>
        <v>14.396144267853883</v>
      </c>
      <c r="AW22" s="73">
        <f t="shared" si="15"/>
        <v>0</v>
      </c>
      <c r="AX22" s="73">
        <f t="shared" si="16"/>
        <v>0</v>
      </c>
      <c r="AY22" s="73">
        <f t="shared" si="17"/>
        <v>0</v>
      </c>
      <c r="AZ22" s="73">
        <f t="shared" si="18"/>
        <v>0</v>
      </c>
      <c r="BA22" s="73">
        <f t="shared" si="19"/>
        <v>41.971801812138651</v>
      </c>
      <c r="BB22" s="73">
        <f t="shared" si="20"/>
        <v>0</v>
      </c>
      <c r="BC22" s="73">
        <f t="shared" si="21"/>
        <v>0</v>
      </c>
      <c r="BD22" s="73">
        <f t="shared" si="22"/>
        <v>0</v>
      </c>
      <c r="BE22" s="73">
        <f t="shared" si="23"/>
        <v>0</v>
      </c>
      <c r="BF22" s="73">
        <f t="shared" si="24"/>
        <v>0</v>
      </c>
      <c r="BG22" s="73">
        <f t="shared" si="25"/>
        <v>0</v>
      </c>
      <c r="BH22" s="73">
        <f t="shared" si="26"/>
        <v>0</v>
      </c>
      <c r="BI22" s="73">
        <f t="shared" si="27"/>
        <v>0</v>
      </c>
      <c r="BJ22" s="73">
        <f t="shared" si="28"/>
        <v>0</v>
      </c>
      <c r="BK22" s="73">
        <f t="shared" si="29"/>
        <v>0</v>
      </c>
      <c r="BL22" s="73">
        <f t="shared" si="30"/>
        <v>0</v>
      </c>
      <c r="BM22" s="73">
        <f t="shared" si="31"/>
        <v>0</v>
      </c>
      <c r="BN22" s="73">
        <f t="shared" si="32"/>
        <v>0</v>
      </c>
      <c r="BQ22">
        <f t="shared" si="3"/>
        <v>26.214137995140479</v>
      </c>
      <c r="BR22">
        <f t="shared" si="33"/>
        <v>0</v>
      </c>
      <c r="BS22">
        <f t="shared" si="34"/>
        <v>0</v>
      </c>
      <c r="BT22">
        <f t="shared" si="35"/>
        <v>0</v>
      </c>
      <c r="BU22">
        <f t="shared" si="36"/>
        <v>14.678308695503818</v>
      </c>
      <c r="BV22">
        <f t="shared" si="37"/>
        <v>0</v>
      </c>
      <c r="BW22">
        <f t="shared" si="38"/>
        <v>0</v>
      </c>
      <c r="BX22">
        <f t="shared" si="39"/>
        <v>0</v>
      </c>
      <c r="BY22">
        <f t="shared" si="40"/>
        <v>0</v>
      </c>
      <c r="BZ22">
        <f t="shared" si="41"/>
        <v>16.91883331047309</v>
      </c>
      <c r="CA22">
        <f t="shared" si="42"/>
        <v>0</v>
      </c>
      <c r="CB22">
        <f t="shared" si="43"/>
        <v>0</v>
      </c>
      <c r="CC22">
        <f t="shared" si="44"/>
        <v>0</v>
      </c>
      <c r="CD22">
        <f t="shared" si="45"/>
        <v>0</v>
      </c>
      <c r="CE22">
        <f t="shared" si="46"/>
        <v>0</v>
      </c>
      <c r="CF22">
        <f t="shared" si="47"/>
        <v>0</v>
      </c>
      <c r="CG22">
        <f t="shared" si="48"/>
        <v>0</v>
      </c>
      <c r="CH22">
        <f t="shared" si="49"/>
        <v>0</v>
      </c>
      <c r="CI22">
        <f t="shared" si="50"/>
        <v>0</v>
      </c>
      <c r="CJ22">
        <f t="shared" si="51"/>
        <v>0</v>
      </c>
      <c r="CK22">
        <f t="shared" si="52"/>
        <v>0</v>
      </c>
      <c r="CL22">
        <f t="shared" si="53"/>
        <v>0</v>
      </c>
      <c r="CN22">
        <f t="shared" si="78"/>
        <v>57.811280001117389</v>
      </c>
      <c r="CP22">
        <f t="shared" si="54"/>
        <v>1.3089616176002237</v>
      </c>
      <c r="CQ22">
        <f t="shared" si="55"/>
        <v>0</v>
      </c>
      <c r="CR22">
        <f t="shared" si="56"/>
        <v>0</v>
      </c>
      <c r="CS22">
        <f t="shared" si="57"/>
        <v>0</v>
      </c>
      <c r="CT22">
        <f t="shared" si="58"/>
        <v>0.71980721339269416</v>
      </c>
      <c r="CU22">
        <f t="shared" si="59"/>
        <v>0</v>
      </c>
      <c r="CV22">
        <f t="shared" si="60"/>
        <v>0</v>
      </c>
      <c r="CW22">
        <f t="shared" si="61"/>
        <v>0</v>
      </c>
      <c r="CX22">
        <f t="shared" si="62"/>
        <v>0</v>
      </c>
      <c r="CY22">
        <f t="shared" si="63"/>
        <v>0.83943603624277296</v>
      </c>
      <c r="CZ22">
        <f t="shared" si="64"/>
        <v>0</v>
      </c>
      <c r="DA22">
        <f t="shared" si="65"/>
        <v>0</v>
      </c>
      <c r="DB22">
        <f t="shared" si="66"/>
        <v>0</v>
      </c>
      <c r="DC22">
        <f t="shared" si="67"/>
        <v>0</v>
      </c>
      <c r="DD22">
        <f t="shared" si="68"/>
        <v>0</v>
      </c>
      <c r="DE22">
        <f t="shared" si="69"/>
        <v>0</v>
      </c>
      <c r="DF22">
        <f t="shared" si="70"/>
        <v>0</v>
      </c>
      <c r="DG22">
        <f t="shared" si="71"/>
        <v>0</v>
      </c>
      <c r="DH22">
        <f t="shared" si="72"/>
        <v>0</v>
      </c>
      <c r="DI22">
        <f t="shared" si="73"/>
        <v>0</v>
      </c>
      <c r="DJ22">
        <f t="shared" si="74"/>
        <v>0</v>
      </c>
      <c r="DK22">
        <f t="shared" si="75"/>
        <v>0</v>
      </c>
      <c r="DM22">
        <f t="shared" si="76"/>
        <v>2.8682048672356908</v>
      </c>
    </row>
    <row r="23" spans="2:117">
      <c r="B23" s="45" t="s">
        <v>163</v>
      </c>
      <c r="C23" s="43">
        <v>2.367</v>
      </c>
      <c r="D23" s="43"/>
      <c r="E23" s="43">
        <v>28.2</v>
      </c>
      <c r="F23" s="43">
        <v>5533</v>
      </c>
      <c r="G23" s="43">
        <v>3394</v>
      </c>
      <c r="H23" s="43">
        <f t="shared" si="0"/>
        <v>2.2413647071375541E+22</v>
      </c>
      <c r="I23" s="43">
        <f t="shared" si="4"/>
        <v>7.0744777266845264E+22</v>
      </c>
      <c r="J23" s="42">
        <f t="shared" si="5"/>
        <v>72.463548662999997</v>
      </c>
      <c r="K23" s="42">
        <f t="shared" si="6"/>
        <v>27.266031611999999</v>
      </c>
      <c r="L23" s="42">
        <f t="shared" si="7"/>
        <v>79.972319450488584</v>
      </c>
      <c r="M23" s="79">
        <f t="shared" si="79"/>
        <v>76.035348182667121</v>
      </c>
      <c r="N23" s="79"/>
      <c r="O23" s="52" t="str">
        <f t="shared" si="2"/>
        <v>Ab</v>
      </c>
      <c r="P23" s="87">
        <v>74.97</v>
      </c>
      <c r="Q23" s="87"/>
      <c r="R23" s="87"/>
      <c r="S23" s="87"/>
      <c r="T23" s="87">
        <v>12.53</v>
      </c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>
        <v>12.49</v>
      </c>
      <c r="AF23" s="87"/>
      <c r="AG23" s="87"/>
      <c r="AH23" s="87"/>
      <c r="AI23" s="87"/>
      <c r="AJ23" s="87"/>
      <c r="AK23" s="87"/>
      <c r="AL23" s="87"/>
      <c r="AM23" s="86">
        <f t="shared" si="77"/>
        <v>99.99</v>
      </c>
      <c r="AO23" s="71">
        <f t="shared" si="8"/>
        <v>1.5722441665727627</v>
      </c>
      <c r="AQ23" s="97" t="str">
        <f t="shared" si="9"/>
        <v>Ab</v>
      </c>
      <c r="AR23" s="73">
        <f t="shared" si="10"/>
        <v>79.366566905163324</v>
      </c>
      <c r="AS23" s="73">
        <f t="shared" si="11"/>
        <v>0</v>
      </c>
      <c r="AT23" s="73">
        <f t="shared" si="12"/>
        <v>0</v>
      </c>
      <c r="AU23" s="73">
        <f t="shared" si="13"/>
        <v>0</v>
      </c>
      <c r="AV23" s="73">
        <f t="shared" si="14"/>
        <v>7.8163005814287967</v>
      </c>
      <c r="AW23" s="73">
        <f t="shared" si="15"/>
        <v>0</v>
      </c>
      <c r="AX23" s="73">
        <f t="shared" si="16"/>
        <v>0</v>
      </c>
      <c r="AY23" s="73">
        <f t="shared" si="17"/>
        <v>0</v>
      </c>
      <c r="AZ23" s="73">
        <f t="shared" si="18"/>
        <v>0</v>
      </c>
      <c r="BA23" s="73">
        <f t="shared" si="19"/>
        <v>0</v>
      </c>
      <c r="BB23" s="73">
        <f t="shared" si="20"/>
        <v>0</v>
      </c>
      <c r="BC23" s="73">
        <f t="shared" si="21"/>
        <v>0</v>
      </c>
      <c r="BD23" s="73">
        <f t="shared" si="22"/>
        <v>0</v>
      </c>
      <c r="BE23" s="73">
        <f t="shared" si="23"/>
        <v>0</v>
      </c>
      <c r="BF23" s="73">
        <f t="shared" si="24"/>
        <v>0</v>
      </c>
      <c r="BG23" s="73">
        <f t="shared" si="25"/>
        <v>12.81713251340787</v>
      </c>
      <c r="BH23" s="73">
        <f t="shared" si="26"/>
        <v>0</v>
      </c>
      <c r="BI23" s="73">
        <f t="shared" si="27"/>
        <v>0</v>
      </c>
      <c r="BJ23" s="73">
        <f t="shared" si="28"/>
        <v>0</v>
      </c>
      <c r="BK23" s="73">
        <f t="shared" si="29"/>
        <v>0</v>
      </c>
      <c r="BL23" s="73">
        <f t="shared" si="30"/>
        <v>0</v>
      </c>
      <c r="BM23" s="73">
        <f t="shared" si="31"/>
        <v>0</v>
      </c>
      <c r="BN23" s="73">
        <f t="shared" si="32"/>
        <v>0</v>
      </c>
      <c r="BQ23">
        <f t="shared" si="3"/>
        <v>47.683433396622128</v>
      </c>
      <c r="BR23">
        <f t="shared" si="33"/>
        <v>0</v>
      </c>
      <c r="BS23">
        <f t="shared" si="34"/>
        <v>0</v>
      </c>
      <c r="BT23">
        <f t="shared" si="35"/>
        <v>0</v>
      </c>
      <c r="BU23">
        <f t="shared" si="36"/>
        <v>7.9695000728248004</v>
      </c>
      <c r="BV23">
        <f t="shared" si="37"/>
        <v>0</v>
      </c>
      <c r="BW23">
        <f t="shared" si="38"/>
        <v>0</v>
      </c>
      <c r="BX23">
        <f t="shared" si="39"/>
        <v>0</v>
      </c>
      <c r="BY23">
        <f t="shared" si="40"/>
        <v>0</v>
      </c>
      <c r="BZ23">
        <f t="shared" si="41"/>
        <v>0</v>
      </c>
      <c r="CA23">
        <f t="shared" si="42"/>
        <v>0</v>
      </c>
      <c r="CB23">
        <f t="shared" si="43"/>
        <v>0</v>
      </c>
      <c r="CC23">
        <f t="shared" si="44"/>
        <v>0</v>
      </c>
      <c r="CD23">
        <f t="shared" si="45"/>
        <v>0</v>
      </c>
      <c r="CE23">
        <f t="shared" si="46"/>
        <v>0</v>
      </c>
      <c r="CF23">
        <f t="shared" si="47"/>
        <v>7.9440587318101974</v>
      </c>
      <c r="CG23">
        <f t="shared" si="48"/>
        <v>0</v>
      </c>
      <c r="CH23">
        <f t="shared" si="49"/>
        <v>0</v>
      </c>
      <c r="CI23">
        <f t="shared" si="50"/>
        <v>0</v>
      </c>
      <c r="CJ23">
        <f t="shared" si="51"/>
        <v>0</v>
      </c>
      <c r="CK23">
        <f t="shared" si="52"/>
        <v>0</v>
      </c>
      <c r="CL23">
        <f t="shared" si="53"/>
        <v>0</v>
      </c>
      <c r="CN23">
        <f t="shared" si="78"/>
        <v>63.596992201257123</v>
      </c>
      <c r="CP23">
        <f t="shared" si="54"/>
        <v>2.3809970071548996</v>
      </c>
      <c r="CQ23">
        <f t="shared" si="55"/>
        <v>0</v>
      </c>
      <c r="CR23">
        <f t="shared" si="56"/>
        <v>0</v>
      </c>
      <c r="CS23">
        <f t="shared" si="57"/>
        <v>0</v>
      </c>
      <c r="CT23">
        <f t="shared" si="58"/>
        <v>0.39081502907143983</v>
      </c>
      <c r="CU23">
        <f t="shared" si="59"/>
        <v>0</v>
      </c>
      <c r="CV23">
        <f t="shared" si="60"/>
        <v>0</v>
      </c>
      <c r="CW23">
        <f t="shared" si="61"/>
        <v>0</v>
      </c>
      <c r="CX23">
        <f t="shared" si="62"/>
        <v>0</v>
      </c>
      <c r="CY23">
        <f t="shared" si="63"/>
        <v>0</v>
      </c>
      <c r="CZ23">
        <f t="shared" si="64"/>
        <v>0</v>
      </c>
      <c r="DA23">
        <f t="shared" si="65"/>
        <v>0</v>
      </c>
      <c r="DB23">
        <f t="shared" si="66"/>
        <v>0</v>
      </c>
      <c r="DC23">
        <f t="shared" si="67"/>
        <v>0</v>
      </c>
      <c r="DD23">
        <f t="shared" si="68"/>
        <v>0</v>
      </c>
      <c r="DE23">
        <f t="shared" si="69"/>
        <v>0.38451397540223609</v>
      </c>
      <c r="DF23">
        <f t="shared" si="70"/>
        <v>0</v>
      </c>
      <c r="DG23">
        <f t="shared" si="71"/>
        <v>0</v>
      </c>
      <c r="DH23">
        <f t="shared" si="72"/>
        <v>0</v>
      </c>
      <c r="DI23">
        <f t="shared" si="73"/>
        <v>0</v>
      </c>
      <c r="DJ23">
        <f t="shared" si="74"/>
        <v>0</v>
      </c>
      <c r="DK23">
        <f t="shared" si="75"/>
        <v>0</v>
      </c>
      <c r="DM23">
        <f t="shared" si="76"/>
        <v>3.1563260116285754</v>
      </c>
    </row>
    <row r="24" spans="2:117">
      <c r="B24" s="45" t="s">
        <v>164</v>
      </c>
      <c r="C24" s="43">
        <v>2.7770000000000001</v>
      </c>
      <c r="D24" s="43">
        <v>1037.5</v>
      </c>
      <c r="E24" s="43">
        <v>52.9</v>
      </c>
      <c r="F24" s="43">
        <v>6697</v>
      </c>
      <c r="G24" s="43">
        <v>3715</v>
      </c>
      <c r="H24" s="43">
        <f t="shared" si="0"/>
        <v>2.8158200876805187E+22</v>
      </c>
      <c r="I24" s="43">
        <f t="shared" si="4"/>
        <v>7.7387997624923775E+22</v>
      </c>
      <c r="J24" s="42">
        <f t="shared" si="5"/>
        <v>124.547919593</v>
      </c>
      <c r="K24" s="42">
        <f t="shared" si="6"/>
        <v>38.326001825000006</v>
      </c>
      <c r="L24" s="42">
        <f t="shared" si="7"/>
        <v>112.68428855394076</v>
      </c>
      <c r="M24" s="79">
        <f t="shared" si="79"/>
        <v>108.67411344456167</v>
      </c>
      <c r="N24" s="79"/>
      <c r="O24" s="52" t="str">
        <f t="shared" si="2"/>
        <v>Di60An40</v>
      </c>
      <c r="P24" s="87">
        <v>48.38</v>
      </c>
      <c r="Q24" s="87"/>
      <c r="R24" s="87"/>
      <c r="S24" s="87"/>
      <c r="T24" s="87">
        <v>14.71</v>
      </c>
      <c r="U24" s="87"/>
      <c r="V24" s="87"/>
      <c r="W24" s="87"/>
      <c r="X24" s="87"/>
      <c r="Y24" s="87">
        <v>11.15</v>
      </c>
      <c r="Z24" s="87">
        <v>24.02</v>
      </c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6">
        <f t="shared" si="77"/>
        <v>98.26</v>
      </c>
      <c r="AO24" s="71">
        <f t="shared" si="8"/>
        <v>1.6544549090359264</v>
      </c>
      <c r="AQ24" s="97" t="str">
        <f t="shared" si="9"/>
        <v>Di60An40</v>
      </c>
      <c r="AR24" s="73">
        <f t="shared" si="10"/>
        <v>48.672203116383265</v>
      </c>
      <c r="AS24" s="73">
        <f t="shared" si="11"/>
        <v>0</v>
      </c>
      <c r="AT24" s="73">
        <f t="shared" si="12"/>
        <v>0</v>
      </c>
      <c r="AU24" s="73">
        <f t="shared" si="13"/>
        <v>0</v>
      </c>
      <c r="AV24" s="73">
        <f t="shared" si="14"/>
        <v>8.7202294148268216</v>
      </c>
      <c r="AW24" s="73">
        <f t="shared" si="15"/>
        <v>0</v>
      </c>
      <c r="AX24" s="73">
        <f t="shared" si="16"/>
        <v>0</v>
      </c>
      <c r="AY24" s="73">
        <f t="shared" si="17"/>
        <v>0</v>
      </c>
      <c r="AZ24" s="73">
        <f t="shared" si="18"/>
        <v>0</v>
      </c>
      <c r="BA24" s="73">
        <f t="shared" si="19"/>
        <v>16.718878203041875</v>
      </c>
      <c r="BB24" s="73">
        <f t="shared" si="20"/>
        <v>25.888689265748045</v>
      </c>
      <c r="BC24" s="73">
        <f t="shared" si="21"/>
        <v>0</v>
      </c>
      <c r="BD24" s="73">
        <f t="shared" si="22"/>
        <v>0</v>
      </c>
      <c r="BE24" s="73">
        <f t="shared" si="23"/>
        <v>0</v>
      </c>
      <c r="BF24" s="73">
        <f t="shared" si="24"/>
        <v>0</v>
      </c>
      <c r="BG24" s="73">
        <f t="shared" si="25"/>
        <v>0</v>
      </c>
      <c r="BH24" s="73">
        <f t="shared" si="26"/>
        <v>0</v>
      </c>
      <c r="BI24" s="73">
        <f t="shared" si="27"/>
        <v>0</v>
      </c>
      <c r="BJ24" s="73">
        <f t="shared" si="28"/>
        <v>0</v>
      </c>
      <c r="BK24" s="73">
        <f t="shared" si="29"/>
        <v>0</v>
      </c>
      <c r="BL24" s="73">
        <f t="shared" si="30"/>
        <v>0</v>
      </c>
      <c r="BM24" s="73">
        <f t="shared" si="31"/>
        <v>0</v>
      </c>
      <c r="BN24" s="73">
        <f t="shared" si="32"/>
        <v>0</v>
      </c>
      <c r="BQ24">
        <f t="shared" si="3"/>
        <v>29.242259632323066</v>
      </c>
      <c r="BR24">
        <f t="shared" si="33"/>
        <v>0</v>
      </c>
      <c r="BS24">
        <f t="shared" si="34"/>
        <v>0</v>
      </c>
      <c r="BT24">
        <f t="shared" si="35"/>
        <v>0</v>
      </c>
      <c r="BU24">
        <f t="shared" si="36"/>
        <v>8.8911459113574267</v>
      </c>
      <c r="BV24">
        <f t="shared" si="37"/>
        <v>0</v>
      </c>
      <c r="BW24">
        <f t="shared" si="38"/>
        <v>0</v>
      </c>
      <c r="BX24">
        <f t="shared" si="39"/>
        <v>0</v>
      </c>
      <c r="BY24">
        <f t="shared" si="40"/>
        <v>0</v>
      </c>
      <c r="BZ24">
        <f t="shared" si="41"/>
        <v>6.7393798036461803</v>
      </c>
      <c r="CA24">
        <f t="shared" si="42"/>
        <v>14.518376940231503</v>
      </c>
      <c r="CB24">
        <f t="shared" si="43"/>
        <v>0</v>
      </c>
      <c r="CC24">
        <f t="shared" si="44"/>
        <v>0</v>
      </c>
      <c r="CD24">
        <f t="shared" si="45"/>
        <v>0</v>
      </c>
      <c r="CE24">
        <f t="shared" si="46"/>
        <v>0</v>
      </c>
      <c r="CF24">
        <f t="shared" si="47"/>
        <v>0</v>
      </c>
      <c r="CG24">
        <f t="shared" si="48"/>
        <v>0</v>
      </c>
      <c r="CH24">
        <f t="shared" si="49"/>
        <v>0</v>
      </c>
      <c r="CI24">
        <f t="shared" si="50"/>
        <v>0</v>
      </c>
      <c r="CJ24">
        <f t="shared" si="51"/>
        <v>0</v>
      </c>
      <c r="CK24">
        <f t="shared" si="52"/>
        <v>0</v>
      </c>
      <c r="CL24">
        <f t="shared" si="53"/>
        <v>0</v>
      </c>
      <c r="CN24">
        <f t="shared" si="78"/>
        <v>59.391162287558181</v>
      </c>
      <c r="CP24">
        <f t="shared" si="54"/>
        <v>1.460166093491498</v>
      </c>
      <c r="CQ24">
        <f t="shared" si="55"/>
        <v>0</v>
      </c>
      <c r="CR24">
        <f t="shared" si="56"/>
        <v>0</v>
      </c>
      <c r="CS24">
        <f t="shared" si="57"/>
        <v>0</v>
      </c>
      <c r="CT24">
        <f t="shared" si="58"/>
        <v>0.43601147074134106</v>
      </c>
      <c r="CU24">
        <f t="shared" si="59"/>
        <v>0</v>
      </c>
      <c r="CV24">
        <f t="shared" si="60"/>
        <v>0</v>
      </c>
      <c r="CW24">
        <f t="shared" si="61"/>
        <v>0</v>
      </c>
      <c r="CX24">
        <f t="shared" si="62"/>
        <v>0</v>
      </c>
      <c r="CY24">
        <f t="shared" si="63"/>
        <v>0.33437756406083752</v>
      </c>
      <c r="CZ24">
        <f t="shared" si="64"/>
        <v>0.51777378531496088</v>
      </c>
      <c r="DA24">
        <f t="shared" si="65"/>
        <v>0</v>
      </c>
      <c r="DB24">
        <f t="shared" si="66"/>
        <v>0</v>
      </c>
      <c r="DC24">
        <f t="shared" si="67"/>
        <v>0</v>
      </c>
      <c r="DD24">
        <f t="shared" si="68"/>
        <v>0</v>
      </c>
      <c r="DE24">
        <f t="shared" si="69"/>
        <v>0</v>
      </c>
      <c r="DF24">
        <f t="shared" si="70"/>
        <v>0</v>
      </c>
      <c r="DG24">
        <f t="shared" si="71"/>
        <v>0</v>
      </c>
      <c r="DH24">
        <f t="shared" si="72"/>
        <v>0</v>
      </c>
      <c r="DI24">
        <f t="shared" si="73"/>
        <v>0</v>
      </c>
      <c r="DJ24">
        <f t="shared" si="74"/>
        <v>0</v>
      </c>
      <c r="DK24">
        <f t="shared" si="75"/>
        <v>0</v>
      </c>
      <c r="DM24">
        <f t="shared" si="76"/>
        <v>2.7483289136086375</v>
      </c>
    </row>
    <row r="25" spans="2:117">
      <c r="B25" s="45" t="s">
        <v>261</v>
      </c>
      <c r="C25" s="43"/>
      <c r="D25" s="43"/>
      <c r="E25" s="43">
        <v>52</v>
      </c>
      <c r="F25" s="43"/>
      <c r="G25" s="43"/>
      <c r="H25" s="43">
        <f t="shared" si="0"/>
        <v>0</v>
      </c>
      <c r="I25" s="43">
        <f t="shared" si="4"/>
        <v>0</v>
      </c>
      <c r="J25" s="42">
        <f t="shared" si="5"/>
        <v>0</v>
      </c>
      <c r="K25" s="42">
        <f t="shared" si="6"/>
        <v>0</v>
      </c>
      <c r="L25" s="42">
        <f t="shared" si="7"/>
        <v>1.9999999999999999E-6</v>
      </c>
      <c r="M25" s="79">
        <f t="shared" si="79"/>
        <v>1.9999999999999999E-6</v>
      </c>
      <c r="N25" s="79"/>
      <c r="O25" s="52" t="str">
        <f t="shared" si="2"/>
        <v>Gr100</v>
      </c>
      <c r="P25" s="87">
        <v>39.880000000000003</v>
      </c>
      <c r="Q25" s="87"/>
      <c r="R25" s="87"/>
      <c r="S25" s="87">
        <v>22.53</v>
      </c>
      <c r="T25" s="87"/>
      <c r="U25" s="87"/>
      <c r="V25" s="87"/>
      <c r="W25" s="87"/>
      <c r="X25" s="87"/>
      <c r="Y25" s="87"/>
      <c r="Z25" s="87">
        <v>36.93</v>
      </c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6">
        <f t="shared" si="77"/>
        <v>99.34</v>
      </c>
      <c r="AO25" s="71">
        <f t="shared" si="8"/>
        <v>1.6459190663543644</v>
      </c>
      <c r="AQ25" s="97" t="str">
        <f t="shared" si="9"/>
        <v>Gr100</v>
      </c>
      <c r="AR25" s="73">
        <f t="shared" si="10"/>
        <v>40.328934640201467</v>
      </c>
      <c r="AS25" s="73">
        <f t="shared" si="11"/>
        <v>0</v>
      </c>
      <c r="AT25" s="73">
        <f t="shared" si="12"/>
        <v>0</v>
      </c>
      <c r="AU25" s="73">
        <f t="shared" si="13"/>
        <v>19.661592763935239</v>
      </c>
      <c r="AV25" s="73">
        <f t="shared" si="14"/>
        <v>0</v>
      </c>
      <c r="AW25" s="73">
        <f t="shared" si="15"/>
        <v>0</v>
      </c>
      <c r="AX25" s="73">
        <f t="shared" si="16"/>
        <v>0</v>
      </c>
      <c r="AY25" s="73">
        <f t="shared" si="17"/>
        <v>0</v>
      </c>
      <c r="AZ25" s="73">
        <f t="shared" si="18"/>
        <v>0</v>
      </c>
      <c r="BA25" s="73">
        <f t="shared" si="19"/>
        <v>0</v>
      </c>
      <c r="BB25" s="73">
        <f t="shared" si="20"/>
        <v>40.009472595863294</v>
      </c>
      <c r="BC25" s="73">
        <f t="shared" si="21"/>
        <v>0</v>
      </c>
      <c r="BD25" s="73">
        <f t="shared" si="22"/>
        <v>0</v>
      </c>
      <c r="BE25" s="73">
        <f t="shared" si="23"/>
        <v>0</v>
      </c>
      <c r="BF25" s="73">
        <f t="shared" si="24"/>
        <v>0</v>
      </c>
      <c r="BG25" s="73">
        <f t="shared" si="25"/>
        <v>0</v>
      </c>
      <c r="BH25" s="73">
        <f t="shared" si="26"/>
        <v>0</v>
      </c>
      <c r="BI25" s="73">
        <f t="shared" si="27"/>
        <v>0</v>
      </c>
      <c r="BJ25" s="73">
        <f t="shared" si="28"/>
        <v>0</v>
      </c>
      <c r="BK25" s="73">
        <f t="shared" si="29"/>
        <v>0</v>
      </c>
      <c r="BL25" s="73">
        <f t="shared" si="30"/>
        <v>0</v>
      </c>
      <c r="BM25" s="73">
        <f t="shared" si="31"/>
        <v>0</v>
      </c>
      <c r="BN25" s="73">
        <f t="shared" si="32"/>
        <v>0</v>
      </c>
      <c r="BQ25">
        <f t="shared" si="3"/>
        <v>24.229623931833043</v>
      </c>
      <c r="BR25">
        <f t="shared" si="33"/>
        <v>0</v>
      </c>
      <c r="BS25">
        <f t="shared" si="34"/>
        <v>0</v>
      </c>
      <c r="BT25">
        <f t="shared" si="35"/>
        <v>13.688400882251715</v>
      </c>
      <c r="BU25">
        <f t="shared" si="36"/>
        <v>0</v>
      </c>
      <c r="BV25">
        <f t="shared" si="37"/>
        <v>0</v>
      </c>
      <c r="BW25">
        <f t="shared" si="38"/>
        <v>0</v>
      </c>
      <c r="BX25">
        <f t="shared" si="39"/>
        <v>0</v>
      </c>
      <c r="BY25">
        <f t="shared" si="40"/>
        <v>0</v>
      </c>
      <c r="BZ25">
        <f t="shared" si="41"/>
        <v>0</v>
      </c>
      <c r="CA25">
        <f t="shared" si="42"/>
        <v>22.437312231760135</v>
      </c>
      <c r="CB25">
        <f t="shared" si="43"/>
        <v>0</v>
      </c>
      <c r="CC25">
        <f t="shared" si="44"/>
        <v>0</v>
      </c>
      <c r="CD25">
        <f t="shared" si="45"/>
        <v>0</v>
      </c>
      <c r="CE25">
        <f t="shared" si="46"/>
        <v>0</v>
      </c>
      <c r="CF25">
        <f t="shared" si="47"/>
        <v>0</v>
      </c>
      <c r="CG25">
        <f t="shared" si="48"/>
        <v>0</v>
      </c>
      <c r="CH25">
        <f t="shared" si="49"/>
        <v>0</v>
      </c>
      <c r="CI25">
        <f t="shared" si="50"/>
        <v>0</v>
      </c>
      <c r="CJ25">
        <f t="shared" si="51"/>
        <v>0</v>
      </c>
      <c r="CK25">
        <f t="shared" si="52"/>
        <v>0</v>
      </c>
      <c r="CL25">
        <f t="shared" si="53"/>
        <v>0</v>
      </c>
      <c r="CN25">
        <f t="shared" si="78"/>
        <v>60.355337045844891</v>
      </c>
      <c r="CP25">
        <f t="shared" si="54"/>
        <v>1.2098680392060441</v>
      </c>
      <c r="CQ25">
        <f t="shared" si="55"/>
        <v>0</v>
      </c>
      <c r="CR25">
        <f t="shared" si="56"/>
        <v>0</v>
      </c>
      <c r="CS25">
        <f t="shared" si="57"/>
        <v>0.98307963819676203</v>
      </c>
      <c r="CT25">
        <f t="shared" si="58"/>
        <v>0</v>
      </c>
      <c r="CU25">
        <f t="shared" si="59"/>
        <v>0</v>
      </c>
      <c r="CV25">
        <f t="shared" si="60"/>
        <v>0</v>
      </c>
      <c r="CW25">
        <f t="shared" si="61"/>
        <v>0</v>
      </c>
      <c r="CX25">
        <f t="shared" si="62"/>
        <v>0</v>
      </c>
      <c r="CY25">
        <f t="shared" si="63"/>
        <v>0</v>
      </c>
      <c r="CZ25">
        <f t="shared" si="64"/>
        <v>0.80018945191726587</v>
      </c>
      <c r="DA25">
        <f t="shared" si="65"/>
        <v>0</v>
      </c>
      <c r="DB25">
        <f t="shared" si="66"/>
        <v>0</v>
      </c>
      <c r="DC25">
        <f t="shared" si="67"/>
        <v>0</v>
      </c>
      <c r="DD25">
        <f t="shared" si="68"/>
        <v>0</v>
      </c>
      <c r="DE25">
        <f t="shared" si="69"/>
        <v>0</v>
      </c>
      <c r="DF25">
        <f t="shared" si="70"/>
        <v>0</v>
      </c>
      <c r="DG25">
        <f t="shared" si="71"/>
        <v>0</v>
      </c>
      <c r="DH25">
        <f t="shared" si="72"/>
        <v>0</v>
      </c>
      <c r="DI25">
        <f t="shared" si="73"/>
        <v>0</v>
      </c>
      <c r="DJ25">
        <f t="shared" si="74"/>
        <v>0</v>
      </c>
      <c r="DK25">
        <f t="shared" si="75"/>
        <v>0</v>
      </c>
      <c r="DM25">
        <f t="shared" si="76"/>
        <v>2.9931371293200719</v>
      </c>
    </row>
    <row r="26" spans="2:117">
      <c r="B26" s="45" t="s">
        <v>107</v>
      </c>
      <c r="C26" s="43">
        <v>2.835</v>
      </c>
      <c r="D26" s="47">
        <v>993.7</v>
      </c>
      <c r="E26" s="43">
        <v>55.5</v>
      </c>
      <c r="F26" s="43">
        <v>6697</v>
      </c>
      <c r="G26" s="43">
        <v>3718</v>
      </c>
      <c r="H26" s="43">
        <f t="shared" si="0"/>
        <v>3.1520321542722626E+22</v>
      </c>
      <c r="I26" s="43">
        <f t="shared" si="4"/>
        <v>7.8769299009463223E+22</v>
      </c>
      <c r="J26" s="42">
        <f t="shared" si="5"/>
        <v>127.149208515</v>
      </c>
      <c r="K26" s="42">
        <f t="shared" si="6"/>
        <v>39.189690540000001</v>
      </c>
      <c r="L26" s="42">
        <f t="shared" si="7"/>
        <v>115.00148209535934</v>
      </c>
      <c r="M26" s="79">
        <f t="shared" si="79"/>
        <v>111.15266113942113</v>
      </c>
      <c r="N26" s="79"/>
      <c r="O26" s="52" t="str">
        <f t="shared" si="2"/>
        <v>Di</v>
      </c>
      <c r="P26" s="87">
        <v>55.35</v>
      </c>
      <c r="Q26" s="87"/>
      <c r="R26" s="87"/>
      <c r="S26" s="87"/>
      <c r="T26" s="87"/>
      <c r="U26" s="87"/>
      <c r="V26" s="87"/>
      <c r="W26" s="87"/>
      <c r="X26" s="87"/>
      <c r="Y26" s="87">
        <v>18.46</v>
      </c>
      <c r="Z26" s="87">
        <v>26.19</v>
      </c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6">
        <f t="shared" si="77"/>
        <v>100</v>
      </c>
      <c r="AO26" s="71">
        <f t="shared" si="8"/>
        <v>1.8462339307592039</v>
      </c>
      <c r="AQ26" s="97" t="str">
        <f t="shared" si="9"/>
        <v>Di</v>
      </c>
      <c r="AR26" s="73">
        <f t="shared" si="10"/>
        <v>49.900049092771354</v>
      </c>
      <c r="AS26" s="73">
        <f t="shared" si="11"/>
        <v>0</v>
      </c>
      <c r="AT26" s="73">
        <f t="shared" si="12"/>
        <v>0</v>
      </c>
      <c r="AU26" s="73">
        <f t="shared" si="13"/>
        <v>0</v>
      </c>
      <c r="AV26" s="73">
        <f t="shared" si="14"/>
        <v>0</v>
      </c>
      <c r="AW26" s="73">
        <f t="shared" si="15"/>
        <v>0</v>
      </c>
      <c r="AX26" s="73">
        <f t="shared" si="16"/>
        <v>0</v>
      </c>
      <c r="AY26" s="73">
        <f t="shared" si="17"/>
        <v>0</v>
      </c>
      <c r="AZ26" s="73">
        <f t="shared" si="18"/>
        <v>0</v>
      </c>
      <c r="BA26" s="73">
        <f t="shared" si="19"/>
        <v>24.804596700617079</v>
      </c>
      <c r="BB26" s="73">
        <f t="shared" si="20"/>
        <v>25.295354206611563</v>
      </c>
      <c r="BC26" s="73">
        <f t="shared" si="21"/>
        <v>0</v>
      </c>
      <c r="BD26" s="73">
        <f t="shared" si="22"/>
        <v>0</v>
      </c>
      <c r="BE26" s="73">
        <f t="shared" si="23"/>
        <v>0</v>
      </c>
      <c r="BF26" s="73">
        <f t="shared" si="24"/>
        <v>0</v>
      </c>
      <c r="BG26" s="73">
        <f t="shared" si="25"/>
        <v>0</v>
      </c>
      <c r="BH26" s="73">
        <f t="shared" si="26"/>
        <v>0</v>
      </c>
      <c r="BI26" s="73">
        <f t="shared" si="27"/>
        <v>0</v>
      </c>
      <c r="BJ26" s="73">
        <f t="shared" si="28"/>
        <v>0</v>
      </c>
      <c r="BK26" s="73">
        <f t="shared" si="29"/>
        <v>0</v>
      </c>
      <c r="BL26" s="73">
        <f t="shared" si="30"/>
        <v>0</v>
      </c>
      <c r="BM26" s="73">
        <f t="shared" si="31"/>
        <v>0</v>
      </c>
      <c r="BN26" s="73">
        <f t="shared" si="32"/>
        <v>0</v>
      </c>
      <c r="BQ26">
        <f t="shared" si="3"/>
        <v>29.979949494937028</v>
      </c>
      <c r="BR26">
        <f t="shared" si="33"/>
        <v>0</v>
      </c>
      <c r="BS26">
        <f t="shared" si="34"/>
        <v>0</v>
      </c>
      <c r="BT26">
        <f t="shared" si="35"/>
        <v>0</v>
      </c>
      <c r="BU26">
        <f t="shared" si="36"/>
        <v>0</v>
      </c>
      <c r="BV26">
        <f t="shared" si="37"/>
        <v>0</v>
      </c>
      <c r="BW26">
        <f t="shared" si="38"/>
        <v>0</v>
      </c>
      <c r="BX26">
        <f t="shared" si="39"/>
        <v>0</v>
      </c>
      <c r="BY26">
        <f t="shared" si="40"/>
        <v>0</v>
      </c>
      <c r="BZ26">
        <f t="shared" si="41"/>
        <v>9.9987329300187451</v>
      </c>
      <c r="CA26">
        <f t="shared" si="42"/>
        <v>14.185634639067764</v>
      </c>
      <c r="CB26">
        <f t="shared" si="43"/>
        <v>0</v>
      </c>
      <c r="CC26">
        <f t="shared" si="44"/>
        <v>0</v>
      </c>
      <c r="CD26">
        <f t="shared" si="45"/>
        <v>0</v>
      </c>
      <c r="CE26">
        <f t="shared" si="46"/>
        <v>0</v>
      </c>
      <c r="CF26">
        <f t="shared" si="47"/>
        <v>0</v>
      </c>
      <c r="CG26">
        <f t="shared" si="48"/>
        <v>0</v>
      </c>
      <c r="CH26">
        <f t="shared" si="49"/>
        <v>0</v>
      </c>
      <c r="CI26">
        <f t="shared" si="50"/>
        <v>0</v>
      </c>
      <c r="CJ26">
        <f t="shared" si="51"/>
        <v>0</v>
      </c>
      <c r="CK26">
        <f t="shared" si="52"/>
        <v>0</v>
      </c>
      <c r="CL26">
        <f t="shared" si="53"/>
        <v>0</v>
      </c>
      <c r="CN26">
        <f t="shared" si="78"/>
        <v>54.164317064023535</v>
      </c>
      <c r="CP26">
        <f t="shared" si="54"/>
        <v>1.4970014727831407</v>
      </c>
      <c r="CQ26">
        <f t="shared" si="55"/>
        <v>0</v>
      </c>
      <c r="CR26">
        <f t="shared" si="56"/>
        <v>0</v>
      </c>
      <c r="CS26">
        <f t="shared" si="57"/>
        <v>0</v>
      </c>
      <c r="CT26">
        <f t="shared" si="58"/>
        <v>0</v>
      </c>
      <c r="CU26">
        <f t="shared" si="59"/>
        <v>0</v>
      </c>
      <c r="CV26">
        <f t="shared" si="60"/>
        <v>0</v>
      </c>
      <c r="CW26">
        <f t="shared" si="61"/>
        <v>0</v>
      </c>
      <c r="CX26">
        <f t="shared" si="62"/>
        <v>0</v>
      </c>
      <c r="CY26">
        <f t="shared" si="63"/>
        <v>0.49609193401234158</v>
      </c>
      <c r="CZ26">
        <f t="shared" si="64"/>
        <v>0.50590708413223129</v>
      </c>
      <c r="DA26">
        <f t="shared" si="65"/>
        <v>0</v>
      </c>
      <c r="DB26">
        <f t="shared" si="66"/>
        <v>0</v>
      </c>
      <c r="DC26">
        <f t="shared" si="67"/>
        <v>0</v>
      </c>
      <c r="DD26">
        <f t="shared" si="68"/>
        <v>0</v>
      </c>
      <c r="DE26">
        <f t="shared" si="69"/>
        <v>0</v>
      </c>
      <c r="DF26">
        <f t="shared" si="70"/>
        <v>0</v>
      </c>
      <c r="DG26">
        <f t="shared" si="71"/>
        <v>0</v>
      </c>
      <c r="DH26">
        <f t="shared" si="72"/>
        <v>0</v>
      </c>
      <c r="DI26">
        <f t="shared" si="73"/>
        <v>0</v>
      </c>
      <c r="DJ26">
        <f t="shared" si="74"/>
        <v>0</v>
      </c>
      <c r="DK26">
        <f t="shared" si="75"/>
        <v>0</v>
      </c>
      <c r="DM26">
        <f t="shared" si="76"/>
        <v>2.4990004909277133</v>
      </c>
    </row>
    <row r="27" spans="2:117">
      <c r="B27" s="49" t="s">
        <v>108</v>
      </c>
      <c r="C27" s="43">
        <v>2.69</v>
      </c>
      <c r="D27" s="47">
        <v>816.6</v>
      </c>
      <c r="E27" s="43">
        <v>20</v>
      </c>
      <c r="F27" s="43">
        <v>3770</v>
      </c>
      <c r="G27" s="43">
        <v>2360</v>
      </c>
      <c r="H27" s="43">
        <f t="shared" si="0"/>
        <v>1.5488628549574529E+22</v>
      </c>
      <c r="I27" s="43">
        <f t="shared" si="4"/>
        <v>4.6465885648723577E+22</v>
      </c>
      <c r="J27" s="42">
        <f t="shared" si="5"/>
        <v>38.232700999999999</v>
      </c>
      <c r="K27" s="42">
        <f t="shared" si="6"/>
        <v>14.982224</v>
      </c>
      <c r="L27" s="42">
        <f t="shared" si="7"/>
        <v>43.684996788417848</v>
      </c>
      <c r="M27" s="79">
        <f t="shared" si="79"/>
        <v>41.161642365253549</v>
      </c>
      <c r="N27" s="79"/>
      <c r="O27" s="52" t="str">
        <f t="shared" si="2"/>
        <v>GeO2</v>
      </c>
      <c r="P27" s="87"/>
      <c r="Q27" s="87">
        <v>100</v>
      </c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6">
        <f t="shared" si="77"/>
        <v>100</v>
      </c>
      <c r="AO27" s="71">
        <f t="shared" si="8"/>
        <v>0.95611435127641264</v>
      </c>
      <c r="AQ27" s="97" t="str">
        <f t="shared" si="9"/>
        <v>GeO2</v>
      </c>
      <c r="AR27" s="73">
        <f t="shared" si="10"/>
        <v>0</v>
      </c>
      <c r="AS27" s="73">
        <f t="shared" si="11"/>
        <v>100</v>
      </c>
      <c r="AT27" s="73">
        <f t="shared" si="12"/>
        <v>0</v>
      </c>
      <c r="AU27" s="73">
        <f t="shared" si="13"/>
        <v>0</v>
      </c>
      <c r="AV27" s="73">
        <f t="shared" si="14"/>
        <v>0</v>
      </c>
      <c r="AW27" s="73">
        <f t="shared" si="15"/>
        <v>0</v>
      </c>
      <c r="AX27" s="73">
        <f t="shared" si="16"/>
        <v>0</v>
      </c>
      <c r="AY27" s="73">
        <f t="shared" si="17"/>
        <v>0</v>
      </c>
      <c r="AZ27" s="73">
        <f t="shared" si="18"/>
        <v>0</v>
      </c>
      <c r="BA27" s="73">
        <f t="shared" si="19"/>
        <v>0</v>
      </c>
      <c r="BB27" s="73">
        <f t="shared" si="20"/>
        <v>0</v>
      </c>
      <c r="BC27" s="73">
        <f t="shared" si="21"/>
        <v>0</v>
      </c>
      <c r="BD27" s="73">
        <f t="shared" si="22"/>
        <v>0</v>
      </c>
      <c r="BE27" s="73">
        <f t="shared" si="23"/>
        <v>0</v>
      </c>
      <c r="BF27" s="73">
        <f t="shared" si="24"/>
        <v>0</v>
      </c>
      <c r="BG27" s="73">
        <f t="shared" si="25"/>
        <v>0</v>
      </c>
      <c r="BH27" s="73">
        <f t="shared" si="26"/>
        <v>0</v>
      </c>
      <c r="BI27" s="73">
        <f t="shared" si="27"/>
        <v>0</v>
      </c>
      <c r="BJ27" s="73">
        <f t="shared" si="28"/>
        <v>0</v>
      </c>
      <c r="BK27" s="73">
        <f t="shared" si="29"/>
        <v>0</v>
      </c>
      <c r="BL27" s="73">
        <f t="shared" si="30"/>
        <v>0</v>
      </c>
      <c r="BM27" s="73">
        <f t="shared" si="31"/>
        <v>0</v>
      </c>
      <c r="BN27" s="73">
        <f t="shared" si="32"/>
        <v>0</v>
      </c>
      <c r="BQ27">
        <f t="shared" si="3"/>
        <v>0</v>
      </c>
      <c r="BR27">
        <f t="shared" si="33"/>
        <v>104.59</v>
      </c>
      <c r="BS27">
        <f t="shared" si="34"/>
        <v>0</v>
      </c>
      <c r="BT27">
        <f t="shared" si="35"/>
        <v>0</v>
      </c>
      <c r="BU27">
        <f t="shared" si="36"/>
        <v>0</v>
      </c>
      <c r="BV27">
        <f t="shared" si="37"/>
        <v>0</v>
      </c>
      <c r="BW27">
        <f t="shared" si="38"/>
        <v>0</v>
      </c>
      <c r="BX27">
        <f t="shared" si="39"/>
        <v>0</v>
      </c>
      <c r="BY27">
        <f t="shared" si="40"/>
        <v>0</v>
      </c>
      <c r="BZ27">
        <f t="shared" si="41"/>
        <v>0</v>
      </c>
      <c r="CA27">
        <f t="shared" si="42"/>
        <v>0</v>
      </c>
      <c r="CB27">
        <f t="shared" si="43"/>
        <v>0</v>
      </c>
      <c r="CC27">
        <f t="shared" si="44"/>
        <v>0</v>
      </c>
      <c r="CD27">
        <f t="shared" si="45"/>
        <v>0</v>
      </c>
      <c r="CE27">
        <f t="shared" si="46"/>
        <v>0</v>
      </c>
      <c r="CF27">
        <f t="shared" si="47"/>
        <v>0</v>
      </c>
      <c r="CG27">
        <f t="shared" si="48"/>
        <v>0</v>
      </c>
      <c r="CH27">
        <f t="shared" si="49"/>
        <v>0</v>
      </c>
      <c r="CI27">
        <f t="shared" si="50"/>
        <v>0</v>
      </c>
      <c r="CJ27">
        <f t="shared" si="51"/>
        <v>0</v>
      </c>
      <c r="CK27">
        <f t="shared" si="52"/>
        <v>0</v>
      </c>
      <c r="CL27">
        <f t="shared" si="53"/>
        <v>0</v>
      </c>
      <c r="CN27">
        <f t="shared" si="78"/>
        <v>104.59</v>
      </c>
      <c r="CP27">
        <f t="shared" si="54"/>
        <v>0</v>
      </c>
      <c r="CQ27">
        <f t="shared" si="55"/>
        <v>3</v>
      </c>
      <c r="CR27">
        <f t="shared" si="56"/>
        <v>0</v>
      </c>
      <c r="CS27">
        <f t="shared" si="57"/>
        <v>0</v>
      </c>
      <c r="CT27">
        <f t="shared" si="58"/>
        <v>0</v>
      </c>
      <c r="CU27">
        <f t="shared" si="59"/>
        <v>0</v>
      </c>
      <c r="CV27">
        <f t="shared" si="60"/>
        <v>0</v>
      </c>
      <c r="CW27">
        <f t="shared" si="61"/>
        <v>0</v>
      </c>
      <c r="CX27">
        <f t="shared" si="62"/>
        <v>0</v>
      </c>
      <c r="CY27">
        <f t="shared" si="63"/>
        <v>0</v>
      </c>
      <c r="CZ27">
        <f t="shared" si="64"/>
        <v>0</v>
      </c>
      <c r="DA27">
        <f t="shared" si="65"/>
        <v>0</v>
      </c>
      <c r="DB27">
        <f t="shared" si="66"/>
        <v>0</v>
      </c>
      <c r="DC27">
        <f t="shared" si="67"/>
        <v>0</v>
      </c>
      <c r="DD27">
        <f t="shared" si="68"/>
        <v>0</v>
      </c>
      <c r="DE27">
        <f t="shared" si="69"/>
        <v>0</v>
      </c>
      <c r="DF27">
        <f t="shared" si="70"/>
        <v>0</v>
      </c>
      <c r="DG27">
        <f t="shared" si="71"/>
        <v>0</v>
      </c>
      <c r="DH27">
        <f t="shared" si="72"/>
        <v>0</v>
      </c>
      <c r="DI27">
        <f t="shared" si="73"/>
        <v>0</v>
      </c>
      <c r="DJ27">
        <f t="shared" si="74"/>
        <v>0</v>
      </c>
      <c r="DK27">
        <f t="shared" si="75"/>
        <v>0</v>
      </c>
      <c r="DM27">
        <f t="shared" si="76"/>
        <v>3</v>
      </c>
    </row>
    <row r="28" spans="2:117">
      <c r="B28" s="48" t="s">
        <v>120</v>
      </c>
      <c r="C28" s="43">
        <v>2.5129999999999999</v>
      </c>
      <c r="D28" s="47">
        <v>1016.4</v>
      </c>
      <c r="E28" s="47">
        <v>36.200000000000003</v>
      </c>
      <c r="F28" s="47">
        <v>6240</v>
      </c>
      <c r="G28" s="47">
        <v>3700</v>
      </c>
      <c r="H28" s="43">
        <f t="shared" si="0"/>
        <v>2.3528106449438291E+22</v>
      </c>
      <c r="I28" s="43">
        <f t="shared" si="4"/>
        <v>7.2867073138630366E+22</v>
      </c>
      <c r="J28" s="42">
        <f t="shared" si="5"/>
        <v>97.850188799999998</v>
      </c>
      <c r="K28" s="42">
        <f t="shared" si="6"/>
        <v>34.402970000000003</v>
      </c>
      <c r="L28" s="42">
        <f t="shared" si="7"/>
        <v>101.29235265816268</v>
      </c>
      <c r="M28" s="79">
        <f t="shared" si="79"/>
        <v>97.273284751955174</v>
      </c>
      <c r="N28" s="79"/>
      <c r="O28" s="52" t="str">
        <f t="shared" si="2"/>
        <v>And</v>
      </c>
      <c r="P28" s="87">
        <v>62.4</v>
      </c>
      <c r="Q28" s="87"/>
      <c r="R28" s="87">
        <v>0.55000000000000004</v>
      </c>
      <c r="S28" s="87"/>
      <c r="T28" s="87">
        <v>20.010000000000002</v>
      </c>
      <c r="U28" s="87"/>
      <c r="V28" s="87"/>
      <c r="W28" s="87"/>
      <c r="X28" s="87">
        <v>0.02</v>
      </c>
      <c r="Y28" s="87">
        <v>3.22</v>
      </c>
      <c r="Z28" s="87">
        <v>9.08</v>
      </c>
      <c r="AA28" s="87"/>
      <c r="AB28" s="87"/>
      <c r="AC28" s="87"/>
      <c r="AD28" s="87"/>
      <c r="AE28" s="87">
        <v>3.52</v>
      </c>
      <c r="AF28" s="87">
        <v>0.93</v>
      </c>
      <c r="AG28" s="87"/>
      <c r="AH28" s="87"/>
      <c r="AI28" s="87"/>
      <c r="AJ28" s="87"/>
      <c r="AK28" s="87"/>
      <c r="AL28" s="87"/>
      <c r="AM28" s="86">
        <f t="shared" si="77"/>
        <v>99.72999999999999</v>
      </c>
      <c r="AO28" s="71">
        <f t="shared" si="8"/>
        <v>1.5504917483233924</v>
      </c>
      <c r="AQ28" s="97" t="str">
        <f t="shared" si="9"/>
        <v>And</v>
      </c>
      <c r="AR28" s="73">
        <f t="shared" si="10"/>
        <v>66.986179119199761</v>
      </c>
      <c r="AS28" s="73">
        <f t="shared" si="11"/>
        <v>0</v>
      </c>
      <c r="AT28" s="73">
        <f t="shared" si="12"/>
        <v>0.44396266623640868</v>
      </c>
      <c r="AU28" s="73">
        <f t="shared" si="13"/>
        <v>0</v>
      </c>
      <c r="AV28" s="73">
        <f t="shared" si="14"/>
        <v>12.65749610927822</v>
      </c>
      <c r="AW28" s="73">
        <f t="shared" si="15"/>
        <v>0</v>
      </c>
      <c r="AX28" s="73">
        <f t="shared" si="16"/>
        <v>0</v>
      </c>
      <c r="AY28" s="73">
        <f t="shared" si="17"/>
        <v>0</v>
      </c>
      <c r="AZ28" s="73">
        <f t="shared" si="18"/>
        <v>1.8183159664909684E-2</v>
      </c>
      <c r="BA28" s="73">
        <f t="shared" si="19"/>
        <v>5.1519734261279959</v>
      </c>
      <c r="BB28" s="73">
        <f t="shared" si="20"/>
        <v>10.442593783334996</v>
      </c>
      <c r="BC28" s="73">
        <f t="shared" si="21"/>
        <v>0</v>
      </c>
      <c r="BD28" s="73">
        <f t="shared" si="22"/>
        <v>0</v>
      </c>
      <c r="BE28" s="73">
        <f t="shared" si="23"/>
        <v>0</v>
      </c>
      <c r="BF28" s="73">
        <f t="shared" si="24"/>
        <v>0</v>
      </c>
      <c r="BG28" s="73">
        <f t="shared" si="25"/>
        <v>3.6628710714206187</v>
      </c>
      <c r="BH28" s="73">
        <f t="shared" si="26"/>
        <v>0.63674066473709356</v>
      </c>
      <c r="BI28" s="73">
        <f t="shared" si="27"/>
        <v>0</v>
      </c>
      <c r="BJ28" s="73">
        <f t="shared" si="28"/>
        <v>0</v>
      </c>
      <c r="BK28" s="73">
        <f t="shared" si="29"/>
        <v>0</v>
      </c>
      <c r="BL28" s="73">
        <f t="shared" si="30"/>
        <v>0</v>
      </c>
      <c r="BM28" s="73">
        <f t="shared" si="31"/>
        <v>0</v>
      </c>
      <c r="BN28" s="73">
        <f t="shared" si="32"/>
        <v>0</v>
      </c>
      <c r="BQ28">
        <f t="shared" si="3"/>
        <v>40.245296414815215</v>
      </c>
      <c r="BR28">
        <f t="shared" si="33"/>
        <v>0</v>
      </c>
      <c r="BS28">
        <f t="shared" si="34"/>
        <v>0.35472617032289055</v>
      </c>
      <c r="BT28">
        <f t="shared" si="35"/>
        <v>0</v>
      </c>
      <c r="BU28">
        <f t="shared" si="36"/>
        <v>12.905583033020074</v>
      </c>
      <c r="BV28">
        <f t="shared" si="37"/>
        <v>0</v>
      </c>
      <c r="BW28">
        <f t="shared" si="38"/>
        <v>0</v>
      </c>
      <c r="BX28">
        <f t="shared" si="39"/>
        <v>0</v>
      </c>
      <c r="BY28">
        <f t="shared" si="40"/>
        <v>1.2899133466286929E-2</v>
      </c>
      <c r="BZ28">
        <f t="shared" si="41"/>
        <v>2.0767604880721953</v>
      </c>
      <c r="CA28">
        <f t="shared" si="42"/>
        <v>5.8562065936942655</v>
      </c>
      <c r="CB28">
        <f t="shared" si="43"/>
        <v>0</v>
      </c>
      <c r="CC28">
        <f t="shared" si="44"/>
        <v>0</v>
      </c>
      <c r="CD28">
        <f t="shared" si="45"/>
        <v>0</v>
      </c>
      <c r="CE28">
        <f t="shared" si="46"/>
        <v>0</v>
      </c>
      <c r="CF28">
        <f t="shared" si="47"/>
        <v>2.2702474900664993</v>
      </c>
      <c r="CG28">
        <f t="shared" si="48"/>
        <v>0.59980970618234208</v>
      </c>
      <c r="CH28">
        <f t="shared" si="49"/>
        <v>0</v>
      </c>
      <c r="CI28">
        <f t="shared" si="50"/>
        <v>0</v>
      </c>
      <c r="CJ28">
        <f t="shared" si="51"/>
        <v>0</v>
      </c>
      <c r="CK28">
        <f t="shared" si="52"/>
        <v>0</v>
      </c>
      <c r="CL28">
        <f t="shared" si="53"/>
        <v>0</v>
      </c>
      <c r="CN28">
        <f t="shared" si="78"/>
        <v>64.321529029639777</v>
      </c>
      <c r="CP28">
        <f t="shared" si="54"/>
        <v>2.0095853735759928</v>
      </c>
      <c r="CQ28">
        <f t="shared" si="55"/>
        <v>0</v>
      </c>
      <c r="CR28">
        <f t="shared" si="56"/>
        <v>1.3318879987092261E-2</v>
      </c>
      <c r="CS28">
        <f t="shared" si="57"/>
        <v>0</v>
      </c>
      <c r="CT28">
        <f t="shared" si="58"/>
        <v>0.63287480546391106</v>
      </c>
      <c r="CU28">
        <f t="shared" si="59"/>
        <v>0</v>
      </c>
      <c r="CV28">
        <f t="shared" si="60"/>
        <v>0</v>
      </c>
      <c r="CW28">
        <f t="shared" si="61"/>
        <v>0</v>
      </c>
      <c r="CX28">
        <f t="shared" si="62"/>
        <v>3.6366319329819366E-4</v>
      </c>
      <c r="CY28">
        <f t="shared" si="63"/>
        <v>0.10303946852255992</v>
      </c>
      <c r="CZ28">
        <f t="shared" si="64"/>
        <v>0.20885187566669991</v>
      </c>
      <c r="DA28">
        <f t="shared" si="65"/>
        <v>0</v>
      </c>
      <c r="DB28">
        <f t="shared" si="66"/>
        <v>0</v>
      </c>
      <c r="DC28">
        <f t="shared" si="67"/>
        <v>0</v>
      </c>
      <c r="DD28">
        <f t="shared" si="68"/>
        <v>0</v>
      </c>
      <c r="DE28">
        <f t="shared" si="69"/>
        <v>0.10988613214261857</v>
      </c>
      <c r="DF28">
        <f t="shared" si="70"/>
        <v>1.9102219942112808E-2</v>
      </c>
      <c r="DG28">
        <f t="shared" si="71"/>
        <v>0</v>
      </c>
      <c r="DH28">
        <f t="shared" si="72"/>
        <v>0</v>
      </c>
      <c r="DI28">
        <f t="shared" si="73"/>
        <v>0</v>
      </c>
      <c r="DJ28">
        <f t="shared" si="74"/>
        <v>0</v>
      </c>
      <c r="DK28">
        <f t="shared" si="75"/>
        <v>0</v>
      </c>
      <c r="DM28">
        <f t="shared" si="76"/>
        <v>3.0970224184942854</v>
      </c>
    </row>
    <row r="29" spans="2:117">
      <c r="B29" s="48" t="s">
        <v>124</v>
      </c>
      <c r="C29" s="43">
        <v>2.6989999999999998</v>
      </c>
      <c r="D29" s="47">
        <v>983.3</v>
      </c>
      <c r="E29" s="47">
        <v>44.8</v>
      </c>
      <c r="F29" s="47">
        <v>6505</v>
      </c>
      <c r="G29" s="47">
        <v>3711</v>
      </c>
      <c r="H29" s="43">
        <f t="shared" si="0"/>
        <v>2.6331631295753183E+22</v>
      </c>
      <c r="I29" s="43">
        <f t="shared" si="4"/>
        <v>7.691587133982826E+22</v>
      </c>
      <c r="J29" s="42">
        <f t="shared" si="5"/>
        <v>114.20825247499999</v>
      </c>
      <c r="K29" s="42">
        <f t="shared" si="6"/>
        <v>37.169335179000001</v>
      </c>
      <c r="L29" s="42">
        <f t="shared" si="7"/>
        <v>109.36307785240584</v>
      </c>
      <c r="M29" s="79">
        <f t="shared" si="79"/>
        <v>105.24257210688171</v>
      </c>
      <c r="N29" s="79"/>
      <c r="O29" s="52" t="str">
        <f t="shared" si="2"/>
        <v>Bas</v>
      </c>
      <c r="P29" s="87">
        <v>50.22</v>
      </c>
      <c r="Q29" s="87"/>
      <c r="R29" s="87">
        <v>2.63</v>
      </c>
      <c r="S29" s="87"/>
      <c r="T29" s="87">
        <v>18.91</v>
      </c>
      <c r="U29" s="87"/>
      <c r="V29" s="87"/>
      <c r="W29" s="87"/>
      <c r="X29" s="87"/>
      <c r="Y29" s="87">
        <v>11.15</v>
      </c>
      <c r="Z29" s="87">
        <v>12.46</v>
      </c>
      <c r="AA29" s="87"/>
      <c r="AB29" s="87"/>
      <c r="AC29" s="87"/>
      <c r="AD29" s="87"/>
      <c r="AE29" s="87">
        <v>3.19</v>
      </c>
      <c r="AF29" s="87">
        <v>1.4</v>
      </c>
      <c r="AG29" s="87"/>
      <c r="AH29" s="87"/>
      <c r="AI29" s="87"/>
      <c r="AJ29" s="87"/>
      <c r="AK29" s="87"/>
      <c r="AL29" s="87"/>
      <c r="AM29" s="86">
        <f t="shared" si="77"/>
        <v>99.960000000000008</v>
      </c>
      <c r="AO29" s="71">
        <f t="shared" si="8"/>
        <v>1.6193856281556627</v>
      </c>
      <c r="AQ29" s="97" t="str">
        <f t="shared" si="9"/>
        <v>Bas</v>
      </c>
      <c r="AR29" s="73">
        <f t="shared" si="10"/>
        <v>51.617445004167521</v>
      </c>
      <c r="AS29" s="73">
        <f t="shared" si="11"/>
        <v>0</v>
      </c>
      <c r="AT29" s="73">
        <f t="shared" si="12"/>
        <v>2.0326316727267382</v>
      </c>
      <c r="AU29" s="73">
        <f t="shared" si="13"/>
        <v>0</v>
      </c>
      <c r="AV29" s="73">
        <f t="shared" si="14"/>
        <v>11.452793267201944</v>
      </c>
      <c r="AW29" s="73">
        <f t="shared" si="15"/>
        <v>0</v>
      </c>
      <c r="AX29" s="73">
        <f t="shared" si="16"/>
        <v>0</v>
      </c>
      <c r="AY29" s="73">
        <f t="shared" si="17"/>
        <v>0</v>
      </c>
      <c r="AZ29" s="73">
        <f t="shared" si="18"/>
        <v>0</v>
      </c>
      <c r="BA29" s="73">
        <f t="shared" si="19"/>
        <v>17.080940843040207</v>
      </c>
      <c r="BB29" s="73">
        <f t="shared" si="20"/>
        <v>13.720178345911295</v>
      </c>
      <c r="BC29" s="73">
        <f t="shared" si="21"/>
        <v>0</v>
      </c>
      <c r="BD29" s="73">
        <f t="shared" si="22"/>
        <v>0</v>
      </c>
      <c r="BE29" s="73">
        <f t="shared" si="23"/>
        <v>0</v>
      </c>
      <c r="BF29" s="73">
        <f t="shared" si="24"/>
        <v>0</v>
      </c>
      <c r="BG29" s="73">
        <f t="shared" si="25"/>
        <v>3.1782556704558433</v>
      </c>
      <c r="BH29" s="73">
        <f t="shared" si="26"/>
        <v>0.91775519649646387</v>
      </c>
      <c r="BI29" s="73">
        <f t="shared" si="27"/>
        <v>0</v>
      </c>
      <c r="BJ29" s="73">
        <f t="shared" si="28"/>
        <v>0</v>
      </c>
      <c r="BK29" s="73">
        <f t="shared" si="29"/>
        <v>0</v>
      </c>
      <c r="BL29" s="73">
        <f t="shared" si="30"/>
        <v>0</v>
      </c>
      <c r="BM29" s="73">
        <f t="shared" si="31"/>
        <v>0</v>
      </c>
      <c r="BN29" s="73">
        <f t="shared" si="32"/>
        <v>0</v>
      </c>
      <c r="BQ29">
        <f t="shared" si="3"/>
        <v>31.011760958503842</v>
      </c>
      <c r="BR29">
        <f t="shared" si="33"/>
        <v>0</v>
      </c>
      <c r="BS29">
        <f t="shared" si="34"/>
        <v>1.624072706508664</v>
      </c>
      <c r="BT29">
        <f t="shared" si="35"/>
        <v>0</v>
      </c>
      <c r="BU29">
        <f t="shared" si="36"/>
        <v>11.6772680152391</v>
      </c>
      <c r="BV29">
        <f t="shared" si="37"/>
        <v>0</v>
      </c>
      <c r="BW29">
        <f t="shared" si="38"/>
        <v>0</v>
      </c>
      <c r="BX29">
        <f t="shared" si="39"/>
        <v>0</v>
      </c>
      <c r="BY29">
        <f t="shared" si="40"/>
        <v>0</v>
      </c>
      <c r="BZ29">
        <f t="shared" si="41"/>
        <v>6.8853272538295078</v>
      </c>
      <c r="CA29">
        <f t="shared" si="42"/>
        <v>7.6942760163870529</v>
      </c>
      <c r="CB29">
        <f t="shared" si="43"/>
        <v>0</v>
      </c>
      <c r="CC29">
        <f t="shared" si="44"/>
        <v>0</v>
      </c>
      <c r="CD29">
        <f t="shared" si="45"/>
        <v>0</v>
      </c>
      <c r="CE29">
        <f t="shared" si="46"/>
        <v>0</v>
      </c>
      <c r="CF29">
        <f t="shared" si="47"/>
        <v>1.9698828645485318</v>
      </c>
      <c r="CG29">
        <f t="shared" si="48"/>
        <v>0.86452539509966897</v>
      </c>
      <c r="CH29">
        <f t="shared" si="49"/>
        <v>0</v>
      </c>
      <c r="CI29">
        <f t="shared" si="50"/>
        <v>0</v>
      </c>
      <c r="CJ29">
        <f t="shared" si="51"/>
        <v>0</v>
      </c>
      <c r="CK29">
        <f t="shared" si="52"/>
        <v>0</v>
      </c>
      <c r="CL29">
        <f t="shared" si="53"/>
        <v>0</v>
      </c>
      <c r="CN29">
        <f t="shared" si="78"/>
        <v>61.727113210116364</v>
      </c>
      <c r="CP29">
        <f t="shared" si="54"/>
        <v>1.5485233501250255</v>
      </c>
      <c r="CQ29">
        <f t="shared" si="55"/>
        <v>0</v>
      </c>
      <c r="CR29">
        <f t="shared" si="56"/>
        <v>6.0978950181802147E-2</v>
      </c>
      <c r="CS29">
        <f t="shared" si="57"/>
        <v>0</v>
      </c>
      <c r="CT29">
        <f t="shared" si="58"/>
        <v>0.5726396633600972</v>
      </c>
      <c r="CU29">
        <f t="shared" si="59"/>
        <v>0</v>
      </c>
      <c r="CV29">
        <f t="shared" si="60"/>
        <v>0</v>
      </c>
      <c r="CW29">
        <f t="shared" si="61"/>
        <v>0</v>
      </c>
      <c r="CX29">
        <f t="shared" si="62"/>
        <v>0</v>
      </c>
      <c r="CY29">
        <f t="shared" si="63"/>
        <v>0.34161881686080414</v>
      </c>
      <c r="CZ29">
        <f t="shared" si="64"/>
        <v>0.27440356691822587</v>
      </c>
      <c r="DA29">
        <f t="shared" si="65"/>
        <v>0</v>
      </c>
      <c r="DB29">
        <f t="shared" si="66"/>
        <v>0</v>
      </c>
      <c r="DC29">
        <f t="shared" si="67"/>
        <v>0</v>
      </c>
      <c r="DD29">
        <f t="shared" si="68"/>
        <v>0</v>
      </c>
      <c r="DE29">
        <f t="shared" si="69"/>
        <v>9.5347670113675315E-2</v>
      </c>
      <c r="DF29">
        <f t="shared" si="70"/>
        <v>2.7532655894893916E-2</v>
      </c>
      <c r="DG29">
        <f t="shared" si="71"/>
        <v>0</v>
      </c>
      <c r="DH29">
        <f t="shared" si="72"/>
        <v>0</v>
      </c>
      <c r="DI29">
        <f t="shared" si="73"/>
        <v>0</v>
      </c>
      <c r="DJ29">
        <f t="shared" si="74"/>
        <v>0</v>
      </c>
      <c r="DK29">
        <f t="shared" si="75"/>
        <v>0</v>
      </c>
      <c r="DM29">
        <f t="shared" si="76"/>
        <v>2.9210446734545239</v>
      </c>
    </row>
    <row r="30" spans="2:117">
      <c r="B30" s="48" t="s">
        <v>125</v>
      </c>
      <c r="C30" s="43">
        <v>2.4620000000000002</v>
      </c>
      <c r="D30" s="47">
        <v>917.7</v>
      </c>
      <c r="E30" s="47">
        <v>28.4</v>
      </c>
      <c r="F30" s="47">
        <v>5839</v>
      </c>
      <c r="G30" s="47">
        <v>3493</v>
      </c>
      <c r="H30" s="43">
        <f t="shared" si="0"/>
        <v>2.2193322014187849E+22</v>
      </c>
      <c r="I30" s="43">
        <f t="shared" si="4"/>
        <v>7.0918777801400627E+22</v>
      </c>
      <c r="J30" s="42">
        <f t="shared" si="5"/>
        <v>83.939233502000008</v>
      </c>
      <c r="K30" s="42">
        <f t="shared" si="6"/>
        <v>30.038982638000004</v>
      </c>
      <c r="L30" s="42">
        <f t="shared" si="7"/>
        <v>88.309119831111587</v>
      </c>
      <c r="M30" s="79">
        <f t="shared" si="79"/>
        <v>84.340027474489176</v>
      </c>
      <c r="N30" s="79"/>
      <c r="O30" s="52" t="str">
        <f t="shared" si="2"/>
        <v>Phon</v>
      </c>
      <c r="P30" s="87">
        <v>58.82</v>
      </c>
      <c r="Q30" s="87"/>
      <c r="R30" s="87">
        <v>0.79</v>
      </c>
      <c r="S30" s="87"/>
      <c r="T30" s="87">
        <v>19.420000000000002</v>
      </c>
      <c r="U30" s="87"/>
      <c r="V30" s="87"/>
      <c r="W30" s="87"/>
      <c r="X30" s="87"/>
      <c r="Y30" s="87">
        <v>1.87</v>
      </c>
      <c r="Z30" s="87">
        <v>2.35</v>
      </c>
      <c r="AA30" s="87"/>
      <c r="AB30" s="87"/>
      <c r="AC30" s="87"/>
      <c r="AD30" s="87"/>
      <c r="AE30" s="87">
        <v>9.31</v>
      </c>
      <c r="AF30" s="87">
        <v>7.44</v>
      </c>
      <c r="AG30" s="87"/>
      <c r="AH30" s="87"/>
      <c r="AI30" s="87"/>
      <c r="AJ30" s="87"/>
      <c r="AK30" s="87"/>
      <c r="AL30" s="87"/>
      <c r="AM30" s="86">
        <f t="shared" si="77"/>
        <v>100</v>
      </c>
      <c r="AO30" s="71">
        <f t="shared" si="8"/>
        <v>1.4968677045409351</v>
      </c>
      <c r="AQ30" s="97" t="str">
        <f t="shared" si="9"/>
        <v>Phon</v>
      </c>
      <c r="AR30" s="73">
        <f t="shared" si="10"/>
        <v>65.405109599624254</v>
      </c>
      <c r="AS30" s="73">
        <f t="shared" si="11"/>
        <v>0</v>
      </c>
      <c r="AT30" s="73">
        <f t="shared" si="12"/>
        <v>0.66053661048362577</v>
      </c>
      <c r="AU30" s="73">
        <f t="shared" si="13"/>
        <v>0</v>
      </c>
      <c r="AV30" s="73">
        <f t="shared" si="14"/>
        <v>12.724360955025825</v>
      </c>
      <c r="AW30" s="73">
        <f t="shared" si="15"/>
        <v>0</v>
      </c>
      <c r="AX30" s="73">
        <f t="shared" si="16"/>
        <v>0</v>
      </c>
      <c r="AY30" s="73">
        <f t="shared" si="17"/>
        <v>0</v>
      </c>
      <c r="AZ30" s="73">
        <f t="shared" si="18"/>
        <v>0</v>
      </c>
      <c r="BA30" s="73">
        <f t="shared" si="19"/>
        <v>3.0991699324598283</v>
      </c>
      <c r="BB30" s="73">
        <f t="shared" si="20"/>
        <v>2.7994740034006127</v>
      </c>
      <c r="BC30" s="73">
        <f t="shared" si="21"/>
        <v>0</v>
      </c>
      <c r="BD30" s="73">
        <f t="shared" si="22"/>
        <v>0</v>
      </c>
      <c r="BE30" s="73">
        <f t="shared" si="23"/>
        <v>0</v>
      </c>
      <c r="BF30" s="73">
        <f t="shared" si="24"/>
        <v>0</v>
      </c>
      <c r="BG30" s="73">
        <f t="shared" si="25"/>
        <v>10.034937932282041</v>
      </c>
      <c r="BH30" s="73">
        <f t="shared" si="26"/>
        <v>5.2764109667238346</v>
      </c>
      <c r="BI30" s="73">
        <f t="shared" si="27"/>
        <v>0</v>
      </c>
      <c r="BJ30" s="73">
        <f t="shared" si="28"/>
        <v>0</v>
      </c>
      <c r="BK30" s="73">
        <f t="shared" si="29"/>
        <v>0</v>
      </c>
      <c r="BL30" s="73">
        <f t="shared" si="30"/>
        <v>0</v>
      </c>
      <c r="BM30" s="73">
        <f t="shared" si="31"/>
        <v>0</v>
      </c>
      <c r="BN30" s="73">
        <f t="shared" si="32"/>
        <v>0</v>
      </c>
      <c r="BQ30">
        <f t="shared" si="3"/>
        <v>39.295389847454253</v>
      </c>
      <c r="BR30">
        <f t="shared" si="33"/>
        <v>0</v>
      </c>
      <c r="BS30">
        <f t="shared" si="34"/>
        <v>0.52776875177641702</v>
      </c>
      <c r="BT30">
        <f t="shared" si="35"/>
        <v>0</v>
      </c>
      <c r="BU30">
        <f t="shared" si="36"/>
        <v>12.973758429744329</v>
      </c>
      <c r="BV30">
        <f t="shared" si="37"/>
        <v>0</v>
      </c>
      <c r="BW30">
        <f t="shared" si="38"/>
        <v>0</v>
      </c>
      <c r="BX30">
        <f t="shared" si="39"/>
        <v>0</v>
      </c>
      <c r="BY30">
        <f t="shared" si="40"/>
        <v>0</v>
      </c>
      <c r="BZ30">
        <f t="shared" si="41"/>
        <v>1.2492753997745569</v>
      </c>
      <c r="CA30">
        <f t="shared" si="42"/>
        <v>1.5699450211070636</v>
      </c>
      <c r="CB30">
        <f t="shared" si="43"/>
        <v>0</v>
      </c>
      <c r="CC30">
        <f t="shared" si="44"/>
        <v>0</v>
      </c>
      <c r="CD30">
        <f t="shared" si="45"/>
        <v>0</v>
      </c>
      <c r="CE30">
        <f t="shared" si="46"/>
        <v>0</v>
      </c>
      <c r="CF30">
        <f t="shared" si="47"/>
        <v>6.219654530428409</v>
      </c>
      <c r="CG30">
        <f t="shared" si="48"/>
        <v>4.9703791306538525</v>
      </c>
      <c r="CH30">
        <f t="shared" si="49"/>
        <v>0</v>
      </c>
      <c r="CI30">
        <f t="shared" si="50"/>
        <v>0</v>
      </c>
      <c r="CJ30">
        <f t="shared" si="51"/>
        <v>0</v>
      </c>
      <c r="CK30">
        <f t="shared" si="52"/>
        <v>0</v>
      </c>
      <c r="CL30">
        <f t="shared" si="53"/>
        <v>0</v>
      </c>
      <c r="CN30">
        <f t="shared" si="78"/>
        <v>66.806171110938877</v>
      </c>
      <c r="CP30">
        <f t="shared" si="54"/>
        <v>1.9621532879887278</v>
      </c>
      <c r="CQ30">
        <f t="shared" si="55"/>
        <v>0</v>
      </c>
      <c r="CR30">
        <f t="shared" si="56"/>
        <v>1.981609831450877E-2</v>
      </c>
      <c r="CS30">
        <f t="shared" si="57"/>
        <v>0</v>
      </c>
      <c r="CT30">
        <f t="shared" si="58"/>
        <v>0.6362180477512912</v>
      </c>
      <c r="CU30">
        <f t="shared" si="59"/>
        <v>0</v>
      </c>
      <c r="CV30">
        <f t="shared" si="60"/>
        <v>0</v>
      </c>
      <c r="CW30">
        <f t="shared" si="61"/>
        <v>0</v>
      </c>
      <c r="CX30">
        <f t="shared" si="62"/>
        <v>0</v>
      </c>
      <c r="CY30">
        <f t="shared" si="63"/>
        <v>6.1983398649196567E-2</v>
      </c>
      <c r="CZ30">
        <f t="shared" si="64"/>
        <v>5.5989480068012257E-2</v>
      </c>
      <c r="DA30">
        <f t="shared" si="65"/>
        <v>0</v>
      </c>
      <c r="DB30">
        <f t="shared" si="66"/>
        <v>0</v>
      </c>
      <c r="DC30">
        <f t="shared" si="67"/>
        <v>0</v>
      </c>
      <c r="DD30">
        <f t="shared" si="68"/>
        <v>0</v>
      </c>
      <c r="DE30">
        <f t="shared" si="69"/>
        <v>0.30104813796846125</v>
      </c>
      <c r="DF30">
        <f t="shared" si="70"/>
        <v>0.15829232900171503</v>
      </c>
      <c r="DG30">
        <f t="shared" si="71"/>
        <v>0</v>
      </c>
      <c r="DH30">
        <f t="shared" si="72"/>
        <v>0</v>
      </c>
      <c r="DI30">
        <f t="shared" si="73"/>
        <v>0</v>
      </c>
      <c r="DJ30">
        <f t="shared" si="74"/>
        <v>0</v>
      </c>
      <c r="DK30">
        <f t="shared" si="75"/>
        <v>0</v>
      </c>
      <c r="DM30">
        <f t="shared" si="76"/>
        <v>3.1955007797419128</v>
      </c>
    </row>
    <row r="31" spans="2:117">
      <c r="B31" s="48" t="s">
        <v>126</v>
      </c>
      <c r="C31" s="43">
        <v>2.456</v>
      </c>
      <c r="D31" s="47">
        <v>969.8</v>
      </c>
      <c r="E31" s="47">
        <v>31.1</v>
      </c>
      <c r="F31" s="47">
        <v>5932</v>
      </c>
      <c r="G31" s="47">
        <v>3580</v>
      </c>
      <c r="H31" s="43">
        <f t="shared" si="0"/>
        <v>2.2993372556529165E+22</v>
      </c>
      <c r="I31" s="43">
        <f t="shared" si="4"/>
        <v>7.1342780774709855E+22</v>
      </c>
      <c r="J31" s="42">
        <f t="shared" si="5"/>
        <v>86.423260544000001</v>
      </c>
      <c r="K31" s="42">
        <f t="shared" si="6"/>
        <v>31.4770784</v>
      </c>
      <c r="L31" s="42">
        <f t="shared" si="7"/>
        <v>92.558236367218839</v>
      </c>
      <c r="M31" s="79">
        <f t="shared" si="79"/>
        <v>88.619776202904475</v>
      </c>
      <c r="N31" s="79"/>
      <c r="O31" s="52" t="str">
        <f t="shared" si="2"/>
        <v>Trach</v>
      </c>
      <c r="P31" s="87">
        <v>64.45</v>
      </c>
      <c r="Q31" s="87"/>
      <c r="R31" s="87">
        <v>0.5</v>
      </c>
      <c r="S31" s="87"/>
      <c r="T31" s="87">
        <v>16.71</v>
      </c>
      <c r="U31" s="87"/>
      <c r="V31" s="87"/>
      <c r="W31" s="87"/>
      <c r="X31" s="87"/>
      <c r="Y31" s="87">
        <v>2.92</v>
      </c>
      <c r="Z31" s="87">
        <v>5.36</v>
      </c>
      <c r="AA31" s="87"/>
      <c r="AB31" s="87"/>
      <c r="AC31" s="87"/>
      <c r="AD31" s="87"/>
      <c r="AE31" s="87">
        <v>6.7</v>
      </c>
      <c r="AF31" s="87">
        <v>3.37</v>
      </c>
      <c r="AG31" s="87"/>
      <c r="AH31" s="87"/>
      <c r="AI31" s="87"/>
      <c r="AJ31" s="87"/>
      <c r="AK31" s="87"/>
      <c r="AL31" s="87"/>
      <c r="AM31" s="86">
        <f t="shared" si="77"/>
        <v>100.01</v>
      </c>
      <c r="AO31" s="71">
        <f t="shared" si="8"/>
        <v>1.554772653686995</v>
      </c>
      <c r="AQ31" s="97" t="str">
        <f t="shared" si="9"/>
        <v>Trach</v>
      </c>
      <c r="AR31" s="73">
        <f t="shared" si="10"/>
        <v>68.996348050462529</v>
      </c>
      <c r="AS31" s="73">
        <f t="shared" si="11"/>
        <v>0</v>
      </c>
      <c r="AT31" s="73">
        <f t="shared" si="12"/>
        <v>0.40249114640699918</v>
      </c>
      <c r="AU31" s="73">
        <f t="shared" si="13"/>
        <v>0</v>
      </c>
      <c r="AV31" s="73">
        <f t="shared" si="14"/>
        <v>10.540949427446655</v>
      </c>
      <c r="AW31" s="73">
        <f t="shared" si="15"/>
        <v>0</v>
      </c>
      <c r="AX31" s="73">
        <f t="shared" si="16"/>
        <v>0</v>
      </c>
      <c r="AY31" s="73">
        <f t="shared" si="17"/>
        <v>0</v>
      </c>
      <c r="AZ31" s="73">
        <f t="shared" si="18"/>
        <v>0</v>
      </c>
      <c r="BA31" s="73">
        <f t="shared" si="19"/>
        <v>4.6591121005171994</v>
      </c>
      <c r="BB31" s="73">
        <f t="shared" si="20"/>
        <v>6.1473776150088124</v>
      </c>
      <c r="BC31" s="73">
        <f t="shared" si="21"/>
        <v>0</v>
      </c>
      <c r="BD31" s="73">
        <f t="shared" si="22"/>
        <v>0</v>
      </c>
      <c r="BE31" s="73">
        <f t="shared" si="23"/>
        <v>0</v>
      </c>
      <c r="BF31" s="73">
        <f t="shared" si="24"/>
        <v>0</v>
      </c>
      <c r="BG31" s="73">
        <f t="shared" si="25"/>
        <v>6.9527455761877661</v>
      </c>
      <c r="BH31" s="73">
        <f t="shared" si="26"/>
        <v>2.3009760839700171</v>
      </c>
      <c r="BI31" s="73">
        <f t="shared" si="27"/>
        <v>0</v>
      </c>
      <c r="BJ31" s="73">
        <f t="shared" si="28"/>
        <v>0</v>
      </c>
      <c r="BK31" s="73">
        <f t="shared" si="29"/>
        <v>0</v>
      </c>
      <c r="BL31" s="73">
        <f t="shared" si="30"/>
        <v>0</v>
      </c>
      <c r="BM31" s="73">
        <f t="shared" si="31"/>
        <v>0</v>
      </c>
      <c r="BN31" s="73">
        <f t="shared" si="32"/>
        <v>0</v>
      </c>
      <c r="BQ31">
        <f t="shared" si="3"/>
        <v>41.453005908717884</v>
      </c>
      <c r="BR31">
        <f t="shared" si="33"/>
        <v>0</v>
      </c>
      <c r="BS31">
        <f t="shared" si="34"/>
        <v>0.32159042597919235</v>
      </c>
      <c r="BT31">
        <f t="shared" si="35"/>
        <v>0</v>
      </c>
      <c r="BU31">
        <f t="shared" si="36"/>
        <v>10.74755203622461</v>
      </c>
      <c r="BV31">
        <f t="shared" si="37"/>
        <v>0</v>
      </c>
      <c r="BW31">
        <f t="shared" si="38"/>
        <v>0</v>
      </c>
      <c r="BX31">
        <f t="shared" si="39"/>
        <v>0</v>
      </c>
      <c r="BY31">
        <f t="shared" si="40"/>
        <v>0</v>
      </c>
      <c r="BZ31">
        <f t="shared" si="41"/>
        <v>1.8780880877184831</v>
      </c>
      <c r="CA31">
        <f t="shared" si="42"/>
        <v>3.4474493664969419</v>
      </c>
      <c r="CB31">
        <f t="shared" si="43"/>
        <v>0</v>
      </c>
      <c r="CC31">
        <f t="shared" si="44"/>
        <v>0</v>
      </c>
      <c r="CD31">
        <f t="shared" si="45"/>
        <v>0</v>
      </c>
      <c r="CE31">
        <f t="shared" si="46"/>
        <v>0</v>
      </c>
      <c r="CF31">
        <f t="shared" si="47"/>
        <v>4.3093117081211769</v>
      </c>
      <c r="CG31">
        <f t="shared" si="48"/>
        <v>2.1675194710997561</v>
      </c>
      <c r="CH31">
        <f t="shared" si="49"/>
        <v>0</v>
      </c>
      <c r="CI31">
        <f t="shared" si="50"/>
        <v>0</v>
      </c>
      <c r="CJ31">
        <f t="shared" si="51"/>
        <v>0</v>
      </c>
      <c r="CK31">
        <f t="shared" si="52"/>
        <v>0</v>
      </c>
      <c r="CL31">
        <f t="shared" si="53"/>
        <v>0</v>
      </c>
      <c r="CN31">
        <f t="shared" si="78"/>
        <v>64.324517004358043</v>
      </c>
      <c r="CP31">
        <f t="shared" si="54"/>
        <v>2.0698904415138761</v>
      </c>
      <c r="CQ31">
        <f t="shared" si="55"/>
        <v>0</v>
      </c>
      <c r="CR31">
        <f t="shared" si="56"/>
        <v>1.2074734392209975E-2</v>
      </c>
      <c r="CS31">
        <f t="shared" si="57"/>
        <v>0</v>
      </c>
      <c r="CT31">
        <f t="shared" si="58"/>
        <v>0.52704747137233277</v>
      </c>
      <c r="CU31">
        <f t="shared" si="59"/>
        <v>0</v>
      </c>
      <c r="CV31">
        <f t="shared" si="60"/>
        <v>0</v>
      </c>
      <c r="CW31">
        <f t="shared" si="61"/>
        <v>0</v>
      </c>
      <c r="CX31">
        <f t="shared" si="62"/>
        <v>0</v>
      </c>
      <c r="CY31">
        <f t="shared" si="63"/>
        <v>9.3182242010343988E-2</v>
      </c>
      <c r="CZ31">
        <f t="shared" si="64"/>
        <v>0.12294755230017625</v>
      </c>
      <c r="DA31">
        <f t="shared" si="65"/>
        <v>0</v>
      </c>
      <c r="DB31">
        <f t="shared" si="66"/>
        <v>0</v>
      </c>
      <c r="DC31">
        <f t="shared" si="67"/>
        <v>0</v>
      </c>
      <c r="DD31">
        <f t="shared" si="68"/>
        <v>0</v>
      </c>
      <c r="DE31">
        <f t="shared" si="69"/>
        <v>0.20858236728563298</v>
      </c>
      <c r="DF31">
        <f t="shared" si="70"/>
        <v>6.902928251910051E-2</v>
      </c>
      <c r="DG31">
        <f t="shared" si="71"/>
        <v>0</v>
      </c>
      <c r="DH31">
        <f t="shared" si="72"/>
        <v>0</v>
      </c>
      <c r="DI31">
        <f t="shared" si="73"/>
        <v>0</v>
      </c>
      <c r="DJ31">
        <f t="shared" si="74"/>
        <v>0</v>
      </c>
      <c r="DK31">
        <f t="shared" si="75"/>
        <v>0</v>
      </c>
      <c r="DM31">
        <f t="shared" si="76"/>
        <v>3.1027540913936722</v>
      </c>
    </row>
    <row r="32" spans="2:117">
      <c r="B32" s="48" t="s">
        <v>127</v>
      </c>
      <c r="C32" s="43">
        <v>2.677</v>
      </c>
      <c r="D32" s="47">
        <v>932.8</v>
      </c>
      <c r="E32" s="47">
        <v>45.2</v>
      </c>
      <c r="F32" s="47">
        <v>6232</v>
      </c>
      <c r="G32" s="47">
        <v>3558</v>
      </c>
      <c r="H32" s="43">
        <f t="shared" si="0"/>
        <v>2.622837878219643E+22</v>
      </c>
      <c r="I32" s="43">
        <f t="shared" si="4"/>
        <v>7.5320607600231519E+22</v>
      </c>
      <c r="J32" s="42">
        <f t="shared" si="5"/>
        <v>103.96885484800001</v>
      </c>
      <c r="K32" s="42">
        <f t="shared" si="6"/>
        <v>33.889117428000006</v>
      </c>
      <c r="L32" s="42">
        <f t="shared" si="7"/>
        <v>99.530835372701631</v>
      </c>
      <c r="M32" s="79">
        <f t="shared" si="79"/>
        <v>95.53186631180354</v>
      </c>
      <c r="N32" s="79"/>
      <c r="O32" s="52" t="str">
        <f t="shared" si="2"/>
        <v>Teph</v>
      </c>
      <c r="P32" s="87">
        <v>50.56</v>
      </c>
      <c r="Q32" s="87"/>
      <c r="R32" s="87">
        <v>2.35</v>
      </c>
      <c r="S32" s="87"/>
      <c r="T32" s="87">
        <v>14.03</v>
      </c>
      <c r="U32" s="87"/>
      <c r="V32" s="87"/>
      <c r="W32" s="87"/>
      <c r="X32" s="87"/>
      <c r="Y32" s="87">
        <v>8.7899999999999991</v>
      </c>
      <c r="Z32" s="87">
        <v>15</v>
      </c>
      <c r="AA32" s="87"/>
      <c r="AB32" s="87"/>
      <c r="AC32" s="87"/>
      <c r="AD32" s="87"/>
      <c r="AE32" s="87">
        <v>7.04</v>
      </c>
      <c r="AF32" s="87">
        <v>3.01</v>
      </c>
      <c r="AG32" s="87"/>
      <c r="AH32" s="87"/>
      <c r="AI32" s="87"/>
      <c r="AJ32" s="87"/>
      <c r="AK32" s="87"/>
      <c r="AL32" s="87"/>
      <c r="AM32" s="86">
        <f t="shared" si="77"/>
        <v>100.78</v>
      </c>
      <c r="AO32" s="71">
        <f t="shared" si="8"/>
        <v>1.6396327421505565</v>
      </c>
      <c r="AQ32" s="97" t="str">
        <f t="shared" si="9"/>
        <v>Teph</v>
      </c>
      <c r="AR32" s="73">
        <f t="shared" si="10"/>
        <v>51.325189205884946</v>
      </c>
      <c r="AS32" s="73">
        <f t="shared" si="11"/>
        <v>0</v>
      </c>
      <c r="AT32" s="73">
        <f t="shared" si="12"/>
        <v>1.7938019868586927</v>
      </c>
      <c r="AU32" s="73">
        <f t="shared" si="13"/>
        <v>0</v>
      </c>
      <c r="AV32" s="73">
        <f t="shared" si="14"/>
        <v>8.3923050585654551</v>
      </c>
      <c r="AW32" s="73">
        <f t="shared" si="15"/>
        <v>0</v>
      </c>
      <c r="AX32" s="73">
        <f t="shared" si="16"/>
        <v>0</v>
      </c>
      <c r="AY32" s="73">
        <f t="shared" si="17"/>
        <v>0</v>
      </c>
      <c r="AZ32" s="73">
        <f t="shared" si="18"/>
        <v>0</v>
      </c>
      <c r="BA32" s="73">
        <f t="shared" si="19"/>
        <v>13.299321800858072</v>
      </c>
      <c r="BB32" s="73">
        <f t="shared" si="20"/>
        <v>16.313106513871851</v>
      </c>
      <c r="BC32" s="73">
        <f t="shared" si="21"/>
        <v>0</v>
      </c>
      <c r="BD32" s="73">
        <f t="shared" si="22"/>
        <v>0</v>
      </c>
      <c r="BE32" s="73">
        <f t="shared" si="23"/>
        <v>0</v>
      </c>
      <c r="BF32" s="73">
        <f t="shared" si="24"/>
        <v>0</v>
      </c>
      <c r="BG32" s="73">
        <f t="shared" si="25"/>
        <v>6.9274676278557079</v>
      </c>
      <c r="BH32" s="73">
        <f t="shared" si="26"/>
        <v>1.9488078061052934</v>
      </c>
      <c r="BI32" s="73">
        <f t="shared" si="27"/>
        <v>0</v>
      </c>
      <c r="BJ32" s="73">
        <f t="shared" si="28"/>
        <v>0</v>
      </c>
      <c r="BK32" s="73">
        <f t="shared" si="29"/>
        <v>0</v>
      </c>
      <c r="BL32" s="73">
        <f t="shared" si="30"/>
        <v>0</v>
      </c>
      <c r="BM32" s="73">
        <f t="shared" si="31"/>
        <v>0</v>
      </c>
      <c r="BN32" s="73">
        <f t="shared" si="32"/>
        <v>0</v>
      </c>
      <c r="BQ32">
        <f t="shared" si="3"/>
        <v>30.836173674895676</v>
      </c>
      <c r="BR32">
        <f t="shared" si="33"/>
        <v>0</v>
      </c>
      <c r="BS32">
        <f t="shared" si="34"/>
        <v>1.4332477875000955</v>
      </c>
      <c r="BT32">
        <f t="shared" si="35"/>
        <v>0</v>
      </c>
      <c r="BU32">
        <f t="shared" si="36"/>
        <v>8.556794237713337</v>
      </c>
      <c r="BV32">
        <f t="shared" si="37"/>
        <v>0</v>
      </c>
      <c r="BW32">
        <f t="shared" si="38"/>
        <v>0</v>
      </c>
      <c r="BX32">
        <f t="shared" si="39"/>
        <v>0</v>
      </c>
      <c r="BY32">
        <f t="shared" si="40"/>
        <v>0</v>
      </c>
      <c r="BZ32">
        <f t="shared" si="41"/>
        <v>5.360956617925889</v>
      </c>
      <c r="CA32">
        <f t="shared" si="42"/>
        <v>9.1483901329793333</v>
      </c>
      <c r="CB32">
        <f t="shared" si="43"/>
        <v>0</v>
      </c>
      <c r="CC32">
        <f t="shared" si="44"/>
        <v>0</v>
      </c>
      <c r="CD32">
        <f t="shared" si="45"/>
        <v>0</v>
      </c>
      <c r="CE32">
        <f t="shared" si="46"/>
        <v>0</v>
      </c>
      <c r="CF32">
        <f t="shared" si="47"/>
        <v>4.2936444357449668</v>
      </c>
      <c r="CG32">
        <f t="shared" si="48"/>
        <v>1.8357769533511863</v>
      </c>
      <c r="CH32">
        <f t="shared" si="49"/>
        <v>0</v>
      </c>
      <c r="CI32">
        <f t="shared" si="50"/>
        <v>0</v>
      </c>
      <c r="CJ32">
        <f t="shared" si="51"/>
        <v>0</v>
      </c>
      <c r="CK32">
        <f t="shared" si="52"/>
        <v>0</v>
      </c>
      <c r="CL32">
        <f t="shared" si="53"/>
        <v>0</v>
      </c>
      <c r="CN32">
        <f t="shared" si="78"/>
        <v>61.464983840110477</v>
      </c>
      <c r="CP32">
        <f t="shared" si="54"/>
        <v>1.5397556761765485</v>
      </c>
      <c r="CQ32">
        <f t="shared" si="55"/>
        <v>0</v>
      </c>
      <c r="CR32">
        <f t="shared" si="56"/>
        <v>5.3814059605760786E-2</v>
      </c>
      <c r="CS32">
        <f t="shared" si="57"/>
        <v>0</v>
      </c>
      <c r="CT32">
        <f t="shared" si="58"/>
        <v>0.41961525292827273</v>
      </c>
      <c r="CU32">
        <f t="shared" si="59"/>
        <v>0</v>
      </c>
      <c r="CV32">
        <f t="shared" si="60"/>
        <v>0</v>
      </c>
      <c r="CW32">
        <f t="shared" si="61"/>
        <v>0</v>
      </c>
      <c r="CX32">
        <f t="shared" si="62"/>
        <v>0</v>
      </c>
      <c r="CY32">
        <f t="shared" si="63"/>
        <v>0.26598643601716143</v>
      </c>
      <c r="CZ32">
        <f t="shared" si="64"/>
        <v>0.326262130277437</v>
      </c>
      <c r="DA32">
        <f t="shared" si="65"/>
        <v>0</v>
      </c>
      <c r="DB32">
        <f t="shared" si="66"/>
        <v>0</v>
      </c>
      <c r="DC32">
        <f t="shared" si="67"/>
        <v>0</v>
      </c>
      <c r="DD32">
        <f t="shared" si="68"/>
        <v>0</v>
      </c>
      <c r="DE32">
        <f t="shared" si="69"/>
        <v>0.20782402883567122</v>
      </c>
      <c r="DF32">
        <f t="shared" si="70"/>
        <v>5.8464234183158797E-2</v>
      </c>
      <c r="DG32">
        <f t="shared" si="71"/>
        <v>0</v>
      </c>
      <c r="DH32">
        <f t="shared" si="72"/>
        <v>0</v>
      </c>
      <c r="DI32">
        <f t="shared" si="73"/>
        <v>0</v>
      </c>
      <c r="DJ32">
        <f t="shared" si="74"/>
        <v>0</v>
      </c>
      <c r="DK32">
        <f t="shared" si="75"/>
        <v>0</v>
      </c>
      <c r="DM32">
        <f t="shared" si="76"/>
        <v>2.8717218180240107</v>
      </c>
    </row>
    <row r="33" spans="2:117">
      <c r="B33" s="48" t="s">
        <v>128</v>
      </c>
      <c r="C33" s="43">
        <v>2.8079999999999998</v>
      </c>
      <c r="D33" s="47">
        <v>915.8</v>
      </c>
      <c r="E33" s="47">
        <v>49.5</v>
      </c>
      <c r="F33" s="47">
        <v>6297</v>
      </c>
      <c r="G33" s="47">
        <v>3525</v>
      </c>
      <c r="H33" s="43">
        <f t="shared" si="0"/>
        <v>2.8386452022210006E+22</v>
      </c>
      <c r="I33" s="43">
        <f t="shared" si="4"/>
        <v>7.6870455239085392E+22</v>
      </c>
      <c r="J33" s="42">
        <f t="shared" si="5"/>
        <v>111.343402872</v>
      </c>
      <c r="K33" s="42">
        <f t="shared" si="6"/>
        <v>34.891154999999998</v>
      </c>
      <c r="L33" s="42">
        <f t="shared" si="7"/>
        <v>102.36115513071728</v>
      </c>
      <c r="M33" s="79">
        <f t="shared" si="79"/>
        <v>98.411731087832095</v>
      </c>
      <c r="N33" s="79"/>
      <c r="O33" s="52" t="str">
        <f t="shared" si="2"/>
        <v>Foid</v>
      </c>
      <c r="P33" s="87">
        <v>43.57</v>
      </c>
      <c r="Q33" s="87"/>
      <c r="R33" s="87">
        <v>2.97</v>
      </c>
      <c r="S33" s="87"/>
      <c r="T33" s="87">
        <v>10.18</v>
      </c>
      <c r="U33" s="87"/>
      <c r="V33" s="87"/>
      <c r="W33" s="87"/>
      <c r="X33" s="87"/>
      <c r="Y33" s="87">
        <v>9.17</v>
      </c>
      <c r="Z33" s="87">
        <v>26.07</v>
      </c>
      <c r="AA33" s="87"/>
      <c r="AB33" s="87"/>
      <c r="AC33" s="87"/>
      <c r="AD33" s="87"/>
      <c r="AE33" s="87">
        <v>7.59</v>
      </c>
      <c r="AF33" s="87">
        <v>0.96</v>
      </c>
      <c r="AG33" s="87"/>
      <c r="AH33" s="87"/>
      <c r="AI33" s="87"/>
      <c r="AJ33" s="87"/>
      <c r="AK33" s="87"/>
      <c r="AL33" s="87"/>
      <c r="AM33" s="86">
        <f t="shared" si="77"/>
        <v>100.51</v>
      </c>
      <c r="AO33" s="71">
        <f t="shared" si="8"/>
        <v>1.6872228021527484</v>
      </c>
      <c r="AQ33" s="97" t="str">
        <f t="shared" si="9"/>
        <v>Foid</v>
      </c>
      <c r="AR33" s="73">
        <f t="shared" si="10"/>
        <v>42.98185946533701</v>
      </c>
      <c r="AS33" s="73">
        <f t="shared" si="11"/>
        <v>0</v>
      </c>
      <c r="AT33" s="73">
        <f t="shared" si="12"/>
        <v>2.2031153374044901</v>
      </c>
      <c r="AU33" s="73">
        <f t="shared" si="13"/>
        <v>0</v>
      </c>
      <c r="AV33" s="73">
        <f t="shared" si="14"/>
        <v>5.9175987657691707</v>
      </c>
      <c r="AW33" s="73">
        <f t="shared" si="15"/>
        <v>0</v>
      </c>
      <c r="AX33" s="73">
        <f t="shared" si="16"/>
        <v>0</v>
      </c>
      <c r="AY33" s="73">
        <f t="shared" si="17"/>
        <v>0</v>
      </c>
      <c r="AZ33" s="73">
        <f t="shared" si="18"/>
        <v>0</v>
      </c>
      <c r="BA33" s="73">
        <f t="shared" si="19"/>
        <v>13.482924462983711</v>
      </c>
      <c r="BB33" s="73">
        <f t="shared" si="20"/>
        <v>27.552473294561111</v>
      </c>
      <c r="BC33" s="73">
        <f t="shared" si="21"/>
        <v>0</v>
      </c>
      <c r="BD33" s="73">
        <f t="shared" si="22"/>
        <v>0</v>
      </c>
      <c r="BE33" s="73">
        <f t="shared" si="23"/>
        <v>0</v>
      </c>
      <c r="BF33" s="73">
        <f t="shared" si="24"/>
        <v>0</v>
      </c>
      <c r="BG33" s="73">
        <f t="shared" si="25"/>
        <v>7.2580134372167215</v>
      </c>
      <c r="BH33" s="73">
        <f t="shared" si="26"/>
        <v>0.60401523672776603</v>
      </c>
      <c r="BI33" s="73">
        <f t="shared" si="27"/>
        <v>0</v>
      </c>
      <c r="BJ33" s="73">
        <f t="shared" si="28"/>
        <v>0</v>
      </c>
      <c r="BK33" s="73">
        <f t="shared" si="29"/>
        <v>0</v>
      </c>
      <c r="BL33" s="73">
        <f t="shared" si="30"/>
        <v>0</v>
      </c>
      <c r="BM33" s="73">
        <f t="shared" si="31"/>
        <v>0</v>
      </c>
      <c r="BN33" s="73">
        <f t="shared" si="32"/>
        <v>0</v>
      </c>
      <c r="BQ33">
        <f t="shared" si="3"/>
        <v>25.823501166774474</v>
      </c>
      <c r="BR33">
        <f t="shared" si="33"/>
        <v>0</v>
      </c>
      <c r="BS33">
        <f t="shared" si="34"/>
        <v>1.7602891545861876</v>
      </c>
      <c r="BT33">
        <f t="shared" si="35"/>
        <v>0</v>
      </c>
      <c r="BU33">
        <f t="shared" si="36"/>
        <v>6.0335837015782463</v>
      </c>
      <c r="BV33">
        <f t="shared" si="37"/>
        <v>0</v>
      </c>
      <c r="BW33">
        <f t="shared" si="38"/>
        <v>0</v>
      </c>
      <c r="BX33">
        <f t="shared" si="39"/>
        <v>0</v>
      </c>
      <c r="BY33">
        <f t="shared" si="40"/>
        <v>0</v>
      </c>
      <c r="BZ33">
        <f t="shared" si="41"/>
        <v>5.4349668510287348</v>
      </c>
      <c r="CA33">
        <f t="shared" si="42"/>
        <v>15.451427023589869</v>
      </c>
      <c r="CB33">
        <f t="shared" si="43"/>
        <v>0</v>
      </c>
      <c r="CC33">
        <f t="shared" si="44"/>
        <v>0</v>
      </c>
      <c r="CD33">
        <f t="shared" si="45"/>
        <v>0</v>
      </c>
      <c r="CE33">
        <f t="shared" si="46"/>
        <v>0</v>
      </c>
      <c r="CF33">
        <f t="shared" si="47"/>
        <v>4.4985167283869236</v>
      </c>
      <c r="CG33">
        <f t="shared" si="48"/>
        <v>0.56898235299755562</v>
      </c>
      <c r="CH33">
        <f t="shared" si="49"/>
        <v>0</v>
      </c>
      <c r="CI33">
        <f t="shared" si="50"/>
        <v>0</v>
      </c>
      <c r="CJ33">
        <f t="shared" si="51"/>
        <v>0</v>
      </c>
      <c r="CK33">
        <f t="shared" si="52"/>
        <v>0</v>
      </c>
      <c r="CL33">
        <f t="shared" si="53"/>
        <v>0</v>
      </c>
      <c r="CN33">
        <f t="shared" si="78"/>
        <v>59.571266978941992</v>
      </c>
      <c r="CP33">
        <f t="shared" si="54"/>
        <v>1.2894557839601102</v>
      </c>
      <c r="CQ33">
        <f t="shared" si="55"/>
        <v>0</v>
      </c>
      <c r="CR33">
        <f t="shared" si="56"/>
        <v>6.6093460122134698E-2</v>
      </c>
      <c r="CS33">
        <f t="shared" si="57"/>
        <v>0</v>
      </c>
      <c r="CT33">
        <f t="shared" si="58"/>
        <v>0.29587993828845854</v>
      </c>
      <c r="CU33">
        <f t="shared" si="59"/>
        <v>0</v>
      </c>
      <c r="CV33">
        <f t="shared" si="60"/>
        <v>0</v>
      </c>
      <c r="CW33">
        <f t="shared" si="61"/>
        <v>0</v>
      </c>
      <c r="CX33">
        <f t="shared" si="62"/>
        <v>0</v>
      </c>
      <c r="CY33">
        <f t="shared" si="63"/>
        <v>0.26965848925967423</v>
      </c>
      <c r="CZ33">
        <f t="shared" si="64"/>
        <v>0.55104946589122217</v>
      </c>
      <c r="DA33">
        <f t="shared" si="65"/>
        <v>0</v>
      </c>
      <c r="DB33">
        <f t="shared" si="66"/>
        <v>0</v>
      </c>
      <c r="DC33">
        <f t="shared" si="67"/>
        <v>0</v>
      </c>
      <c r="DD33">
        <f t="shared" si="68"/>
        <v>0</v>
      </c>
      <c r="DE33">
        <f t="shared" si="69"/>
        <v>0.21774040311650167</v>
      </c>
      <c r="DF33">
        <f t="shared" si="70"/>
        <v>1.8120457101832983E-2</v>
      </c>
      <c r="DG33">
        <f t="shared" si="71"/>
        <v>0</v>
      </c>
      <c r="DH33">
        <f t="shared" si="72"/>
        <v>0</v>
      </c>
      <c r="DI33">
        <f t="shared" si="73"/>
        <v>0</v>
      </c>
      <c r="DJ33">
        <f t="shared" si="74"/>
        <v>0</v>
      </c>
      <c r="DK33">
        <f t="shared" si="75"/>
        <v>0</v>
      </c>
      <c r="DM33">
        <f t="shared" si="76"/>
        <v>2.7079979977399344</v>
      </c>
    </row>
    <row r="34" spans="2:117" ht="31">
      <c r="B34" s="48" t="s">
        <v>132</v>
      </c>
      <c r="C34" s="43">
        <v>2.3765999999999998</v>
      </c>
      <c r="D34" s="47">
        <v>854.6</v>
      </c>
      <c r="E34" s="47">
        <v>23.2</v>
      </c>
      <c r="F34" s="47">
        <v>5790</v>
      </c>
      <c r="G34" s="47">
        <v>3560</v>
      </c>
      <c r="H34" s="43">
        <f t="shared" si="0"/>
        <v>2.2218905615672424E+22</v>
      </c>
      <c r="I34" s="43">
        <f t="shared" si="4"/>
        <v>6.9967885476373813E+22</v>
      </c>
      <c r="J34" s="42">
        <f t="shared" si="5"/>
        <v>79.673376059999981</v>
      </c>
      <c r="K34" s="42">
        <f t="shared" si="6"/>
        <v>30.120077759999997</v>
      </c>
      <c r="L34" s="42">
        <f t="shared" si="7"/>
        <v>88.55032120065701</v>
      </c>
      <c r="M34" s="79">
        <f t="shared" si="79"/>
        <v>84.66077090421085</v>
      </c>
      <c r="N34" s="79"/>
      <c r="O34" s="52" t="str">
        <f t="shared" si="2"/>
        <v>HPG8_Na05</v>
      </c>
      <c r="P34" s="87">
        <v>74.099999999999994</v>
      </c>
      <c r="Q34" s="87"/>
      <c r="R34" s="87"/>
      <c r="S34" s="87"/>
      <c r="T34" s="87">
        <v>11.7</v>
      </c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>
        <v>9</v>
      </c>
      <c r="AF34" s="87">
        <v>4.4000000000000004</v>
      </c>
      <c r="AG34" s="87"/>
      <c r="AH34" s="87"/>
      <c r="AI34" s="87"/>
      <c r="AJ34" s="87"/>
      <c r="AK34" s="87"/>
      <c r="AL34" s="87"/>
      <c r="AM34" s="86">
        <f t="shared" si="77"/>
        <v>99.2</v>
      </c>
      <c r="AO34" s="71">
        <f t="shared" si="8"/>
        <v>1.5400236698315273</v>
      </c>
      <c r="AQ34" s="97" t="str">
        <f t="shared" si="9"/>
        <v>HPG8_Na05</v>
      </c>
      <c r="AR34" s="73">
        <f t="shared" si="10"/>
        <v>80.08679023097767</v>
      </c>
      <c r="AS34" s="73">
        <f t="shared" si="11"/>
        <v>0</v>
      </c>
      <c r="AT34" s="73">
        <f t="shared" si="12"/>
        <v>0</v>
      </c>
      <c r="AU34" s="73">
        <f t="shared" si="13"/>
        <v>0</v>
      </c>
      <c r="AV34" s="73">
        <f t="shared" si="14"/>
        <v>7.4512414936876263</v>
      </c>
      <c r="AW34" s="73">
        <f t="shared" si="15"/>
        <v>0</v>
      </c>
      <c r="AX34" s="73">
        <f t="shared" si="16"/>
        <v>0</v>
      </c>
      <c r="AY34" s="73">
        <f t="shared" si="17"/>
        <v>0</v>
      </c>
      <c r="AZ34" s="73">
        <f t="shared" si="18"/>
        <v>0</v>
      </c>
      <c r="BA34" s="73">
        <f t="shared" si="19"/>
        <v>0</v>
      </c>
      <c r="BB34" s="73">
        <f t="shared" si="20"/>
        <v>0</v>
      </c>
      <c r="BC34" s="73">
        <f t="shared" si="21"/>
        <v>0</v>
      </c>
      <c r="BD34" s="73">
        <f t="shared" si="22"/>
        <v>0</v>
      </c>
      <c r="BE34" s="73">
        <f t="shared" si="23"/>
        <v>0</v>
      </c>
      <c r="BF34" s="73">
        <f t="shared" si="24"/>
        <v>0</v>
      </c>
      <c r="BG34" s="73">
        <f t="shared" si="25"/>
        <v>9.4289545349168513</v>
      </c>
      <c r="BH34" s="73">
        <f t="shared" si="26"/>
        <v>3.0330137404178399</v>
      </c>
      <c r="BI34" s="73">
        <f t="shared" si="27"/>
        <v>0</v>
      </c>
      <c r="BJ34" s="73">
        <f t="shared" si="28"/>
        <v>0</v>
      </c>
      <c r="BK34" s="73">
        <f t="shared" si="29"/>
        <v>0</v>
      </c>
      <c r="BL34" s="73">
        <f t="shared" si="30"/>
        <v>0</v>
      </c>
      <c r="BM34" s="73">
        <f t="shared" si="31"/>
        <v>0</v>
      </c>
      <c r="BN34" s="73">
        <f t="shared" si="32"/>
        <v>0</v>
      </c>
      <c r="BQ34">
        <f t="shared" si="3"/>
        <v>48.116143570771378</v>
      </c>
      <c r="BR34">
        <f t="shared" si="33"/>
        <v>0</v>
      </c>
      <c r="BS34">
        <f t="shared" si="34"/>
        <v>0</v>
      </c>
      <c r="BT34">
        <f t="shared" si="35"/>
        <v>0</v>
      </c>
      <c r="BU34">
        <f t="shared" si="36"/>
        <v>7.5972858269639039</v>
      </c>
      <c r="BV34">
        <f t="shared" si="37"/>
        <v>0</v>
      </c>
      <c r="BW34">
        <f t="shared" si="38"/>
        <v>0</v>
      </c>
      <c r="BX34">
        <f t="shared" si="39"/>
        <v>0</v>
      </c>
      <c r="BY34">
        <f t="shared" si="40"/>
        <v>0</v>
      </c>
      <c r="BZ34">
        <f t="shared" si="41"/>
        <v>0</v>
      </c>
      <c r="CA34">
        <f t="shared" si="42"/>
        <v>0</v>
      </c>
      <c r="CB34">
        <f t="shared" si="43"/>
        <v>0</v>
      </c>
      <c r="CC34">
        <f t="shared" si="44"/>
        <v>0</v>
      </c>
      <c r="CD34">
        <f t="shared" si="45"/>
        <v>0</v>
      </c>
      <c r="CE34">
        <f t="shared" si="46"/>
        <v>0</v>
      </c>
      <c r="CF34">
        <f t="shared" si="47"/>
        <v>5.8440660207414643</v>
      </c>
      <c r="CG34">
        <f t="shared" si="48"/>
        <v>2.8570989434736052</v>
      </c>
      <c r="CH34">
        <f t="shared" si="49"/>
        <v>0</v>
      </c>
      <c r="CI34">
        <f t="shared" si="50"/>
        <v>0</v>
      </c>
      <c r="CJ34">
        <f t="shared" si="51"/>
        <v>0</v>
      </c>
      <c r="CK34">
        <f t="shared" si="52"/>
        <v>0</v>
      </c>
      <c r="CL34">
        <f t="shared" si="53"/>
        <v>0</v>
      </c>
      <c r="CN34">
        <f t="shared" si="78"/>
        <v>64.41459436195035</v>
      </c>
      <c r="CP34">
        <f t="shared" si="54"/>
        <v>2.4026037069293302</v>
      </c>
      <c r="CQ34">
        <f t="shared" si="55"/>
        <v>0</v>
      </c>
      <c r="CR34">
        <f t="shared" si="56"/>
        <v>0</v>
      </c>
      <c r="CS34">
        <f t="shared" si="57"/>
        <v>0</v>
      </c>
      <c r="CT34">
        <f t="shared" si="58"/>
        <v>0.37256207468438135</v>
      </c>
      <c r="CU34">
        <f t="shared" si="59"/>
        <v>0</v>
      </c>
      <c r="CV34">
        <f t="shared" si="60"/>
        <v>0</v>
      </c>
      <c r="CW34">
        <f t="shared" si="61"/>
        <v>0</v>
      </c>
      <c r="CX34">
        <f t="shared" si="62"/>
        <v>0</v>
      </c>
      <c r="CY34">
        <f t="shared" si="63"/>
        <v>0</v>
      </c>
      <c r="CZ34">
        <f t="shared" si="64"/>
        <v>0</v>
      </c>
      <c r="DA34">
        <f t="shared" si="65"/>
        <v>0</v>
      </c>
      <c r="DB34">
        <f t="shared" si="66"/>
        <v>0</v>
      </c>
      <c r="DC34">
        <f t="shared" si="67"/>
        <v>0</v>
      </c>
      <c r="DD34">
        <f t="shared" si="68"/>
        <v>0</v>
      </c>
      <c r="DE34">
        <f t="shared" si="69"/>
        <v>0.28286863604750556</v>
      </c>
      <c r="DF34">
        <f t="shared" si="70"/>
        <v>9.0990412212535204E-2</v>
      </c>
      <c r="DG34">
        <f t="shared" si="71"/>
        <v>0</v>
      </c>
      <c r="DH34">
        <f t="shared" si="72"/>
        <v>0</v>
      </c>
      <c r="DI34">
        <f t="shared" si="73"/>
        <v>0</v>
      </c>
      <c r="DJ34">
        <f t="shared" si="74"/>
        <v>0</v>
      </c>
      <c r="DK34">
        <f t="shared" si="75"/>
        <v>0</v>
      </c>
      <c r="DM34">
        <f t="shared" si="76"/>
        <v>3.1490248298737522</v>
      </c>
    </row>
    <row r="35" spans="2:117" ht="31">
      <c r="B35" s="48" t="s">
        <v>133</v>
      </c>
      <c r="C35" s="43">
        <v>2.3645</v>
      </c>
      <c r="D35" s="47">
        <v>888.8</v>
      </c>
      <c r="E35" s="47">
        <v>22.5</v>
      </c>
      <c r="F35" s="47">
        <v>5721</v>
      </c>
      <c r="G35" s="47">
        <v>3540</v>
      </c>
      <c r="H35" s="43">
        <f t="shared" si="0"/>
        <v>2.1730168123472935E+22</v>
      </c>
      <c r="I35" s="43">
        <f t="shared" si="4"/>
        <v>6.848639158803356E+22</v>
      </c>
      <c r="J35" s="42">
        <f t="shared" si="5"/>
        <v>77.389709044500009</v>
      </c>
      <c r="K35" s="42">
        <f t="shared" si="6"/>
        <v>29.630968199999998</v>
      </c>
      <c r="L35" s="42">
        <f t="shared" si="7"/>
        <v>87.122804241519205</v>
      </c>
      <c r="M35" s="79">
        <f t="shared" si="79"/>
        <v>83.314122184482002</v>
      </c>
      <c r="N35" s="79"/>
      <c r="O35" s="52" t="str">
        <f t="shared" si="2"/>
        <v>HPG8_K05</v>
      </c>
      <c r="P35" s="87">
        <v>74.599999999999994</v>
      </c>
      <c r="Q35" s="87"/>
      <c r="R35" s="87"/>
      <c r="S35" s="87"/>
      <c r="T35" s="87">
        <v>11.8</v>
      </c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>
        <v>4.4000000000000004</v>
      </c>
      <c r="AF35" s="87">
        <v>9.1999999999999993</v>
      </c>
      <c r="AG35" s="87"/>
      <c r="AH35" s="87"/>
      <c r="AI35" s="87"/>
      <c r="AJ35" s="87"/>
      <c r="AK35" s="87"/>
      <c r="AL35" s="87"/>
      <c r="AM35" s="86">
        <f t="shared" si="77"/>
        <v>100</v>
      </c>
      <c r="AO35" s="71">
        <f t="shared" si="8"/>
        <v>1.5260646081240361</v>
      </c>
      <c r="AQ35" s="97" t="str">
        <f t="shared" si="9"/>
        <v>HPG8_K05</v>
      </c>
      <c r="AR35" s="73">
        <f t="shared" si="10"/>
        <v>81.364691663288212</v>
      </c>
      <c r="AS35" s="73">
        <f t="shared" si="11"/>
        <v>0</v>
      </c>
      <c r="AT35" s="73">
        <f t="shared" si="12"/>
        <v>0</v>
      </c>
      <c r="AU35" s="73">
        <f t="shared" si="13"/>
        <v>0</v>
      </c>
      <c r="AV35" s="73">
        <f t="shared" si="14"/>
        <v>7.5836670910395139</v>
      </c>
      <c r="AW35" s="73">
        <f t="shared" si="15"/>
        <v>0</v>
      </c>
      <c r="AX35" s="73">
        <f t="shared" si="16"/>
        <v>0</v>
      </c>
      <c r="AY35" s="73">
        <f t="shared" si="17"/>
        <v>0</v>
      </c>
      <c r="AZ35" s="73">
        <f t="shared" si="18"/>
        <v>0</v>
      </c>
      <c r="BA35" s="73">
        <f t="shared" si="19"/>
        <v>0</v>
      </c>
      <c r="BB35" s="73">
        <f t="shared" si="20"/>
        <v>0</v>
      </c>
      <c r="BC35" s="73">
        <f t="shared" si="21"/>
        <v>0</v>
      </c>
      <c r="BD35" s="73">
        <f t="shared" si="22"/>
        <v>0</v>
      </c>
      <c r="BE35" s="73">
        <f t="shared" si="23"/>
        <v>0</v>
      </c>
      <c r="BF35" s="73">
        <f t="shared" si="24"/>
        <v>0</v>
      </c>
      <c r="BG35" s="73">
        <f t="shared" si="25"/>
        <v>4.6518765827283151</v>
      </c>
      <c r="BH35" s="73">
        <f t="shared" si="26"/>
        <v>6.3997646629439489</v>
      </c>
      <c r="BI35" s="73">
        <f t="shared" si="27"/>
        <v>0</v>
      </c>
      <c r="BJ35" s="73">
        <f t="shared" si="28"/>
        <v>0</v>
      </c>
      <c r="BK35" s="73">
        <f t="shared" si="29"/>
        <v>0</v>
      </c>
      <c r="BL35" s="73">
        <f t="shared" si="30"/>
        <v>0</v>
      </c>
      <c r="BM35" s="73">
        <f t="shared" si="31"/>
        <v>0</v>
      </c>
      <c r="BN35" s="73">
        <f t="shared" si="32"/>
        <v>0</v>
      </c>
      <c r="BQ35">
        <f t="shared" si="3"/>
        <v>48.883906751303556</v>
      </c>
      <c r="BR35">
        <f t="shared" si="33"/>
        <v>0</v>
      </c>
      <c r="BS35">
        <f t="shared" si="34"/>
        <v>0</v>
      </c>
      <c r="BT35">
        <f t="shared" si="35"/>
        <v>0</v>
      </c>
      <c r="BU35">
        <f t="shared" si="36"/>
        <v>7.7323069660238879</v>
      </c>
      <c r="BV35">
        <f t="shared" si="37"/>
        <v>0</v>
      </c>
      <c r="BW35">
        <f t="shared" si="38"/>
        <v>0</v>
      </c>
      <c r="BX35">
        <f t="shared" si="39"/>
        <v>0</v>
      </c>
      <c r="BY35">
        <f t="shared" si="40"/>
        <v>0</v>
      </c>
      <c r="BZ35">
        <f t="shared" si="41"/>
        <v>0</v>
      </c>
      <c r="CA35">
        <f t="shared" si="42"/>
        <v>0</v>
      </c>
      <c r="CB35">
        <f t="shared" si="43"/>
        <v>0</v>
      </c>
      <c r="CC35">
        <f t="shared" si="44"/>
        <v>0</v>
      </c>
      <c r="CD35">
        <f t="shared" si="45"/>
        <v>0</v>
      </c>
      <c r="CE35">
        <f t="shared" si="46"/>
        <v>0</v>
      </c>
      <c r="CF35">
        <f t="shared" si="47"/>
        <v>2.8832331059750094</v>
      </c>
      <c r="CG35">
        <f t="shared" si="48"/>
        <v>6.0285783124932006</v>
      </c>
      <c r="CH35">
        <f t="shared" si="49"/>
        <v>0</v>
      </c>
      <c r="CI35">
        <f t="shared" si="50"/>
        <v>0</v>
      </c>
      <c r="CJ35">
        <f t="shared" si="51"/>
        <v>0</v>
      </c>
      <c r="CK35">
        <f t="shared" si="52"/>
        <v>0</v>
      </c>
      <c r="CL35">
        <f t="shared" si="53"/>
        <v>0</v>
      </c>
      <c r="CN35">
        <f t="shared" si="78"/>
        <v>65.528025135795644</v>
      </c>
      <c r="CP35">
        <f t="shared" si="54"/>
        <v>2.4409407498986466</v>
      </c>
      <c r="CQ35">
        <f t="shared" si="55"/>
        <v>0</v>
      </c>
      <c r="CR35">
        <f t="shared" si="56"/>
        <v>0</v>
      </c>
      <c r="CS35">
        <f t="shared" si="57"/>
        <v>0</v>
      </c>
      <c r="CT35">
        <f t="shared" si="58"/>
        <v>0.37918335455197572</v>
      </c>
      <c r="CU35">
        <f t="shared" si="59"/>
        <v>0</v>
      </c>
      <c r="CV35">
        <f t="shared" si="60"/>
        <v>0</v>
      </c>
      <c r="CW35">
        <f t="shared" si="61"/>
        <v>0</v>
      </c>
      <c r="CX35">
        <f t="shared" si="62"/>
        <v>0</v>
      </c>
      <c r="CY35">
        <f t="shared" si="63"/>
        <v>0</v>
      </c>
      <c r="CZ35">
        <f t="shared" si="64"/>
        <v>0</v>
      </c>
      <c r="DA35">
        <f t="shared" si="65"/>
        <v>0</v>
      </c>
      <c r="DB35">
        <f t="shared" si="66"/>
        <v>0</v>
      </c>
      <c r="DC35">
        <f t="shared" si="67"/>
        <v>0</v>
      </c>
      <c r="DD35">
        <f t="shared" si="68"/>
        <v>0</v>
      </c>
      <c r="DE35">
        <f t="shared" si="69"/>
        <v>0.13955629748184945</v>
      </c>
      <c r="DF35">
        <f t="shared" si="70"/>
        <v>0.19199293988831848</v>
      </c>
      <c r="DG35">
        <f t="shared" si="71"/>
        <v>0</v>
      </c>
      <c r="DH35">
        <f t="shared" si="72"/>
        <v>0</v>
      </c>
      <c r="DI35">
        <f t="shared" si="73"/>
        <v>0</v>
      </c>
      <c r="DJ35">
        <f t="shared" si="74"/>
        <v>0</v>
      </c>
      <c r="DK35">
        <f t="shared" si="75"/>
        <v>0</v>
      </c>
      <c r="DM35">
        <f t="shared" si="76"/>
        <v>3.1516733418207905</v>
      </c>
    </row>
    <row r="36" spans="2:117" ht="31">
      <c r="B36" s="48" t="s">
        <v>134</v>
      </c>
      <c r="C36" s="43">
        <v>2.3666999999999998</v>
      </c>
      <c r="D36" s="47">
        <v>773</v>
      </c>
      <c r="E36" s="47">
        <v>25.3</v>
      </c>
      <c r="F36" s="47">
        <v>6030</v>
      </c>
      <c r="G36" s="47">
        <v>3690</v>
      </c>
      <c r="H36" s="43">
        <f t="shared" si="0"/>
        <v>2.3229753756699918E+22</v>
      </c>
      <c r="I36" s="43">
        <f t="shared" si="4"/>
        <v>7.3306596676086257E+22</v>
      </c>
      <c r="J36" s="42">
        <f t="shared" si="5"/>
        <v>86.055342029999991</v>
      </c>
      <c r="K36" s="42">
        <f t="shared" si="6"/>
        <v>32.225223870000001</v>
      </c>
      <c r="L36" s="42">
        <f t="shared" si="7"/>
        <v>94.783417568628394</v>
      </c>
      <c r="M36" s="79">
        <f t="shared" si="79"/>
        <v>90.704243525739727</v>
      </c>
      <c r="N36" s="79"/>
      <c r="O36" s="52" t="str">
        <f t="shared" si="2"/>
        <v>HPG8_Li05</v>
      </c>
      <c r="P36" s="87">
        <v>73.2</v>
      </c>
      <c r="Q36" s="87"/>
      <c r="R36" s="87"/>
      <c r="S36" s="87"/>
      <c r="T36" s="87">
        <v>12.9</v>
      </c>
      <c r="U36" s="87"/>
      <c r="V36" s="87"/>
      <c r="W36" s="87"/>
      <c r="X36" s="87"/>
      <c r="Y36" s="87"/>
      <c r="Z36" s="87"/>
      <c r="AA36" s="87"/>
      <c r="AB36" s="87"/>
      <c r="AC36" s="87"/>
      <c r="AD36" s="87">
        <v>4.9000000000000004</v>
      </c>
      <c r="AE36" s="87">
        <v>4.3</v>
      </c>
      <c r="AF36" s="87">
        <v>4.4000000000000004</v>
      </c>
      <c r="AG36" s="87"/>
      <c r="AH36" s="87"/>
      <c r="AI36" s="87"/>
      <c r="AJ36" s="87"/>
      <c r="AK36" s="87"/>
      <c r="AL36" s="87"/>
      <c r="AM36" s="86">
        <f t="shared" si="77"/>
        <v>99.700000000000017</v>
      </c>
      <c r="AO36" s="71">
        <f t="shared" si="8"/>
        <v>1.6249713418003491</v>
      </c>
      <c r="AQ36" s="97" t="str">
        <f t="shared" si="9"/>
        <v>HPG8_Li05</v>
      </c>
      <c r="AR36" s="73">
        <f t="shared" si="10"/>
        <v>74.978276108202039</v>
      </c>
      <c r="AS36" s="73">
        <f t="shared" si="11"/>
        <v>0</v>
      </c>
      <c r="AT36" s="73">
        <f t="shared" si="12"/>
        <v>0</v>
      </c>
      <c r="AU36" s="73">
        <f t="shared" si="13"/>
        <v>0</v>
      </c>
      <c r="AV36" s="73">
        <f t="shared" si="14"/>
        <v>7.7859960201756016</v>
      </c>
      <c r="AW36" s="73">
        <f t="shared" si="15"/>
        <v>0</v>
      </c>
      <c r="AX36" s="73">
        <f t="shared" si="16"/>
        <v>0</v>
      </c>
      <c r="AY36" s="73">
        <f t="shared" si="17"/>
        <v>0</v>
      </c>
      <c r="AZ36" s="73">
        <f t="shared" si="18"/>
        <v>0</v>
      </c>
      <c r="BA36" s="73">
        <f t="shared" si="19"/>
        <v>0</v>
      </c>
      <c r="BB36" s="73">
        <f t="shared" si="20"/>
        <v>0</v>
      </c>
      <c r="BC36" s="73">
        <f t="shared" si="21"/>
        <v>0</v>
      </c>
      <c r="BD36" s="73">
        <f t="shared" si="22"/>
        <v>0</v>
      </c>
      <c r="BE36" s="73">
        <f t="shared" si="23"/>
        <v>0</v>
      </c>
      <c r="BF36" s="73">
        <f t="shared" si="24"/>
        <v>10.091826623454571</v>
      </c>
      <c r="BG36" s="73">
        <f t="shared" si="25"/>
        <v>4.2694425847967326</v>
      </c>
      <c r="BH36" s="73">
        <f t="shared" si="26"/>
        <v>2.874458663371072</v>
      </c>
      <c r="BI36" s="73">
        <f t="shared" si="27"/>
        <v>0</v>
      </c>
      <c r="BJ36" s="73">
        <f t="shared" si="28"/>
        <v>0</v>
      </c>
      <c r="BK36" s="73">
        <f t="shared" si="29"/>
        <v>0</v>
      </c>
      <c r="BL36" s="73">
        <f t="shared" si="30"/>
        <v>0</v>
      </c>
      <c r="BM36" s="73">
        <f t="shared" si="31"/>
        <v>0</v>
      </c>
      <c r="BN36" s="73">
        <f t="shared" si="32"/>
        <v>0</v>
      </c>
      <c r="BQ36">
        <f t="shared" si="3"/>
        <v>45.04694828580778</v>
      </c>
      <c r="BR36">
        <f t="shared" si="33"/>
        <v>0</v>
      </c>
      <c r="BS36">
        <f t="shared" si="34"/>
        <v>0</v>
      </c>
      <c r="BT36">
        <f t="shared" si="35"/>
        <v>0</v>
      </c>
      <c r="BU36">
        <f t="shared" si="36"/>
        <v>7.9386015421710434</v>
      </c>
      <c r="BV36">
        <f t="shared" si="37"/>
        <v>0</v>
      </c>
      <c r="BW36">
        <f t="shared" si="38"/>
        <v>0</v>
      </c>
      <c r="BX36">
        <f t="shared" si="39"/>
        <v>0</v>
      </c>
      <c r="BY36">
        <f t="shared" si="40"/>
        <v>0</v>
      </c>
      <c r="BZ36">
        <f t="shared" si="41"/>
        <v>0</v>
      </c>
      <c r="CA36">
        <f t="shared" si="42"/>
        <v>0</v>
      </c>
      <c r="CB36">
        <f t="shared" si="43"/>
        <v>0</v>
      </c>
      <c r="CC36">
        <f t="shared" si="44"/>
        <v>0</v>
      </c>
      <c r="CD36">
        <f t="shared" si="45"/>
        <v>0</v>
      </c>
      <c r="CE36">
        <f t="shared" si="46"/>
        <v>3.0154377950882258</v>
      </c>
      <c r="CF36">
        <f t="shared" si="47"/>
        <v>2.6462005140570146</v>
      </c>
      <c r="CG36">
        <f t="shared" si="48"/>
        <v>2.7077400608955502</v>
      </c>
      <c r="CH36">
        <f t="shared" si="49"/>
        <v>0</v>
      </c>
      <c r="CI36">
        <f t="shared" si="50"/>
        <v>0</v>
      </c>
      <c r="CJ36">
        <f t="shared" si="51"/>
        <v>0</v>
      </c>
      <c r="CK36">
        <f t="shared" si="52"/>
        <v>0</v>
      </c>
      <c r="CL36">
        <f t="shared" si="53"/>
        <v>0</v>
      </c>
      <c r="CN36">
        <f t="shared" si="78"/>
        <v>61.354928198019614</v>
      </c>
      <c r="CP36">
        <f t="shared" si="54"/>
        <v>2.2493482832460612</v>
      </c>
      <c r="CQ36">
        <f t="shared" si="55"/>
        <v>0</v>
      </c>
      <c r="CR36">
        <f t="shared" si="56"/>
        <v>0</v>
      </c>
      <c r="CS36">
        <f t="shared" si="57"/>
        <v>0</v>
      </c>
      <c r="CT36">
        <f t="shared" si="58"/>
        <v>0.38929980100878009</v>
      </c>
      <c r="CU36">
        <f t="shared" si="59"/>
        <v>0</v>
      </c>
      <c r="CV36">
        <f t="shared" si="60"/>
        <v>0</v>
      </c>
      <c r="CW36">
        <f t="shared" si="61"/>
        <v>0</v>
      </c>
      <c r="CX36">
        <f t="shared" si="62"/>
        <v>0</v>
      </c>
      <c r="CY36">
        <f t="shared" si="63"/>
        <v>0</v>
      </c>
      <c r="CZ36">
        <f t="shared" si="64"/>
        <v>0</v>
      </c>
      <c r="DA36">
        <f t="shared" si="65"/>
        <v>0</v>
      </c>
      <c r="DB36">
        <f t="shared" si="66"/>
        <v>0</v>
      </c>
      <c r="DC36">
        <f t="shared" si="67"/>
        <v>0</v>
      </c>
      <c r="DD36">
        <f t="shared" si="68"/>
        <v>0.30275479870363714</v>
      </c>
      <c r="DE36">
        <f t="shared" si="69"/>
        <v>0.12808327754390197</v>
      </c>
      <c r="DF36">
        <f t="shared" si="70"/>
        <v>8.6233759901132162E-2</v>
      </c>
      <c r="DG36">
        <f t="shared" si="71"/>
        <v>0</v>
      </c>
      <c r="DH36">
        <f t="shared" si="72"/>
        <v>0</v>
      </c>
      <c r="DI36">
        <f t="shared" si="73"/>
        <v>0</v>
      </c>
      <c r="DJ36">
        <f t="shared" si="74"/>
        <v>0</v>
      </c>
      <c r="DK36">
        <f t="shared" si="75"/>
        <v>0</v>
      </c>
      <c r="DM36">
        <f t="shared" si="76"/>
        <v>3.1557199204035125</v>
      </c>
    </row>
    <row r="37" spans="2:117">
      <c r="B37" s="48" t="s">
        <v>149</v>
      </c>
      <c r="C37" s="43">
        <v>2.3010000000000002</v>
      </c>
      <c r="D37" s="43">
        <v>792</v>
      </c>
      <c r="E37" s="47">
        <v>25.9</v>
      </c>
      <c r="F37" s="47">
        <v>5228</v>
      </c>
      <c r="G37" s="47">
        <v>3240</v>
      </c>
      <c r="H37" s="43">
        <f t="shared" ref="H37:H60" si="80">($C$2*C37)/CN37</f>
        <v>2.1824417693852833E+22</v>
      </c>
      <c r="I37" s="43">
        <f t="shared" ref="I37:I60" si="81">($C$2/CN37)*C37*DM37</f>
        <v>6.54732530815585E+22</v>
      </c>
      <c r="J37" s="42">
        <f t="shared" ref="J37:J80" si="82">(C37*F37^2)/1000000</f>
        <v>62.890895184000009</v>
      </c>
      <c r="K37" s="42">
        <f t="shared" si="6"/>
        <v>24.154977600000002</v>
      </c>
      <c r="L37" s="42">
        <f t="shared" si="7"/>
        <v>70.687155032588606</v>
      </c>
      <c r="M37" s="79">
        <f t="shared" si="79"/>
        <v>67.131595497765773</v>
      </c>
      <c r="N37" s="79"/>
      <c r="O37" s="52" t="str">
        <f t="shared" ref="O37:O68" si="83">B37</f>
        <v>KS10</v>
      </c>
      <c r="P37" s="87">
        <v>85.16</v>
      </c>
      <c r="Q37" s="87"/>
      <c r="R37" s="87"/>
      <c r="S37" s="87"/>
      <c r="T37" s="88"/>
      <c r="U37" s="88"/>
      <c r="V37" s="88"/>
      <c r="W37" s="87"/>
      <c r="X37" s="87"/>
      <c r="Y37" s="87"/>
      <c r="Z37" s="87"/>
      <c r="AA37" s="87"/>
      <c r="AB37" s="87"/>
      <c r="AC37" s="87"/>
      <c r="AD37" s="87"/>
      <c r="AE37" s="87"/>
      <c r="AF37" s="87">
        <v>14.84</v>
      </c>
      <c r="AG37" s="87"/>
      <c r="AH37" s="87"/>
      <c r="AI37" s="87"/>
      <c r="AJ37" s="87"/>
      <c r="AK37" s="87"/>
      <c r="AL37" s="87"/>
      <c r="AM37" s="86">
        <f t="shared" si="77"/>
        <v>100</v>
      </c>
      <c r="AO37" s="71">
        <f t="shared" si="8"/>
        <v>1.5749805637776666</v>
      </c>
      <c r="AQ37" s="97" t="str">
        <f t="shared" si="9"/>
        <v>KS10</v>
      </c>
      <c r="AR37" s="73">
        <f t="shared" si="10"/>
        <v>89.997517517833757</v>
      </c>
      <c r="AS37" s="73">
        <f t="shared" si="11"/>
        <v>0</v>
      </c>
      <c r="AT37" s="73">
        <f t="shared" si="12"/>
        <v>0</v>
      </c>
      <c r="AU37" s="73">
        <f t="shared" si="13"/>
        <v>0</v>
      </c>
      <c r="AV37" s="73">
        <f t="shared" si="14"/>
        <v>0</v>
      </c>
      <c r="AW37" s="73">
        <f t="shared" si="15"/>
        <v>0</v>
      </c>
      <c r="AX37" s="73">
        <f t="shared" si="16"/>
        <v>0</v>
      </c>
      <c r="AY37" s="73">
        <f t="shared" si="17"/>
        <v>0</v>
      </c>
      <c r="AZ37" s="73">
        <f t="shared" si="18"/>
        <v>0</v>
      </c>
      <c r="BA37" s="73">
        <f t="shared" si="19"/>
        <v>0</v>
      </c>
      <c r="BB37" s="73">
        <f t="shared" si="20"/>
        <v>0</v>
      </c>
      <c r="BC37" s="73">
        <f t="shared" si="21"/>
        <v>0</v>
      </c>
      <c r="BD37" s="73">
        <f t="shared" si="22"/>
        <v>0</v>
      </c>
      <c r="BE37" s="73">
        <f t="shared" si="23"/>
        <v>0</v>
      </c>
      <c r="BF37" s="73">
        <f t="shared" si="24"/>
        <v>0</v>
      </c>
      <c r="BG37" s="73">
        <f t="shared" si="25"/>
        <v>0</v>
      </c>
      <c r="BH37" s="73">
        <f t="shared" si="26"/>
        <v>10.002482482166245</v>
      </c>
      <c r="BI37" s="73">
        <f t="shared" si="27"/>
        <v>0</v>
      </c>
      <c r="BJ37" s="73">
        <f t="shared" si="28"/>
        <v>0</v>
      </c>
      <c r="BK37" s="73">
        <f t="shared" si="29"/>
        <v>0</v>
      </c>
      <c r="BL37" s="73">
        <f t="shared" si="30"/>
        <v>0</v>
      </c>
      <c r="BM37" s="73">
        <f t="shared" si="31"/>
        <v>0</v>
      </c>
      <c r="BN37" s="73">
        <f t="shared" si="32"/>
        <v>0</v>
      </c>
      <c r="BQ37">
        <f t="shared" ref="BQ37:BQ89" si="84">(AR37/100)*$AR$3</f>
        <v>54.070508524714519</v>
      </c>
      <c r="BR37">
        <f t="shared" si="33"/>
        <v>0</v>
      </c>
      <c r="BS37">
        <f t="shared" si="34"/>
        <v>0</v>
      </c>
      <c r="BT37">
        <f t="shared" si="35"/>
        <v>0</v>
      </c>
      <c r="BU37">
        <f t="shared" si="36"/>
        <v>0</v>
      </c>
      <c r="BV37">
        <f t="shared" si="37"/>
        <v>0</v>
      </c>
      <c r="BW37">
        <f t="shared" si="38"/>
        <v>0</v>
      </c>
      <c r="BX37">
        <f t="shared" si="39"/>
        <v>0</v>
      </c>
      <c r="BY37">
        <f t="shared" si="40"/>
        <v>0</v>
      </c>
      <c r="BZ37">
        <f t="shared" si="41"/>
        <v>0</v>
      </c>
      <c r="CA37">
        <f t="shared" si="42"/>
        <v>0</v>
      </c>
      <c r="CB37">
        <f t="shared" si="43"/>
        <v>0</v>
      </c>
      <c r="CC37">
        <f t="shared" si="44"/>
        <v>0</v>
      </c>
      <c r="CD37">
        <f t="shared" si="45"/>
        <v>0</v>
      </c>
      <c r="CE37">
        <f t="shared" si="46"/>
        <v>0</v>
      </c>
      <c r="CF37">
        <f t="shared" si="47"/>
        <v>0</v>
      </c>
      <c r="CG37">
        <f t="shared" si="48"/>
        <v>9.4223384982006042</v>
      </c>
      <c r="CH37">
        <f t="shared" si="49"/>
        <v>0</v>
      </c>
      <c r="CI37">
        <f t="shared" si="50"/>
        <v>0</v>
      </c>
      <c r="CJ37">
        <f t="shared" si="51"/>
        <v>0</v>
      </c>
      <c r="CK37">
        <f t="shared" si="52"/>
        <v>0</v>
      </c>
      <c r="CL37">
        <f t="shared" si="53"/>
        <v>0</v>
      </c>
      <c r="CN37">
        <f t="shared" si="78"/>
        <v>63.492847022915122</v>
      </c>
      <c r="CP37">
        <f t="shared" si="54"/>
        <v>2.6999255255350127</v>
      </c>
      <c r="CQ37">
        <f t="shared" si="55"/>
        <v>0</v>
      </c>
      <c r="CR37">
        <f t="shared" si="56"/>
        <v>0</v>
      </c>
      <c r="CS37">
        <f t="shared" si="57"/>
        <v>0</v>
      </c>
      <c r="CT37">
        <f t="shared" si="58"/>
        <v>0</v>
      </c>
      <c r="CU37">
        <f t="shared" si="59"/>
        <v>0</v>
      </c>
      <c r="CV37">
        <f t="shared" si="60"/>
        <v>0</v>
      </c>
      <c r="CW37">
        <f t="shared" si="61"/>
        <v>0</v>
      </c>
      <c r="CX37">
        <f t="shared" si="62"/>
        <v>0</v>
      </c>
      <c r="CY37">
        <f t="shared" si="63"/>
        <v>0</v>
      </c>
      <c r="CZ37">
        <f t="shared" si="64"/>
        <v>0</v>
      </c>
      <c r="DA37">
        <f t="shared" si="65"/>
        <v>0</v>
      </c>
      <c r="DB37">
        <f t="shared" si="66"/>
        <v>0</v>
      </c>
      <c r="DC37">
        <f t="shared" si="67"/>
        <v>0</v>
      </c>
      <c r="DD37">
        <f t="shared" si="68"/>
        <v>0</v>
      </c>
      <c r="DE37">
        <f t="shared" si="69"/>
        <v>0</v>
      </c>
      <c r="DF37">
        <f t="shared" si="70"/>
        <v>0.30007447446498736</v>
      </c>
      <c r="DG37">
        <f t="shared" si="71"/>
        <v>0</v>
      </c>
      <c r="DH37">
        <f t="shared" si="72"/>
        <v>0</v>
      </c>
      <c r="DI37">
        <f t="shared" si="73"/>
        <v>0</v>
      </c>
      <c r="DJ37">
        <f t="shared" si="74"/>
        <v>0</v>
      </c>
      <c r="DK37">
        <f t="shared" si="75"/>
        <v>0</v>
      </c>
      <c r="DM37">
        <f t="shared" si="76"/>
        <v>3</v>
      </c>
    </row>
    <row r="38" spans="2:117">
      <c r="B38" s="48" t="s">
        <v>150</v>
      </c>
      <c r="C38" s="43">
        <v>2.3860000000000001</v>
      </c>
      <c r="D38" s="43">
        <v>754.9</v>
      </c>
      <c r="E38" s="43">
        <v>27.18</v>
      </c>
      <c r="F38" s="47">
        <v>4943</v>
      </c>
      <c r="G38" s="47">
        <v>2970</v>
      </c>
      <c r="H38" s="43">
        <f t="shared" si="80"/>
        <v>2.1476760171877702E+22</v>
      </c>
      <c r="I38" s="43">
        <f t="shared" si="81"/>
        <v>6.4430280515633103E+22</v>
      </c>
      <c r="J38" s="42">
        <f t="shared" si="82"/>
        <v>58.297732113999999</v>
      </c>
      <c r="K38" s="42">
        <f t="shared" si="6"/>
        <v>21.0466674</v>
      </c>
      <c r="L38" s="42">
        <f t="shared" si="7"/>
        <v>61.390544020181977</v>
      </c>
      <c r="M38" s="79">
        <f t="shared" si="79"/>
        <v>57.891623660545925</v>
      </c>
      <c r="N38" s="79"/>
      <c r="O38" s="52" t="str">
        <f t="shared" si="83"/>
        <v>KS20</v>
      </c>
      <c r="P38" s="87">
        <v>71.84</v>
      </c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>
        <v>28.16</v>
      </c>
      <c r="AG38" s="87"/>
      <c r="AH38" s="87"/>
      <c r="AI38" s="87"/>
      <c r="AJ38" s="87"/>
      <c r="AK38" s="87"/>
      <c r="AL38" s="87"/>
      <c r="AM38" s="86">
        <f t="shared" si="77"/>
        <v>100</v>
      </c>
      <c r="AO38" s="71">
        <f t="shared" si="8"/>
        <v>1.4946774435218717</v>
      </c>
      <c r="AQ38" s="97" t="str">
        <f t="shared" si="9"/>
        <v>KS20</v>
      </c>
      <c r="AR38" s="73">
        <f t="shared" si="10"/>
        <v>79.999803290644877</v>
      </c>
      <c r="AS38" s="73">
        <f t="shared" si="11"/>
        <v>0</v>
      </c>
      <c r="AT38" s="73">
        <f t="shared" si="12"/>
        <v>0</v>
      </c>
      <c r="AU38" s="73">
        <f t="shared" si="13"/>
        <v>0</v>
      </c>
      <c r="AV38" s="73">
        <f t="shared" si="14"/>
        <v>0</v>
      </c>
      <c r="AW38" s="73">
        <f t="shared" si="15"/>
        <v>0</v>
      </c>
      <c r="AX38" s="73">
        <f t="shared" si="16"/>
        <v>0</v>
      </c>
      <c r="AY38" s="73">
        <f t="shared" si="17"/>
        <v>0</v>
      </c>
      <c r="AZ38" s="73">
        <f t="shared" si="18"/>
        <v>0</v>
      </c>
      <c r="BA38" s="73">
        <f t="shared" si="19"/>
        <v>0</v>
      </c>
      <c r="BB38" s="73">
        <f t="shared" si="20"/>
        <v>0</v>
      </c>
      <c r="BC38" s="73">
        <f t="shared" si="21"/>
        <v>0</v>
      </c>
      <c r="BD38" s="73">
        <f t="shared" si="22"/>
        <v>0</v>
      </c>
      <c r="BE38" s="73">
        <f t="shared" si="23"/>
        <v>0</v>
      </c>
      <c r="BF38" s="73">
        <f t="shared" si="24"/>
        <v>0</v>
      </c>
      <c r="BG38" s="73">
        <f t="shared" si="25"/>
        <v>0</v>
      </c>
      <c r="BH38" s="73">
        <f t="shared" si="26"/>
        <v>20.000196709355119</v>
      </c>
      <c r="BI38" s="73">
        <f t="shared" si="27"/>
        <v>0</v>
      </c>
      <c r="BJ38" s="73">
        <f t="shared" si="28"/>
        <v>0</v>
      </c>
      <c r="BK38" s="73">
        <f t="shared" si="29"/>
        <v>0</v>
      </c>
      <c r="BL38" s="73">
        <f t="shared" si="30"/>
        <v>0</v>
      </c>
      <c r="BM38" s="73">
        <f t="shared" si="31"/>
        <v>0</v>
      </c>
      <c r="BN38" s="73">
        <f t="shared" si="32"/>
        <v>0</v>
      </c>
      <c r="BQ38">
        <f t="shared" si="84"/>
        <v>48.063881817019443</v>
      </c>
      <c r="BR38">
        <f t="shared" si="33"/>
        <v>0</v>
      </c>
      <c r="BS38">
        <f t="shared" si="34"/>
        <v>0</v>
      </c>
      <c r="BT38">
        <f t="shared" si="35"/>
        <v>0</v>
      </c>
      <c r="BU38">
        <f t="shared" si="36"/>
        <v>0</v>
      </c>
      <c r="BV38">
        <f t="shared" si="37"/>
        <v>0</v>
      </c>
      <c r="BW38">
        <f t="shared" si="38"/>
        <v>0</v>
      </c>
      <c r="BX38">
        <f t="shared" si="39"/>
        <v>0</v>
      </c>
      <c r="BY38">
        <f t="shared" si="40"/>
        <v>0</v>
      </c>
      <c r="BZ38">
        <f t="shared" si="41"/>
        <v>0</v>
      </c>
      <c r="CA38">
        <f t="shared" si="42"/>
        <v>0</v>
      </c>
      <c r="CB38">
        <f t="shared" si="43"/>
        <v>0</v>
      </c>
      <c r="CC38">
        <f t="shared" si="44"/>
        <v>0</v>
      </c>
      <c r="CD38">
        <f t="shared" si="45"/>
        <v>0</v>
      </c>
      <c r="CE38">
        <f t="shared" si="46"/>
        <v>0</v>
      </c>
      <c r="CF38">
        <f t="shared" si="47"/>
        <v>0</v>
      </c>
      <c r="CG38">
        <f t="shared" si="48"/>
        <v>18.840185300212525</v>
      </c>
      <c r="CH38">
        <f t="shared" si="49"/>
        <v>0</v>
      </c>
      <c r="CI38">
        <f t="shared" si="50"/>
        <v>0</v>
      </c>
      <c r="CJ38">
        <f t="shared" si="51"/>
        <v>0</v>
      </c>
      <c r="CK38">
        <f t="shared" si="52"/>
        <v>0</v>
      </c>
      <c r="CL38">
        <f t="shared" si="53"/>
        <v>0</v>
      </c>
      <c r="CN38">
        <f t="shared" si="78"/>
        <v>66.904067117231961</v>
      </c>
      <c r="CP38">
        <f t="shared" si="54"/>
        <v>2.3999940987193464</v>
      </c>
      <c r="CQ38">
        <f t="shared" si="55"/>
        <v>0</v>
      </c>
      <c r="CR38">
        <f t="shared" si="56"/>
        <v>0</v>
      </c>
      <c r="CS38">
        <f t="shared" si="57"/>
        <v>0</v>
      </c>
      <c r="CT38">
        <f t="shared" si="58"/>
        <v>0</v>
      </c>
      <c r="CU38">
        <f t="shared" si="59"/>
        <v>0</v>
      </c>
      <c r="CV38">
        <f t="shared" si="60"/>
        <v>0</v>
      </c>
      <c r="CW38">
        <f t="shared" si="61"/>
        <v>0</v>
      </c>
      <c r="CX38">
        <f t="shared" si="62"/>
        <v>0</v>
      </c>
      <c r="CY38">
        <f t="shared" si="63"/>
        <v>0</v>
      </c>
      <c r="CZ38">
        <f t="shared" si="64"/>
        <v>0</v>
      </c>
      <c r="DA38">
        <f t="shared" si="65"/>
        <v>0</v>
      </c>
      <c r="DB38">
        <f t="shared" si="66"/>
        <v>0</v>
      </c>
      <c r="DC38">
        <f t="shared" si="67"/>
        <v>0</v>
      </c>
      <c r="DD38">
        <f t="shared" si="68"/>
        <v>0</v>
      </c>
      <c r="DE38">
        <f t="shared" si="69"/>
        <v>0</v>
      </c>
      <c r="DF38">
        <f t="shared" si="70"/>
        <v>0.60000590128065356</v>
      </c>
      <c r="DG38">
        <f t="shared" si="71"/>
        <v>0</v>
      </c>
      <c r="DH38">
        <f t="shared" si="72"/>
        <v>0</v>
      </c>
      <c r="DI38">
        <f t="shared" si="73"/>
        <v>0</v>
      </c>
      <c r="DJ38">
        <f t="shared" si="74"/>
        <v>0</v>
      </c>
      <c r="DK38">
        <f t="shared" si="75"/>
        <v>0</v>
      </c>
      <c r="DM38">
        <f t="shared" si="76"/>
        <v>3</v>
      </c>
    </row>
    <row r="39" spans="2:117">
      <c r="B39" s="45" t="s">
        <v>151</v>
      </c>
      <c r="C39" s="43">
        <v>2.4249999999999998</v>
      </c>
      <c r="D39" s="43">
        <v>744.8</v>
      </c>
      <c r="E39" s="43">
        <v>29.29</v>
      </c>
      <c r="F39" s="47">
        <v>4870</v>
      </c>
      <c r="G39" s="47">
        <v>2750</v>
      </c>
      <c r="H39" s="43">
        <f t="shared" si="80"/>
        <v>2.1285465460667304E+22</v>
      </c>
      <c r="I39" s="43">
        <f t="shared" si="81"/>
        <v>6.3856396382001911E+22</v>
      </c>
      <c r="J39" s="42">
        <f t="shared" si="82"/>
        <v>57.513482499999995</v>
      </c>
      <c r="K39" s="42">
        <f t="shared" si="6"/>
        <v>18.339062500000001</v>
      </c>
      <c r="L39" s="42">
        <f t="shared" si="7"/>
        <v>53.283311860434516</v>
      </c>
      <c r="M39" s="79">
        <f t="shared" si="79"/>
        <v>49.815556581303547</v>
      </c>
      <c r="N39" s="79"/>
      <c r="O39" s="52" t="str">
        <f t="shared" si="83"/>
        <v>KS25</v>
      </c>
      <c r="P39" s="87">
        <v>65.680000000000007</v>
      </c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>
        <v>34.32</v>
      </c>
      <c r="AG39" s="87"/>
      <c r="AH39" s="87"/>
      <c r="AI39" s="87"/>
      <c r="AJ39" s="87"/>
      <c r="AK39" s="87"/>
      <c r="AL39" s="87"/>
      <c r="AM39" s="86">
        <f t="shared" si="77"/>
        <v>100</v>
      </c>
      <c r="AO39" s="71">
        <f t="shared" si="8"/>
        <v>1.4575402647849578</v>
      </c>
      <c r="AQ39" s="97" t="str">
        <f t="shared" si="9"/>
        <v>KS25</v>
      </c>
      <c r="AR39" s="73">
        <f t="shared" si="10"/>
        <v>75.003694992615834</v>
      </c>
      <c r="AS39" s="73">
        <f t="shared" si="11"/>
        <v>0</v>
      </c>
      <c r="AT39" s="73">
        <f t="shared" si="12"/>
        <v>0</v>
      </c>
      <c r="AU39" s="73">
        <f t="shared" si="13"/>
        <v>0</v>
      </c>
      <c r="AV39" s="73">
        <f t="shared" si="14"/>
        <v>0</v>
      </c>
      <c r="AW39" s="73">
        <f t="shared" si="15"/>
        <v>0</v>
      </c>
      <c r="AX39" s="73">
        <f t="shared" si="16"/>
        <v>0</v>
      </c>
      <c r="AY39" s="73">
        <f t="shared" si="17"/>
        <v>0</v>
      </c>
      <c r="AZ39" s="73">
        <f t="shared" si="18"/>
        <v>0</v>
      </c>
      <c r="BA39" s="73">
        <f t="shared" si="19"/>
        <v>0</v>
      </c>
      <c r="BB39" s="73">
        <f t="shared" si="20"/>
        <v>0</v>
      </c>
      <c r="BC39" s="73">
        <f t="shared" si="21"/>
        <v>0</v>
      </c>
      <c r="BD39" s="73">
        <f t="shared" si="22"/>
        <v>0</v>
      </c>
      <c r="BE39" s="73">
        <f t="shared" si="23"/>
        <v>0</v>
      </c>
      <c r="BF39" s="73">
        <f t="shared" si="24"/>
        <v>0</v>
      </c>
      <c r="BG39" s="73">
        <f t="shared" si="25"/>
        <v>0</v>
      </c>
      <c r="BH39" s="73">
        <f t="shared" si="26"/>
        <v>24.996305007384162</v>
      </c>
      <c r="BI39" s="73">
        <f t="shared" si="27"/>
        <v>0</v>
      </c>
      <c r="BJ39" s="73">
        <f t="shared" si="28"/>
        <v>0</v>
      </c>
      <c r="BK39" s="73">
        <f t="shared" si="29"/>
        <v>0</v>
      </c>
      <c r="BL39" s="73">
        <f t="shared" si="30"/>
        <v>0</v>
      </c>
      <c r="BM39" s="73">
        <f t="shared" si="31"/>
        <v>0</v>
      </c>
      <c r="BN39" s="73">
        <f t="shared" si="32"/>
        <v>0</v>
      </c>
      <c r="BQ39">
        <f t="shared" si="84"/>
        <v>45.062219951563591</v>
      </c>
      <c r="BR39">
        <f t="shared" si="33"/>
        <v>0</v>
      </c>
      <c r="BS39">
        <f t="shared" si="34"/>
        <v>0</v>
      </c>
      <c r="BT39">
        <f t="shared" si="35"/>
        <v>0</v>
      </c>
      <c r="BU39">
        <f t="shared" si="36"/>
        <v>0</v>
      </c>
      <c r="BV39">
        <f t="shared" si="37"/>
        <v>0</v>
      </c>
      <c r="BW39">
        <f t="shared" si="38"/>
        <v>0</v>
      </c>
      <c r="BX39">
        <f t="shared" si="39"/>
        <v>0</v>
      </c>
      <c r="BY39">
        <f t="shared" si="40"/>
        <v>0</v>
      </c>
      <c r="BZ39">
        <f t="shared" si="41"/>
        <v>0</v>
      </c>
      <c r="CA39">
        <f t="shared" si="42"/>
        <v>0</v>
      </c>
      <c r="CB39">
        <f t="shared" si="43"/>
        <v>0</v>
      </c>
      <c r="CC39">
        <f t="shared" si="44"/>
        <v>0</v>
      </c>
      <c r="CD39">
        <f t="shared" si="45"/>
        <v>0</v>
      </c>
      <c r="CE39">
        <f t="shared" si="46"/>
        <v>0</v>
      </c>
      <c r="CF39">
        <f t="shared" si="47"/>
        <v>0</v>
      </c>
      <c r="CG39">
        <f t="shared" si="48"/>
        <v>23.54651931695588</v>
      </c>
      <c r="CH39">
        <f t="shared" si="49"/>
        <v>0</v>
      </c>
      <c r="CI39">
        <f t="shared" si="50"/>
        <v>0</v>
      </c>
      <c r="CJ39">
        <f t="shared" si="51"/>
        <v>0</v>
      </c>
      <c r="CK39">
        <f t="shared" si="52"/>
        <v>0</v>
      </c>
      <c r="CL39">
        <f t="shared" si="53"/>
        <v>0</v>
      </c>
      <c r="CN39">
        <f t="shared" si="78"/>
        <v>68.608739268519471</v>
      </c>
      <c r="CP39">
        <f t="shared" si="54"/>
        <v>2.250110849778475</v>
      </c>
      <c r="CQ39">
        <f t="shared" si="55"/>
        <v>0</v>
      </c>
      <c r="CR39">
        <f t="shared" si="56"/>
        <v>0</v>
      </c>
      <c r="CS39">
        <f t="shared" si="57"/>
        <v>0</v>
      </c>
      <c r="CT39">
        <f t="shared" si="58"/>
        <v>0</v>
      </c>
      <c r="CU39">
        <f t="shared" si="59"/>
        <v>0</v>
      </c>
      <c r="CV39">
        <f t="shared" si="60"/>
        <v>0</v>
      </c>
      <c r="CW39">
        <f t="shared" si="61"/>
        <v>0</v>
      </c>
      <c r="CX39">
        <f t="shared" si="62"/>
        <v>0</v>
      </c>
      <c r="CY39">
        <f t="shared" si="63"/>
        <v>0</v>
      </c>
      <c r="CZ39">
        <f t="shared" si="64"/>
        <v>0</v>
      </c>
      <c r="DA39">
        <f t="shared" si="65"/>
        <v>0</v>
      </c>
      <c r="DB39">
        <f t="shared" si="66"/>
        <v>0</v>
      </c>
      <c r="DC39">
        <f t="shared" si="67"/>
        <v>0</v>
      </c>
      <c r="DD39">
        <f t="shared" si="68"/>
        <v>0</v>
      </c>
      <c r="DE39">
        <f t="shared" si="69"/>
        <v>0</v>
      </c>
      <c r="DF39">
        <f t="shared" si="70"/>
        <v>0.7498891502215248</v>
      </c>
      <c r="DG39">
        <f t="shared" si="71"/>
        <v>0</v>
      </c>
      <c r="DH39">
        <f t="shared" si="72"/>
        <v>0</v>
      </c>
      <c r="DI39">
        <f t="shared" si="73"/>
        <v>0</v>
      </c>
      <c r="DJ39">
        <f t="shared" si="74"/>
        <v>0</v>
      </c>
      <c r="DK39">
        <f t="shared" si="75"/>
        <v>0</v>
      </c>
      <c r="DM39">
        <f t="shared" si="76"/>
        <v>3</v>
      </c>
    </row>
    <row r="40" spans="2:117">
      <c r="B40" s="45" t="s">
        <v>152</v>
      </c>
      <c r="C40" s="43">
        <v>2.4609999999999999</v>
      </c>
      <c r="D40" s="43">
        <v>707.9</v>
      </c>
      <c r="E40" s="43">
        <v>28.6</v>
      </c>
      <c r="F40" s="47">
        <v>4806</v>
      </c>
      <c r="G40" s="47">
        <v>2670</v>
      </c>
      <c r="H40" s="43">
        <f t="shared" si="80"/>
        <v>2.0774975797370856E+22</v>
      </c>
      <c r="I40" s="43">
        <f t="shared" si="81"/>
        <v>6.2324927392112561E+22</v>
      </c>
      <c r="J40" s="42">
        <f t="shared" si="82"/>
        <v>56.843282195999997</v>
      </c>
      <c r="K40" s="42">
        <f t="shared" si="6"/>
        <v>17.544222899999998</v>
      </c>
      <c r="L40" s="42">
        <f t="shared" si="7"/>
        <v>50.940376675979806</v>
      </c>
      <c r="M40" s="79">
        <f t="shared" si="79"/>
        <v>47.555788627939421</v>
      </c>
      <c r="N40" s="79"/>
      <c r="O40" s="52" t="str">
        <f t="shared" si="83"/>
        <v>KS33</v>
      </c>
      <c r="P40" s="87">
        <v>56.43</v>
      </c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>
        <v>43.57</v>
      </c>
      <c r="AG40" s="87"/>
      <c r="AH40" s="87"/>
      <c r="AI40" s="87"/>
      <c r="AJ40" s="87"/>
      <c r="AK40" s="87"/>
      <c r="AL40" s="87"/>
      <c r="AM40" s="86">
        <f t="shared" si="77"/>
        <v>100</v>
      </c>
      <c r="AO40" s="71">
        <f t="shared" si="8"/>
        <v>1.4017742090517669</v>
      </c>
      <c r="AQ40" s="97" t="str">
        <f t="shared" si="9"/>
        <v>KS33</v>
      </c>
      <c r="AR40" s="73">
        <f t="shared" si="10"/>
        <v>67.004205364071524</v>
      </c>
      <c r="AS40" s="73">
        <f t="shared" si="11"/>
        <v>0</v>
      </c>
      <c r="AT40" s="73">
        <f t="shared" si="12"/>
        <v>0</v>
      </c>
      <c r="AU40" s="73">
        <f t="shared" si="13"/>
        <v>0</v>
      </c>
      <c r="AV40" s="73">
        <f t="shared" si="14"/>
        <v>0</v>
      </c>
      <c r="AW40" s="73">
        <f t="shared" si="15"/>
        <v>0</v>
      </c>
      <c r="AX40" s="73">
        <f t="shared" si="16"/>
        <v>0</v>
      </c>
      <c r="AY40" s="73">
        <f t="shared" si="17"/>
        <v>0</v>
      </c>
      <c r="AZ40" s="73">
        <f t="shared" si="18"/>
        <v>0</v>
      </c>
      <c r="BA40" s="73">
        <f t="shared" si="19"/>
        <v>0</v>
      </c>
      <c r="BB40" s="73">
        <f t="shared" si="20"/>
        <v>0</v>
      </c>
      <c r="BC40" s="73">
        <f t="shared" si="21"/>
        <v>0</v>
      </c>
      <c r="BD40" s="73">
        <f t="shared" si="22"/>
        <v>0</v>
      </c>
      <c r="BE40" s="73">
        <f t="shared" si="23"/>
        <v>0</v>
      </c>
      <c r="BF40" s="73">
        <f t="shared" si="24"/>
        <v>0</v>
      </c>
      <c r="BG40" s="73">
        <f t="shared" si="25"/>
        <v>0</v>
      </c>
      <c r="BH40" s="73">
        <f t="shared" si="26"/>
        <v>32.995794635928469</v>
      </c>
      <c r="BI40" s="73">
        <f t="shared" si="27"/>
        <v>0</v>
      </c>
      <c r="BJ40" s="73">
        <f t="shared" si="28"/>
        <v>0</v>
      </c>
      <c r="BK40" s="73">
        <f t="shared" si="29"/>
        <v>0</v>
      </c>
      <c r="BL40" s="73">
        <f t="shared" si="30"/>
        <v>0</v>
      </c>
      <c r="BM40" s="73">
        <f t="shared" si="31"/>
        <v>0</v>
      </c>
      <c r="BN40" s="73">
        <f t="shared" si="32"/>
        <v>0</v>
      </c>
      <c r="BQ40">
        <f t="shared" si="84"/>
        <v>40.256126582734169</v>
      </c>
      <c r="BR40">
        <f t="shared" si="33"/>
        <v>0</v>
      </c>
      <c r="BS40">
        <f t="shared" si="34"/>
        <v>0</v>
      </c>
      <c r="BT40">
        <f t="shared" si="35"/>
        <v>0</v>
      </c>
      <c r="BU40">
        <f t="shared" si="36"/>
        <v>0</v>
      </c>
      <c r="BV40">
        <f t="shared" si="37"/>
        <v>0</v>
      </c>
      <c r="BW40">
        <f t="shared" si="38"/>
        <v>0</v>
      </c>
      <c r="BX40">
        <f t="shared" si="39"/>
        <v>0</v>
      </c>
      <c r="BY40">
        <f t="shared" si="40"/>
        <v>0</v>
      </c>
      <c r="BZ40">
        <f t="shared" si="41"/>
        <v>0</v>
      </c>
      <c r="CA40">
        <f t="shared" si="42"/>
        <v>0</v>
      </c>
      <c r="CB40">
        <f t="shared" si="43"/>
        <v>0</v>
      </c>
      <c r="CC40">
        <f t="shared" si="44"/>
        <v>0</v>
      </c>
      <c r="CD40">
        <f t="shared" si="45"/>
        <v>0</v>
      </c>
      <c r="CE40">
        <f t="shared" si="46"/>
        <v>0</v>
      </c>
      <c r="CF40">
        <f t="shared" si="47"/>
        <v>0</v>
      </c>
      <c r="CG40">
        <f t="shared" si="48"/>
        <v>31.082038547044622</v>
      </c>
      <c r="CH40">
        <f t="shared" si="49"/>
        <v>0</v>
      </c>
      <c r="CI40">
        <f t="shared" si="50"/>
        <v>0</v>
      </c>
      <c r="CJ40">
        <f t="shared" si="51"/>
        <v>0</v>
      </c>
      <c r="CK40">
        <f t="shared" si="52"/>
        <v>0</v>
      </c>
      <c r="CL40">
        <f t="shared" si="53"/>
        <v>0</v>
      </c>
      <c r="CN40">
        <f t="shared" si="78"/>
        <v>71.338165129778787</v>
      </c>
      <c r="CP40">
        <f t="shared" si="54"/>
        <v>2.0101261609221455</v>
      </c>
      <c r="CQ40">
        <f t="shared" si="55"/>
        <v>0</v>
      </c>
      <c r="CR40">
        <f t="shared" si="56"/>
        <v>0</v>
      </c>
      <c r="CS40">
        <f t="shared" si="57"/>
        <v>0</v>
      </c>
      <c r="CT40">
        <f t="shared" si="58"/>
        <v>0</v>
      </c>
      <c r="CU40">
        <f t="shared" si="59"/>
        <v>0</v>
      </c>
      <c r="CV40">
        <f t="shared" si="60"/>
        <v>0</v>
      </c>
      <c r="CW40">
        <f t="shared" si="61"/>
        <v>0</v>
      </c>
      <c r="CX40">
        <f t="shared" si="62"/>
        <v>0</v>
      </c>
      <c r="CY40">
        <f t="shared" si="63"/>
        <v>0</v>
      </c>
      <c r="CZ40">
        <f t="shared" si="64"/>
        <v>0</v>
      </c>
      <c r="DA40">
        <f t="shared" si="65"/>
        <v>0</v>
      </c>
      <c r="DB40">
        <f t="shared" si="66"/>
        <v>0</v>
      </c>
      <c r="DC40">
        <f t="shared" si="67"/>
        <v>0</v>
      </c>
      <c r="DD40">
        <f t="shared" si="68"/>
        <v>0</v>
      </c>
      <c r="DE40">
        <f t="shared" si="69"/>
        <v>0</v>
      </c>
      <c r="DF40">
        <f t="shared" si="70"/>
        <v>0.98987383907785409</v>
      </c>
      <c r="DG40">
        <f t="shared" si="71"/>
        <v>0</v>
      </c>
      <c r="DH40">
        <f t="shared" si="72"/>
        <v>0</v>
      </c>
      <c r="DI40">
        <f t="shared" si="73"/>
        <v>0</v>
      </c>
      <c r="DJ40">
        <f t="shared" si="74"/>
        <v>0</v>
      </c>
      <c r="DK40">
        <f t="shared" si="75"/>
        <v>0</v>
      </c>
      <c r="DM40">
        <f t="shared" si="76"/>
        <v>2.9999999999999996</v>
      </c>
    </row>
    <row r="41" spans="2:117">
      <c r="B41" s="45" t="s">
        <v>97</v>
      </c>
      <c r="C41" s="43">
        <v>2.3929999999999998</v>
      </c>
      <c r="D41" s="43"/>
      <c r="E41" s="43">
        <v>25</v>
      </c>
      <c r="F41" s="47">
        <v>5559.1</v>
      </c>
      <c r="G41" s="47">
        <v>3421.5</v>
      </c>
      <c r="H41" s="43">
        <f t="shared" si="80"/>
        <v>2.387345110802884E+22</v>
      </c>
      <c r="I41" s="43">
        <f t="shared" si="81"/>
        <v>7.1620353324086517E+22</v>
      </c>
      <c r="J41" s="42">
        <f t="shared" si="82"/>
        <v>73.952297594329991</v>
      </c>
      <c r="K41" s="42">
        <f t="shared" si="6"/>
        <v>28.01404276425</v>
      </c>
      <c r="L41" s="42">
        <f t="shared" si="7"/>
        <v>82.097439765217914</v>
      </c>
      <c r="M41" s="79">
        <f t="shared" si="79"/>
        <v>78.208058710153736</v>
      </c>
      <c r="N41" s="79"/>
      <c r="O41" s="52" t="str">
        <f t="shared" si="83"/>
        <v>NS15</v>
      </c>
      <c r="P41" s="87">
        <v>84.65</v>
      </c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>
        <v>15.35</v>
      </c>
      <c r="AF41" s="87"/>
      <c r="AG41" s="87"/>
      <c r="AH41" s="87"/>
      <c r="AI41" s="87"/>
      <c r="AJ41" s="87"/>
      <c r="AK41" s="87"/>
      <c r="AL41" s="87"/>
      <c r="AM41" s="86">
        <f t="shared" si="77"/>
        <v>100</v>
      </c>
      <c r="AO41" s="71">
        <f t="shared" si="8"/>
        <v>1.6566152626872894</v>
      </c>
      <c r="AQ41" s="97" t="str">
        <f t="shared" si="9"/>
        <v>NS15</v>
      </c>
      <c r="AR41" s="73">
        <f t="shared" ref="AR41:AR85" si="85">100*P41/$AR$3/$AO41</f>
        <v>85.050208021449748</v>
      </c>
      <c r="AS41" s="73">
        <f t="shared" ref="AS41:AS60" si="86">100*Q41/$AS$3/$AO41</f>
        <v>0</v>
      </c>
      <c r="AT41" s="73">
        <f t="shared" ref="AT41:AT60" si="87">100*R41/$AT$3/$AO41</f>
        <v>0</v>
      </c>
      <c r="AU41" s="73">
        <f t="shared" ref="AU41:AU60" si="88">100*S41/$AU$3/$AO41</f>
        <v>0</v>
      </c>
      <c r="AV41" s="73">
        <f t="shared" ref="AV41:AV60" si="89">100*T41/$AV$3/$AO41</f>
        <v>0</v>
      </c>
      <c r="AW41" s="73">
        <f t="shared" ref="AW41:AW60" si="90">100*U41/$AW$3/$AO41</f>
        <v>0</v>
      </c>
      <c r="AX41" s="73">
        <f t="shared" ref="AX41:AX60" si="91">100*V41/$AX$3/$AO41</f>
        <v>0</v>
      </c>
      <c r="AY41" s="73">
        <f t="shared" ref="AY41:AY60" si="92">100*W41/$AY$3/$AO41</f>
        <v>0</v>
      </c>
      <c r="AZ41" s="73">
        <f t="shared" ref="AZ41:AZ60" si="93">100*X41/$AZ$3/$AO41</f>
        <v>0</v>
      </c>
      <c r="BA41" s="73">
        <f t="shared" ref="BA41:BA60" si="94">100*Y41/$BA$3/$AO41</f>
        <v>0</v>
      </c>
      <c r="BB41" s="73">
        <f t="shared" ref="BB41:BB60" si="95">100*Z41/$BB$3/$AO41</f>
        <v>0</v>
      </c>
      <c r="BC41" s="73">
        <f t="shared" ref="BC41:BC60" si="96">100*AA41/$BC$3/$AO41</f>
        <v>0</v>
      </c>
      <c r="BD41" s="73">
        <f t="shared" ref="BD41:BD60" si="97">100*AB41/$BD$3/$AO41</f>
        <v>0</v>
      </c>
      <c r="BE41" s="73">
        <f t="shared" ref="BE41:BE60" si="98">100*AC41/$BE$3/$AO41</f>
        <v>0</v>
      </c>
      <c r="BF41" s="73">
        <f t="shared" ref="BF41:BF60" si="99">100*AD41/$BF$3/$AO41</f>
        <v>0</v>
      </c>
      <c r="BG41" s="73">
        <f t="shared" ref="BG41:BG60" si="100">100*AE41/$BG$3/$AO41</f>
        <v>14.949791978550245</v>
      </c>
      <c r="BH41" s="73">
        <f t="shared" ref="BH41:BH60" si="101">100*AF41/$BH$3/$AO41</f>
        <v>0</v>
      </c>
      <c r="BI41" s="73">
        <f t="shared" ref="BI41:BI60" si="102">100*AG41/$BI$3/$AO41</f>
        <v>0</v>
      </c>
      <c r="BJ41" s="73">
        <f t="shared" ref="BJ41:BJ60" si="103">100*AH41/$BJ$3/$AO41</f>
        <v>0</v>
      </c>
      <c r="BK41" s="73">
        <f t="shared" ref="BK41:BK60" si="104">100*AI41/$BK$3/$AO41</f>
        <v>0</v>
      </c>
      <c r="BL41" s="73">
        <f t="shared" ref="BL41:BL60" si="105">100*AJ41/$BL$3/$AO41</f>
        <v>0</v>
      </c>
      <c r="BM41" s="73">
        <f t="shared" si="31"/>
        <v>0</v>
      </c>
      <c r="BN41" s="73">
        <f t="shared" ref="BN41:BN60" si="106">100*AL41/$BN$3/$AO41</f>
        <v>0</v>
      </c>
      <c r="BQ41">
        <f t="shared" si="84"/>
        <v>51.098164979287006</v>
      </c>
      <c r="BR41">
        <f t="shared" si="33"/>
        <v>0</v>
      </c>
      <c r="BS41">
        <f t="shared" si="34"/>
        <v>0</v>
      </c>
      <c r="BT41">
        <f t="shared" si="35"/>
        <v>0</v>
      </c>
      <c r="BU41">
        <f t="shared" si="36"/>
        <v>0</v>
      </c>
      <c r="BV41">
        <f t="shared" si="37"/>
        <v>0</v>
      </c>
      <c r="BW41">
        <f t="shared" si="38"/>
        <v>0</v>
      </c>
      <c r="BX41">
        <f t="shared" si="39"/>
        <v>0</v>
      </c>
      <c r="BY41">
        <f t="shared" si="40"/>
        <v>0</v>
      </c>
      <c r="BZ41">
        <f t="shared" si="41"/>
        <v>0</v>
      </c>
      <c r="CA41">
        <f t="shared" si="42"/>
        <v>0</v>
      </c>
      <c r="CB41">
        <f t="shared" si="43"/>
        <v>0</v>
      </c>
      <c r="CC41">
        <f t="shared" si="44"/>
        <v>0</v>
      </c>
      <c r="CD41">
        <f t="shared" si="45"/>
        <v>0</v>
      </c>
      <c r="CE41">
        <f t="shared" si="46"/>
        <v>0</v>
      </c>
      <c r="CF41">
        <f t="shared" si="47"/>
        <v>9.2658810683054416</v>
      </c>
      <c r="CG41">
        <f t="shared" si="48"/>
        <v>0</v>
      </c>
      <c r="CH41">
        <f t="shared" si="49"/>
        <v>0</v>
      </c>
      <c r="CI41">
        <f t="shared" si="50"/>
        <v>0</v>
      </c>
      <c r="CJ41">
        <f t="shared" si="51"/>
        <v>0</v>
      </c>
      <c r="CK41">
        <f t="shared" si="52"/>
        <v>0</v>
      </c>
      <c r="CL41">
        <f t="shared" si="53"/>
        <v>0</v>
      </c>
      <c r="CN41">
        <f t="shared" si="78"/>
        <v>60.364046047592446</v>
      </c>
      <c r="CP41">
        <f t="shared" si="54"/>
        <v>2.5515062406434925</v>
      </c>
      <c r="CQ41">
        <f t="shared" si="55"/>
        <v>0</v>
      </c>
      <c r="CR41">
        <f t="shared" si="56"/>
        <v>0</v>
      </c>
      <c r="CS41">
        <f t="shared" si="57"/>
        <v>0</v>
      </c>
      <c r="CT41">
        <f t="shared" si="58"/>
        <v>0</v>
      </c>
      <c r="CU41">
        <f t="shared" si="59"/>
        <v>0</v>
      </c>
      <c r="CV41">
        <f t="shared" si="60"/>
        <v>0</v>
      </c>
      <c r="CW41">
        <f t="shared" si="61"/>
        <v>0</v>
      </c>
      <c r="CX41">
        <f t="shared" si="62"/>
        <v>0</v>
      </c>
      <c r="CY41">
        <f t="shared" si="63"/>
        <v>0</v>
      </c>
      <c r="CZ41">
        <f t="shared" si="64"/>
        <v>0</v>
      </c>
      <c r="DA41">
        <f t="shared" si="65"/>
        <v>0</v>
      </c>
      <c r="DB41">
        <f t="shared" si="66"/>
        <v>0</v>
      </c>
      <c r="DC41">
        <f t="shared" si="67"/>
        <v>0</v>
      </c>
      <c r="DD41">
        <f t="shared" si="68"/>
        <v>0</v>
      </c>
      <c r="DE41">
        <f t="shared" si="69"/>
        <v>0.44849375935650737</v>
      </c>
      <c r="DF41">
        <f t="shared" si="70"/>
        <v>0</v>
      </c>
      <c r="DG41">
        <f t="shared" si="71"/>
        <v>0</v>
      </c>
      <c r="DH41">
        <f t="shared" si="72"/>
        <v>0</v>
      </c>
      <c r="DI41">
        <f t="shared" si="73"/>
        <v>0</v>
      </c>
      <c r="DJ41">
        <f t="shared" si="74"/>
        <v>0</v>
      </c>
      <c r="DK41">
        <f t="shared" si="75"/>
        <v>0</v>
      </c>
      <c r="DM41">
        <f t="shared" si="76"/>
        <v>3</v>
      </c>
    </row>
    <row r="42" spans="2:117">
      <c r="B42" s="45" t="s">
        <v>98</v>
      </c>
      <c r="C42" s="43">
        <v>2.4279999999999999</v>
      </c>
      <c r="D42" s="43">
        <v>750.2</v>
      </c>
      <c r="E42" s="43">
        <v>29.8</v>
      </c>
      <c r="F42" s="47">
        <v>5493.6</v>
      </c>
      <c r="G42" s="47">
        <v>3330.3</v>
      </c>
      <c r="H42" s="43">
        <f t="shared" si="80"/>
        <v>2.4184948178351416E+22</v>
      </c>
      <c r="I42" s="43">
        <f t="shared" si="81"/>
        <v>7.2554844535054261E+22</v>
      </c>
      <c r="J42" s="42">
        <f t="shared" si="82"/>
        <v>73.276168250880005</v>
      </c>
      <c r="K42" s="42">
        <f t="shared" si="6"/>
        <v>26.928700562520003</v>
      </c>
      <c r="L42" s="42">
        <f t="shared" si="7"/>
        <v>78.816039141027943</v>
      </c>
      <c r="M42" s="79">
        <f t="shared" si="79"/>
        <v>74.875910047963799</v>
      </c>
      <c r="N42" s="79"/>
      <c r="O42" s="52" t="str">
        <f t="shared" si="83"/>
        <v>NS20</v>
      </c>
      <c r="P42" s="86">
        <v>79.599999999999994</v>
      </c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  <c r="AD42" s="87"/>
      <c r="AE42" s="87">
        <v>20.399999999999999</v>
      </c>
      <c r="AF42" s="87"/>
      <c r="AG42" s="87"/>
      <c r="AH42" s="87"/>
      <c r="AI42" s="87"/>
      <c r="AJ42" s="87"/>
      <c r="AK42" s="87"/>
      <c r="AL42" s="87"/>
      <c r="AM42" s="86">
        <f t="shared" si="77"/>
        <v>100</v>
      </c>
      <c r="AO42" s="71">
        <f t="shared" si="8"/>
        <v>1.6540385649079703</v>
      </c>
      <c r="AQ42" s="97" t="str">
        <f t="shared" si="9"/>
        <v>NS20</v>
      </c>
      <c r="AR42" s="73">
        <f t="shared" si="85"/>
        <v>80.100921542268196</v>
      </c>
      <c r="AS42" s="73">
        <f t="shared" si="86"/>
        <v>0</v>
      </c>
      <c r="AT42" s="73">
        <f t="shared" si="87"/>
        <v>0</v>
      </c>
      <c r="AU42" s="73">
        <f t="shared" si="88"/>
        <v>0</v>
      </c>
      <c r="AV42" s="73">
        <f t="shared" si="89"/>
        <v>0</v>
      </c>
      <c r="AW42" s="73">
        <f t="shared" si="90"/>
        <v>0</v>
      </c>
      <c r="AX42" s="73">
        <f t="shared" si="91"/>
        <v>0</v>
      </c>
      <c r="AY42" s="73">
        <f t="shared" si="92"/>
        <v>0</v>
      </c>
      <c r="AZ42" s="73">
        <f t="shared" si="93"/>
        <v>0</v>
      </c>
      <c r="BA42" s="73">
        <f t="shared" si="94"/>
        <v>0</v>
      </c>
      <c r="BB42" s="73">
        <f t="shared" si="95"/>
        <v>0</v>
      </c>
      <c r="BC42" s="73">
        <f t="shared" si="96"/>
        <v>0</v>
      </c>
      <c r="BD42" s="73">
        <f t="shared" si="97"/>
        <v>0</v>
      </c>
      <c r="BE42" s="73">
        <f t="shared" si="98"/>
        <v>0</v>
      </c>
      <c r="BF42" s="73">
        <f t="shared" si="99"/>
        <v>0</v>
      </c>
      <c r="BG42" s="73">
        <f t="shared" si="100"/>
        <v>19.8990784577318</v>
      </c>
      <c r="BH42" s="73">
        <f t="shared" si="101"/>
        <v>0</v>
      </c>
      <c r="BI42" s="73">
        <f t="shared" si="102"/>
        <v>0</v>
      </c>
      <c r="BJ42" s="73">
        <f t="shared" si="103"/>
        <v>0</v>
      </c>
      <c r="BK42" s="73">
        <f t="shared" si="104"/>
        <v>0</v>
      </c>
      <c r="BL42" s="73">
        <f t="shared" si="105"/>
        <v>0</v>
      </c>
      <c r="BM42" s="73">
        <f t="shared" si="31"/>
        <v>0</v>
      </c>
      <c r="BN42" s="73">
        <f t="shared" si="106"/>
        <v>0</v>
      </c>
      <c r="BQ42">
        <f t="shared" si="84"/>
        <v>48.124633662594732</v>
      </c>
      <c r="BR42">
        <f t="shared" si="33"/>
        <v>0</v>
      </c>
      <c r="BS42">
        <f t="shared" si="34"/>
        <v>0</v>
      </c>
      <c r="BT42">
        <f t="shared" si="35"/>
        <v>0</v>
      </c>
      <c r="BU42">
        <f t="shared" si="36"/>
        <v>0</v>
      </c>
      <c r="BV42">
        <f t="shared" si="37"/>
        <v>0</v>
      </c>
      <c r="BW42">
        <f t="shared" si="38"/>
        <v>0</v>
      </c>
      <c r="BX42">
        <f t="shared" si="39"/>
        <v>0</v>
      </c>
      <c r="BY42">
        <f t="shared" si="40"/>
        <v>0</v>
      </c>
      <c r="BZ42">
        <f t="shared" si="41"/>
        <v>0</v>
      </c>
      <c r="CA42">
        <f t="shared" si="42"/>
        <v>0</v>
      </c>
      <c r="CB42">
        <f t="shared" si="43"/>
        <v>0</v>
      </c>
      <c r="CC42">
        <f t="shared" si="44"/>
        <v>0</v>
      </c>
      <c r="CD42">
        <f t="shared" si="45"/>
        <v>0</v>
      </c>
      <c r="CE42">
        <f t="shared" si="46"/>
        <v>0</v>
      </c>
      <c r="CF42">
        <f t="shared" si="47"/>
        <v>12.333448828102169</v>
      </c>
      <c r="CG42">
        <f t="shared" si="48"/>
        <v>0</v>
      </c>
      <c r="CH42">
        <f t="shared" si="49"/>
        <v>0</v>
      </c>
      <c r="CI42">
        <f t="shared" si="50"/>
        <v>0</v>
      </c>
      <c r="CJ42">
        <f t="shared" si="51"/>
        <v>0</v>
      </c>
      <c r="CK42">
        <f t="shared" si="52"/>
        <v>0</v>
      </c>
      <c r="CL42">
        <f t="shared" si="53"/>
        <v>0</v>
      </c>
      <c r="CN42">
        <f>SUM(BQ42:CL42)</f>
        <v>60.458082490696903</v>
      </c>
      <c r="CP42">
        <f t="shared" si="54"/>
        <v>2.403027646268046</v>
      </c>
      <c r="CQ42">
        <f t="shared" si="55"/>
        <v>0</v>
      </c>
      <c r="CR42">
        <f t="shared" si="56"/>
        <v>0</v>
      </c>
      <c r="CS42">
        <f t="shared" si="57"/>
        <v>0</v>
      </c>
      <c r="CT42">
        <f t="shared" si="58"/>
        <v>0</v>
      </c>
      <c r="CU42">
        <f t="shared" si="59"/>
        <v>0</v>
      </c>
      <c r="CV42">
        <f t="shared" si="60"/>
        <v>0</v>
      </c>
      <c r="CW42">
        <f t="shared" si="61"/>
        <v>0</v>
      </c>
      <c r="CX42">
        <f t="shared" si="62"/>
        <v>0</v>
      </c>
      <c r="CY42">
        <f t="shared" si="63"/>
        <v>0</v>
      </c>
      <c r="CZ42">
        <f t="shared" si="64"/>
        <v>0</v>
      </c>
      <c r="DA42">
        <f t="shared" si="65"/>
        <v>0</v>
      </c>
      <c r="DB42">
        <f t="shared" si="66"/>
        <v>0</v>
      </c>
      <c r="DC42">
        <f t="shared" si="67"/>
        <v>0</v>
      </c>
      <c r="DD42">
        <f t="shared" si="68"/>
        <v>0</v>
      </c>
      <c r="DE42">
        <f t="shared" si="69"/>
        <v>0.59697235373195401</v>
      </c>
      <c r="DF42">
        <f t="shared" si="70"/>
        <v>0</v>
      </c>
      <c r="DG42">
        <f t="shared" si="71"/>
        <v>0</v>
      </c>
      <c r="DH42">
        <f t="shared" si="72"/>
        <v>0</v>
      </c>
      <c r="DI42">
        <f t="shared" si="73"/>
        <v>0</v>
      </c>
      <c r="DJ42">
        <f t="shared" si="74"/>
        <v>0</v>
      </c>
      <c r="DK42">
        <f t="shared" si="75"/>
        <v>0</v>
      </c>
      <c r="DM42">
        <f t="shared" si="76"/>
        <v>3</v>
      </c>
    </row>
    <row r="43" spans="2:117">
      <c r="B43" s="45" t="s">
        <v>99</v>
      </c>
      <c r="C43" s="43">
        <v>2.448</v>
      </c>
      <c r="D43" s="43">
        <v>731.1</v>
      </c>
      <c r="E43" s="43">
        <v>29.9</v>
      </c>
      <c r="F43" s="47">
        <v>5457.2</v>
      </c>
      <c r="G43" s="47">
        <v>3257.8</v>
      </c>
      <c r="H43" s="43">
        <f t="shared" si="80"/>
        <v>2.4345050721018632E+22</v>
      </c>
      <c r="I43" s="43">
        <f t="shared" si="81"/>
        <v>7.3035152163055914E+22</v>
      </c>
      <c r="J43" s="42">
        <f t="shared" si="82"/>
        <v>72.903965944319992</v>
      </c>
      <c r="K43" s="42">
        <f t="shared" si="6"/>
        <v>25.981262536320006</v>
      </c>
      <c r="L43" s="42">
        <f t="shared" si="7"/>
        <v>75.960683382917523</v>
      </c>
      <c r="M43" s="79">
        <f t="shared" si="79"/>
        <v>71.994470930832534</v>
      </c>
      <c r="N43" s="79"/>
      <c r="O43" s="52" t="str">
        <f t="shared" si="83"/>
        <v>NS25</v>
      </c>
      <c r="P43" s="86">
        <v>74.400000000000006</v>
      </c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>
        <v>25.6</v>
      </c>
      <c r="AF43" s="87"/>
      <c r="AG43" s="87"/>
      <c r="AH43" s="87"/>
      <c r="AI43" s="87"/>
      <c r="AJ43" s="87"/>
      <c r="AK43" s="87"/>
      <c r="AL43" s="87"/>
      <c r="AM43" s="86">
        <f t="shared" si="77"/>
        <v>100</v>
      </c>
      <c r="AO43" s="71">
        <f t="shared" si="8"/>
        <v>1.6513853315510481</v>
      </c>
      <c r="AQ43" s="97" t="str">
        <f t="shared" si="9"/>
        <v>NS25</v>
      </c>
      <c r="AR43" s="73">
        <f t="shared" si="85"/>
        <v>74.988486606736316</v>
      </c>
      <c r="AS43" s="73">
        <f t="shared" si="86"/>
        <v>0</v>
      </c>
      <c r="AT43" s="73">
        <f t="shared" si="87"/>
        <v>0</v>
      </c>
      <c r="AU43" s="73">
        <f t="shared" si="88"/>
        <v>0</v>
      </c>
      <c r="AV43" s="73">
        <f t="shared" si="89"/>
        <v>0</v>
      </c>
      <c r="AW43" s="73">
        <f t="shared" si="90"/>
        <v>0</v>
      </c>
      <c r="AX43" s="73">
        <f t="shared" si="91"/>
        <v>0</v>
      </c>
      <c r="AY43" s="73">
        <f t="shared" si="92"/>
        <v>0</v>
      </c>
      <c r="AZ43" s="73">
        <f t="shared" si="93"/>
        <v>0</v>
      </c>
      <c r="BA43" s="73">
        <f t="shared" si="94"/>
        <v>0</v>
      </c>
      <c r="BB43" s="73">
        <f t="shared" si="95"/>
        <v>0</v>
      </c>
      <c r="BC43" s="73">
        <f t="shared" si="96"/>
        <v>0</v>
      </c>
      <c r="BD43" s="73">
        <f t="shared" si="97"/>
        <v>0</v>
      </c>
      <c r="BE43" s="73">
        <f t="shared" si="98"/>
        <v>0</v>
      </c>
      <c r="BF43" s="73">
        <f t="shared" si="99"/>
        <v>0</v>
      </c>
      <c r="BG43" s="73">
        <f t="shared" si="100"/>
        <v>25.011513393263687</v>
      </c>
      <c r="BH43" s="73">
        <f t="shared" si="101"/>
        <v>0</v>
      </c>
      <c r="BI43" s="73">
        <f t="shared" si="102"/>
        <v>0</v>
      </c>
      <c r="BJ43" s="73">
        <f t="shared" si="103"/>
        <v>0</v>
      </c>
      <c r="BK43" s="73">
        <f t="shared" si="104"/>
        <v>0</v>
      </c>
      <c r="BL43" s="73">
        <f t="shared" si="105"/>
        <v>0</v>
      </c>
      <c r="BM43" s="73">
        <f t="shared" si="31"/>
        <v>0</v>
      </c>
      <c r="BN43" s="73">
        <f t="shared" si="106"/>
        <v>0</v>
      </c>
      <c r="BQ43">
        <f t="shared" si="84"/>
        <v>45.053082753327175</v>
      </c>
      <c r="BR43">
        <f t="shared" si="33"/>
        <v>0</v>
      </c>
      <c r="BS43">
        <f t="shared" si="34"/>
        <v>0</v>
      </c>
      <c r="BT43">
        <f t="shared" si="35"/>
        <v>0</v>
      </c>
      <c r="BU43">
        <f t="shared" si="36"/>
        <v>0</v>
      </c>
      <c r="BV43">
        <f t="shared" si="37"/>
        <v>0</v>
      </c>
      <c r="BW43">
        <f t="shared" si="38"/>
        <v>0</v>
      </c>
      <c r="BX43">
        <f t="shared" si="39"/>
        <v>0</v>
      </c>
      <c r="BY43">
        <f t="shared" si="40"/>
        <v>0</v>
      </c>
      <c r="BZ43">
        <f t="shared" si="41"/>
        <v>0</v>
      </c>
      <c r="CA43">
        <f t="shared" si="42"/>
        <v>0</v>
      </c>
      <c r="CB43">
        <f t="shared" si="43"/>
        <v>0</v>
      </c>
      <c r="CC43">
        <f t="shared" si="44"/>
        <v>0</v>
      </c>
      <c r="CD43">
        <f t="shared" si="45"/>
        <v>0</v>
      </c>
      <c r="CE43">
        <f t="shared" si="46"/>
        <v>0</v>
      </c>
      <c r="CF43">
        <f t="shared" si="47"/>
        <v>15.50213600114483</v>
      </c>
      <c r="CG43">
        <f t="shared" si="48"/>
        <v>0</v>
      </c>
      <c r="CH43">
        <f t="shared" si="49"/>
        <v>0</v>
      </c>
      <c r="CI43">
        <f t="shared" si="50"/>
        <v>0</v>
      </c>
      <c r="CJ43">
        <f t="shared" si="51"/>
        <v>0</v>
      </c>
      <c r="CK43">
        <f t="shared" si="52"/>
        <v>0</v>
      </c>
      <c r="CL43">
        <f t="shared" si="53"/>
        <v>0</v>
      </c>
      <c r="CN43">
        <f t="shared" si="78"/>
        <v>60.555218754472008</v>
      </c>
      <c r="CP43">
        <f t="shared" si="54"/>
        <v>2.2496545982020892</v>
      </c>
      <c r="CQ43">
        <f t="shared" si="55"/>
        <v>0</v>
      </c>
      <c r="CR43">
        <f t="shared" si="56"/>
        <v>0</v>
      </c>
      <c r="CS43">
        <f t="shared" si="57"/>
        <v>0</v>
      </c>
      <c r="CT43">
        <f t="shared" si="58"/>
        <v>0</v>
      </c>
      <c r="CU43">
        <f t="shared" si="59"/>
        <v>0</v>
      </c>
      <c r="CV43">
        <f t="shared" si="60"/>
        <v>0</v>
      </c>
      <c r="CW43">
        <f t="shared" si="61"/>
        <v>0</v>
      </c>
      <c r="CX43">
        <f t="shared" si="62"/>
        <v>0</v>
      </c>
      <c r="CY43">
        <f t="shared" si="63"/>
        <v>0</v>
      </c>
      <c r="CZ43">
        <f t="shared" si="64"/>
        <v>0</v>
      </c>
      <c r="DA43">
        <f t="shared" si="65"/>
        <v>0</v>
      </c>
      <c r="DB43">
        <f t="shared" si="66"/>
        <v>0</v>
      </c>
      <c r="DC43">
        <f t="shared" si="67"/>
        <v>0</v>
      </c>
      <c r="DD43">
        <f t="shared" si="68"/>
        <v>0</v>
      </c>
      <c r="DE43">
        <f t="shared" si="69"/>
        <v>0.75034540179791054</v>
      </c>
      <c r="DF43">
        <f t="shared" si="70"/>
        <v>0</v>
      </c>
      <c r="DG43">
        <f t="shared" si="71"/>
        <v>0</v>
      </c>
      <c r="DH43">
        <f t="shared" si="72"/>
        <v>0</v>
      </c>
      <c r="DI43">
        <f t="shared" si="73"/>
        <v>0</v>
      </c>
      <c r="DJ43">
        <f t="shared" si="74"/>
        <v>0</v>
      </c>
      <c r="DK43">
        <f t="shared" si="75"/>
        <v>0</v>
      </c>
      <c r="DM43">
        <f t="shared" si="76"/>
        <v>3</v>
      </c>
    </row>
    <row r="44" spans="2:117">
      <c r="B44" s="45" t="s">
        <v>100</v>
      </c>
      <c r="C44" s="43">
        <v>2.4689999999999999</v>
      </c>
      <c r="D44" s="43"/>
      <c r="E44" s="43">
        <v>30.8</v>
      </c>
      <c r="F44" s="47">
        <v>5450.1</v>
      </c>
      <c r="G44" s="47">
        <v>3204</v>
      </c>
      <c r="H44" s="43">
        <f t="shared" si="80"/>
        <v>2.4515201688002149E+22</v>
      </c>
      <c r="I44" s="43">
        <f t="shared" si="81"/>
        <v>7.3545605064006444E+22</v>
      </c>
      <c r="J44" s="42">
        <f t="shared" si="82"/>
        <v>73.338163734690013</v>
      </c>
      <c r="K44" s="42">
        <f t="shared" si="6"/>
        <v>25.345805903999999</v>
      </c>
      <c r="L44" s="42">
        <f t="shared" si="7"/>
        <v>74.040453278975022</v>
      </c>
      <c r="M44" s="79">
        <f t="shared" si="79"/>
        <v>70.046520412925076</v>
      </c>
      <c r="N44" s="79"/>
      <c r="O44" s="52" t="str">
        <f t="shared" si="83"/>
        <v>NS30</v>
      </c>
      <c r="P44" s="86">
        <v>69.3</v>
      </c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>
        <v>30.7</v>
      </c>
      <c r="AF44" s="87"/>
      <c r="AG44" s="87"/>
      <c r="AH44" s="87"/>
      <c r="AI44" s="87"/>
      <c r="AJ44" s="87"/>
      <c r="AK44" s="87"/>
      <c r="AL44" s="87"/>
      <c r="AM44" s="86">
        <f t="shared" si="77"/>
        <v>100</v>
      </c>
      <c r="AO44" s="71">
        <f t="shared" si="8"/>
        <v>1.648783121912528</v>
      </c>
      <c r="AQ44" s="97" t="str">
        <f t="shared" si="9"/>
        <v>NS30</v>
      </c>
      <c r="AR44" s="73">
        <f t="shared" si="85"/>
        <v>69.958385385533745</v>
      </c>
      <c r="AS44" s="73">
        <f t="shared" si="86"/>
        <v>0</v>
      </c>
      <c r="AT44" s="73">
        <f t="shared" si="87"/>
        <v>0</v>
      </c>
      <c r="AU44" s="73">
        <f t="shared" si="88"/>
        <v>0</v>
      </c>
      <c r="AV44" s="73">
        <f t="shared" si="89"/>
        <v>0</v>
      </c>
      <c r="AW44" s="73">
        <f t="shared" si="90"/>
        <v>0</v>
      </c>
      <c r="AX44" s="73">
        <f t="shared" si="91"/>
        <v>0</v>
      </c>
      <c r="AY44" s="73">
        <f t="shared" si="92"/>
        <v>0</v>
      </c>
      <c r="AZ44" s="73">
        <f t="shared" si="93"/>
        <v>0</v>
      </c>
      <c r="BA44" s="73">
        <f t="shared" si="94"/>
        <v>0</v>
      </c>
      <c r="BB44" s="73">
        <f t="shared" si="95"/>
        <v>0</v>
      </c>
      <c r="BC44" s="73">
        <f t="shared" si="96"/>
        <v>0</v>
      </c>
      <c r="BD44" s="73">
        <f t="shared" si="97"/>
        <v>0</v>
      </c>
      <c r="BE44" s="73">
        <f t="shared" si="98"/>
        <v>0</v>
      </c>
      <c r="BF44" s="73">
        <f t="shared" si="99"/>
        <v>0</v>
      </c>
      <c r="BG44" s="73">
        <f t="shared" si="100"/>
        <v>30.041614614466255</v>
      </c>
      <c r="BH44" s="73">
        <f t="shared" si="101"/>
        <v>0</v>
      </c>
      <c r="BI44" s="73">
        <f t="shared" si="102"/>
        <v>0</v>
      </c>
      <c r="BJ44" s="73">
        <f t="shared" si="103"/>
        <v>0</v>
      </c>
      <c r="BK44" s="73">
        <f t="shared" si="104"/>
        <v>0</v>
      </c>
      <c r="BL44" s="73">
        <f t="shared" si="105"/>
        <v>0</v>
      </c>
      <c r="BM44" s="73">
        <f t="shared" si="31"/>
        <v>0</v>
      </c>
      <c r="BN44" s="73">
        <f t="shared" si="106"/>
        <v>0</v>
      </c>
      <c r="BQ44">
        <f t="shared" si="84"/>
        <v>42.030997939628676</v>
      </c>
      <c r="BR44">
        <f t="shared" si="33"/>
        <v>0</v>
      </c>
      <c r="BS44">
        <f t="shared" si="34"/>
        <v>0</v>
      </c>
      <c r="BT44">
        <f t="shared" si="35"/>
        <v>0</v>
      </c>
      <c r="BU44">
        <f t="shared" si="36"/>
        <v>0</v>
      </c>
      <c r="BV44">
        <f t="shared" si="37"/>
        <v>0</v>
      </c>
      <c r="BW44">
        <f t="shared" si="38"/>
        <v>0</v>
      </c>
      <c r="BX44">
        <f t="shared" si="39"/>
        <v>0</v>
      </c>
      <c r="BY44">
        <f t="shared" si="40"/>
        <v>0</v>
      </c>
      <c r="BZ44">
        <f t="shared" si="41"/>
        <v>0</v>
      </c>
      <c r="CA44">
        <f t="shared" si="42"/>
        <v>0</v>
      </c>
      <c r="CB44">
        <f t="shared" si="43"/>
        <v>0</v>
      </c>
      <c r="CC44">
        <f t="shared" si="44"/>
        <v>0</v>
      </c>
      <c r="CD44">
        <f t="shared" si="45"/>
        <v>0</v>
      </c>
      <c r="CE44">
        <f t="shared" si="46"/>
        <v>0</v>
      </c>
      <c r="CF44">
        <f t="shared" si="47"/>
        <v>18.619792738046183</v>
      </c>
      <c r="CG44">
        <f t="shared" si="48"/>
        <v>0</v>
      </c>
      <c r="CH44">
        <f t="shared" si="49"/>
        <v>0</v>
      </c>
      <c r="CI44">
        <f t="shared" si="50"/>
        <v>0</v>
      </c>
      <c r="CJ44">
        <f t="shared" si="51"/>
        <v>0</v>
      </c>
      <c r="CK44">
        <f t="shared" si="52"/>
        <v>0</v>
      </c>
      <c r="CL44">
        <f t="shared" si="53"/>
        <v>0</v>
      </c>
      <c r="CN44">
        <f t="shared" si="78"/>
        <v>60.650790677674863</v>
      </c>
      <c r="CP44">
        <f t="shared" si="54"/>
        <v>2.0987515615660124</v>
      </c>
      <c r="CQ44">
        <f t="shared" si="55"/>
        <v>0</v>
      </c>
      <c r="CR44">
        <f t="shared" si="56"/>
        <v>0</v>
      </c>
      <c r="CS44">
        <f t="shared" si="57"/>
        <v>0</v>
      </c>
      <c r="CT44">
        <f t="shared" si="58"/>
        <v>0</v>
      </c>
      <c r="CU44">
        <f t="shared" si="59"/>
        <v>0</v>
      </c>
      <c r="CV44">
        <f t="shared" si="60"/>
        <v>0</v>
      </c>
      <c r="CW44">
        <f t="shared" si="61"/>
        <v>0</v>
      </c>
      <c r="CX44">
        <f t="shared" si="62"/>
        <v>0</v>
      </c>
      <c r="CY44">
        <f t="shared" si="63"/>
        <v>0</v>
      </c>
      <c r="CZ44">
        <f t="shared" si="64"/>
        <v>0</v>
      </c>
      <c r="DA44">
        <f t="shared" si="65"/>
        <v>0</v>
      </c>
      <c r="DB44">
        <f t="shared" si="66"/>
        <v>0</v>
      </c>
      <c r="DC44">
        <f t="shared" si="67"/>
        <v>0</v>
      </c>
      <c r="DD44">
        <f t="shared" si="68"/>
        <v>0</v>
      </c>
      <c r="DE44">
        <f t="shared" si="69"/>
        <v>0.90124843843398761</v>
      </c>
      <c r="DF44">
        <f t="shared" si="70"/>
        <v>0</v>
      </c>
      <c r="DG44">
        <f t="shared" si="71"/>
        <v>0</v>
      </c>
      <c r="DH44">
        <f t="shared" si="72"/>
        <v>0</v>
      </c>
      <c r="DI44">
        <f t="shared" si="73"/>
        <v>0</v>
      </c>
      <c r="DJ44">
        <f t="shared" si="74"/>
        <v>0</v>
      </c>
      <c r="DK44">
        <f t="shared" si="75"/>
        <v>0</v>
      </c>
      <c r="DM44">
        <f t="shared" si="76"/>
        <v>3</v>
      </c>
    </row>
    <row r="45" spans="2:117">
      <c r="B45" s="45" t="s">
        <v>162</v>
      </c>
      <c r="C45" s="43">
        <v>2.577</v>
      </c>
      <c r="D45" s="43"/>
      <c r="E45" s="43">
        <v>36</v>
      </c>
      <c r="F45" s="43">
        <v>5604</v>
      </c>
      <c r="G45" s="43">
        <v>3154</v>
      </c>
      <c r="H45" s="43">
        <f t="shared" si="80"/>
        <v>2.5467987767274162E+22</v>
      </c>
      <c r="I45" s="43">
        <f t="shared" si="81"/>
        <v>7.6403963301822474E+22</v>
      </c>
      <c r="J45" s="42">
        <f t="shared" si="82"/>
        <v>80.930210832</v>
      </c>
      <c r="K45" s="42">
        <f t="shared" si="6"/>
        <v>25.635264132</v>
      </c>
      <c r="L45" s="42">
        <f t="shared" si="7"/>
        <v>74.83121563726894</v>
      </c>
      <c r="M45" s="79">
        <f t="shared" si="79"/>
        <v>70.682058119806811</v>
      </c>
      <c r="N45" s="79"/>
      <c r="O45" s="52" t="str">
        <f t="shared" si="83"/>
        <v>NS45</v>
      </c>
      <c r="P45" s="86">
        <v>54.2</v>
      </c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>
        <v>45.8</v>
      </c>
      <c r="AF45" s="87"/>
      <c r="AG45" s="87"/>
      <c r="AH45" s="87"/>
      <c r="AI45" s="87"/>
      <c r="AJ45" s="87"/>
      <c r="AK45" s="87"/>
      <c r="AL45" s="87"/>
      <c r="AM45" s="86">
        <f t="shared" si="77"/>
        <v>100</v>
      </c>
      <c r="AO45" s="71">
        <f t="shared" si="8"/>
        <v>1.6410785404337727</v>
      </c>
      <c r="AQ45" s="97" t="str">
        <f t="shared" si="9"/>
        <v>NS45</v>
      </c>
      <c r="AR45" s="73">
        <f t="shared" si="85"/>
        <v>54.971804849631312</v>
      </c>
      <c r="AS45" s="73">
        <f t="shared" si="86"/>
        <v>0</v>
      </c>
      <c r="AT45" s="73">
        <f t="shared" si="87"/>
        <v>0</v>
      </c>
      <c r="AU45" s="73">
        <f t="shared" si="88"/>
        <v>0</v>
      </c>
      <c r="AV45" s="73">
        <f t="shared" si="89"/>
        <v>0</v>
      </c>
      <c r="AW45" s="73">
        <f t="shared" si="90"/>
        <v>0</v>
      </c>
      <c r="AX45" s="73">
        <f t="shared" si="91"/>
        <v>0</v>
      </c>
      <c r="AY45" s="73">
        <f t="shared" si="92"/>
        <v>0</v>
      </c>
      <c r="AZ45" s="73">
        <f t="shared" si="93"/>
        <v>0</v>
      </c>
      <c r="BA45" s="73">
        <f t="shared" si="94"/>
        <v>0</v>
      </c>
      <c r="BB45" s="73">
        <f t="shared" si="95"/>
        <v>0</v>
      </c>
      <c r="BC45" s="73">
        <f t="shared" si="96"/>
        <v>0</v>
      </c>
      <c r="BD45" s="73">
        <f t="shared" si="97"/>
        <v>0</v>
      </c>
      <c r="BE45" s="73">
        <f t="shared" si="98"/>
        <v>0</v>
      </c>
      <c r="BF45" s="73">
        <f t="shared" si="99"/>
        <v>0</v>
      </c>
      <c r="BG45" s="73">
        <f t="shared" si="100"/>
        <v>45.028195150368681</v>
      </c>
      <c r="BH45" s="73">
        <f t="shared" si="101"/>
        <v>0</v>
      </c>
      <c r="BI45" s="73">
        <f t="shared" si="102"/>
        <v>0</v>
      </c>
      <c r="BJ45" s="73">
        <f t="shared" si="103"/>
        <v>0</v>
      </c>
      <c r="BK45" s="73">
        <f t="shared" si="104"/>
        <v>0</v>
      </c>
      <c r="BL45" s="73">
        <f t="shared" si="105"/>
        <v>0</v>
      </c>
      <c r="BM45" s="73">
        <f t="shared" si="31"/>
        <v>0</v>
      </c>
      <c r="BN45" s="73">
        <f t="shared" si="106"/>
        <v>0</v>
      </c>
      <c r="BQ45">
        <f t="shared" si="84"/>
        <v>33.027060353658491</v>
      </c>
      <c r="BR45">
        <f t="shared" si="33"/>
        <v>0</v>
      </c>
      <c r="BS45">
        <f t="shared" si="34"/>
        <v>0</v>
      </c>
      <c r="BT45">
        <f t="shared" si="35"/>
        <v>0</v>
      </c>
      <c r="BU45">
        <f t="shared" si="36"/>
        <v>0</v>
      </c>
      <c r="BV45">
        <f t="shared" si="37"/>
        <v>0</v>
      </c>
      <c r="BW45">
        <f t="shared" si="38"/>
        <v>0</v>
      </c>
      <c r="BX45">
        <f t="shared" si="39"/>
        <v>0</v>
      </c>
      <c r="BY45">
        <f t="shared" si="40"/>
        <v>0</v>
      </c>
      <c r="BZ45">
        <f t="shared" si="41"/>
        <v>0</v>
      </c>
      <c r="CA45">
        <f t="shared" si="42"/>
        <v>0</v>
      </c>
      <c r="CB45">
        <f t="shared" si="43"/>
        <v>0</v>
      </c>
      <c r="CC45">
        <f t="shared" si="44"/>
        <v>0</v>
      </c>
      <c r="CD45">
        <f t="shared" si="45"/>
        <v>0</v>
      </c>
      <c r="CE45">
        <f t="shared" si="46"/>
        <v>0</v>
      </c>
      <c r="CF45">
        <f t="shared" si="47"/>
        <v>27.908475354198508</v>
      </c>
      <c r="CG45">
        <f t="shared" si="48"/>
        <v>0</v>
      </c>
      <c r="CH45">
        <f t="shared" si="49"/>
        <v>0</v>
      </c>
      <c r="CI45">
        <f t="shared" si="50"/>
        <v>0</v>
      </c>
      <c r="CJ45">
        <f t="shared" si="51"/>
        <v>0</v>
      </c>
      <c r="CK45">
        <f t="shared" si="52"/>
        <v>0</v>
      </c>
      <c r="CL45">
        <f t="shared" si="53"/>
        <v>0</v>
      </c>
      <c r="CN45">
        <f t="shared" si="78"/>
        <v>60.935535707856999</v>
      </c>
      <c r="CP45">
        <f t="shared" si="54"/>
        <v>1.6491541454889393</v>
      </c>
      <c r="CQ45">
        <f t="shared" si="55"/>
        <v>0</v>
      </c>
      <c r="CR45">
        <f t="shared" si="56"/>
        <v>0</v>
      </c>
      <c r="CS45">
        <f t="shared" si="57"/>
        <v>0</v>
      </c>
      <c r="CT45">
        <f t="shared" si="58"/>
        <v>0</v>
      </c>
      <c r="CU45">
        <f t="shared" si="59"/>
        <v>0</v>
      </c>
      <c r="CV45">
        <f t="shared" si="60"/>
        <v>0</v>
      </c>
      <c r="CW45">
        <f t="shared" si="61"/>
        <v>0</v>
      </c>
      <c r="CX45">
        <f t="shared" si="62"/>
        <v>0</v>
      </c>
      <c r="CY45">
        <f t="shared" si="63"/>
        <v>0</v>
      </c>
      <c r="CZ45">
        <f t="shared" si="64"/>
        <v>0</v>
      </c>
      <c r="DA45">
        <f t="shared" si="65"/>
        <v>0</v>
      </c>
      <c r="DB45">
        <f t="shared" si="66"/>
        <v>0</v>
      </c>
      <c r="DC45">
        <f t="shared" si="67"/>
        <v>0</v>
      </c>
      <c r="DD45">
        <f t="shared" si="68"/>
        <v>0</v>
      </c>
      <c r="DE45">
        <f t="shared" si="69"/>
        <v>1.3508458545110604</v>
      </c>
      <c r="DF45">
        <f t="shared" si="70"/>
        <v>0</v>
      </c>
      <c r="DG45">
        <f t="shared" si="71"/>
        <v>0</v>
      </c>
      <c r="DH45">
        <f t="shared" si="72"/>
        <v>0</v>
      </c>
      <c r="DI45">
        <f t="shared" si="73"/>
        <v>0</v>
      </c>
      <c r="DJ45">
        <f t="shared" si="74"/>
        <v>0</v>
      </c>
      <c r="DK45">
        <f t="shared" si="75"/>
        <v>0</v>
      </c>
      <c r="DM45">
        <f t="shared" si="76"/>
        <v>3</v>
      </c>
    </row>
    <row r="46" spans="2:117">
      <c r="B46" s="45" t="s">
        <v>102</v>
      </c>
      <c r="C46" s="43">
        <v>2.5339999999999998</v>
      </c>
      <c r="D46" s="43"/>
      <c r="E46" s="43">
        <v>33.700000000000003</v>
      </c>
      <c r="F46" s="43">
        <v>5496</v>
      </c>
      <c r="G46" s="43">
        <v>3152</v>
      </c>
      <c r="H46" s="43">
        <f t="shared" si="80"/>
        <v>2.5082737150737055E+22</v>
      </c>
      <c r="I46" s="43">
        <f t="shared" si="81"/>
        <v>7.5248211452211178E+22</v>
      </c>
      <c r="J46" s="42">
        <f t="shared" si="82"/>
        <v>76.542044544000007</v>
      </c>
      <c r="K46" s="42">
        <f t="shared" si="6"/>
        <v>25.175553535999999</v>
      </c>
      <c r="L46" s="42">
        <f t="shared" si="7"/>
        <v>73.483465706098755</v>
      </c>
      <c r="M46" s="79">
        <f t="shared" si="79"/>
        <v>69.397071902296247</v>
      </c>
      <c r="N46" s="79"/>
      <c r="O46" s="52" t="str">
        <f t="shared" si="83"/>
        <v>NS40</v>
      </c>
      <c r="P46" s="86">
        <v>59.3</v>
      </c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7">
        <v>40.700000000000003</v>
      </c>
      <c r="AF46" s="87"/>
      <c r="AG46" s="87"/>
      <c r="AH46" s="87"/>
      <c r="AI46" s="87"/>
      <c r="AJ46" s="87"/>
      <c r="AK46" s="87"/>
      <c r="AL46" s="87"/>
      <c r="AM46" s="86">
        <f t="shared" si="77"/>
        <v>100</v>
      </c>
      <c r="AO46" s="71">
        <f t="shared" si="8"/>
        <v>1.6436807500722925</v>
      </c>
      <c r="AQ46" s="97" t="str">
        <f t="shared" si="9"/>
        <v>NS40</v>
      </c>
      <c r="AR46" s="73">
        <f t="shared" si="85"/>
        <v>60.049210298872516</v>
      </c>
      <c r="AS46" s="73">
        <f t="shared" si="86"/>
        <v>0</v>
      </c>
      <c r="AT46" s="73">
        <f t="shared" si="87"/>
        <v>0</v>
      </c>
      <c r="AU46" s="73">
        <f t="shared" si="88"/>
        <v>0</v>
      </c>
      <c r="AV46" s="73">
        <f t="shared" si="89"/>
        <v>0</v>
      </c>
      <c r="AW46" s="73">
        <f t="shared" si="90"/>
        <v>0</v>
      </c>
      <c r="AX46" s="73">
        <f t="shared" si="91"/>
        <v>0</v>
      </c>
      <c r="AY46" s="73">
        <f t="shared" si="92"/>
        <v>0</v>
      </c>
      <c r="AZ46" s="73">
        <f t="shared" si="93"/>
        <v>0</v>
      </c>
      <c r="BA46" s="73">
        <f t="shared" si="94"/>
        <v>0</v>
      </c>
      <c r="BB46" s="73">
        <f t="shared" si="95"/>
        <v>0</v>
      </c>
      <c r="BC46" s="73">
        <f t="shared" si="96"/>
        <v>0</v>
      </c>
      <c r="BD46" s="73">
        <f t="shared" si="97"/>
        <v>0</v>
      </c>
      <c r="BE46" s="73">
        <f t="shared" si="98"/>
        <v>0</v>
      </c>
      <c r="BF46" s="73">
        <f t="shared" si="99"/>
        <v>0</v>
      </c>
      <c r="BG46" s="73">
        <f t="shared" si="100"/>
        <v>39.950789701127505</v>
      </c>
      <c r="BH46" s="73">
        <f t="shared" si="101"/>
        <v>0</v>
      </c>
      <c r="BI46" s="73">
        <f t="shared" si="102"/>
        <v>0</v>
      </c>
      <c r="BJ46" s="73">
        <f t="shared" si="103"/>
        <v>0</v>
      </c>
      <c r="BK46" s="73">
        <f t="shared" si="104"/>
        <v>0</v>
      </c>
      <c r="BL46" s="73">
        <f t="shared" si="105"/>
        <v>0</v>
      </c>
      <c r="BM46" s="73">
        <f t="shared" si="31"/>
        <v>0</v>
      </c>
      <c r="BN46" s="73">
        <f t="shared" si="106"/>
        <v>0</v>
      </c>
      <c r="BQ46">
        <f t="shared" si="84"/>
        <v>36.077565547562607</v>
      </c>
      <c r="BR46">
        <f t="shared" si="33"/>
        <v>0</v>
      </c>
      <c r="BS46">
        <f t="shared" si="34"/>
        <v>0</v>
      </c>
      <c r="BT46">
        <f t="shared" si="35"/>
        <v>0</v>
      </c>
      <c r="BU46">
        <f t="shared" si="36"/>
        <v>0</v>
      </c>
      <c r="BV46">
        <f t="shared" si="37"/>
        <v>0</v>
      </c>
      <c r="BW46">
        <f t="shared" si="38"/>
        <v>0</v>
      </c>
      <c r="BX46">
        <f t="shared" si="39"/>
        <v>0</v>
      </c>
      <c r="BY46">
        <f t="shared" si="40"/>
        <v>0</v>
      </c>
      <c r="BZ46">
        <f t="shared" si="41"/>
        <v>0</v>
      </c>
      <c r="CA46">
        <f t="shared" si="42"/>
        <v>0</v>
      </c>
      <c r="CB46">
        <f t="shared" si="43"/>
        <v>0</v>
      </c>
      <c r="CC46">
        <f t="shared" si="44"/>
        <v>0</v>
      </c>
      <c r="CD46">
        <f t="shared" si="45"/>
        <v>0</v>
      </c>
      <c r="CE46">
        <f t="shared" si="46"/>
        <v>0</v>
      </c>
      <c r="CF46">
        <f t="shared" si="47"/>
        <v>24.761499456758827</v>
      </c>
      <c r="CG46">
        <f t="shared" si="48"/>
        <v>0</v>
      </c>
      <c r="CH46">
        <f t="shared" si="49"/>
        <v>0</v>
      </c>
      <c r="CI46">
        <f t="shared" si="50"/>
        <v>0</v>
      </c>
      <c r="CJ46">
        <f t="shared" si="51"/>
        <v>0</v>
      </c>
      <c r="CK46">
        <f t="shared" si="52"/>
        <v>0</v>
      </c>
      <c r="CL46">
        <f t="shared" si="53"/>
        <v>0</v>
      </c>
      <c r="CN46">
        <f t="shared" si="78"/>
        <v>60.839065004321434</v>
      </c>
      <c r="CP46">
        <f t="shared" si="54"/>
        <v>1.8014763089661754</v>
      </c>
      <c r="CQ46">
        <f t="shared" si="55"/>
        <v>0</v>
      </c>
      <c r="CR46">
        <f t="shared" si="56"/>
        <v>0</v>
      </c>
      <c r="CS46">
        <f t="shared" si="57"/>
        <v>0</v>
      </c>
      <c r="CT46">
        <f t="shared" si="58"/>
        <v>0</v>
      </c>
      <c r="CU46">
        <f t="shared" si="59"/>
        <v>0</v>
      </c>
      <c r="CV46">
        <f t="shared" si="60"/>
        <v>0</v>
      </c>
      <c r="CW46">
        <f t="shared" si="61"/>
        <v>0</v>
      </c>
      <c r="CX46">
        <f t="shared" si="62"/>
        <v>0</v>
      </c>
      <c r="CY46">
        <f t="shared" si="63"/>
        <v>0</v>
      </c>
      <c r="CZ46">
        <f t="shared" si="64"/>
        <v>0</v>
      </c>
      <c r="DA46">
        <f t="shared" si="65"/>
        <v>0</v>
      </c>
      <c r="DB46">
        <f t="shared" si="66"/>
        <v>0</v>
      </c>
      <c r="DC46">
        <f t="shared" si="67"/>
        <v>0</v>
      </c>
      <c r="DD46">
        <f t="shared" si="68"/>
        <v>0</v>
      </c>
      <c r="DE46">
        <f t="shared" si="69"/>
        <v>1.1985236910338251</v>
      </c>
      <c r="DF46">
        <f t="shared" si="70"/>
        <v>0</v>
      </c>
      <c r="DG46">
        <f t="shared" si="71"/>
        <v>0</v>
      </c>
      <c r="DH46">
        <f t="shared" si="72"/>
        <v>0</v>
      </c>
      <c r="DI46">
        <f t="shared" si="73"/>
        <v>0</v>
      </c>
      <c r="DJ46">
        <f t="shared" si="74"/>
        <v>0</v>
      </c>
      <c r="DK46">
        <f t="shared" si="75"/>
        <v>0</v>
      </c>
      <c r="DM46">
        <f t="shared" si="76"/>
        <v>3.0000000000000004</v>
      </c>
    </row>
    <row r="47" spans="2:117">
      <c r="B47" s="45" t="s">
        <v>101</v>
      </c>
      <c r="C47" s="43">
        <v>2.5209999999999999</v>
      </c>
      <c r="D47" s="43"/>
      <c r="E47" s="43">
        <v>32.200000000000003</v>
      </c>
      <c r="F47" s="47">
        <v>4915</v>
      </c>
      <c r="G47" s="47">
        <v>3168</v>
      </c>
      <c r="H47" s="43">
        <f t="shared" si="80"/>
        <v>2.4992788600554699E+22</v>
      </c>
      <c r="I47" s="43">
        <f t="shared" si="81"/>
        <v>7.4978365801664113E+22</v>
      </c>
      <c r="J47" s="42">
        <f t="shared" si="82"/>
        <v>60.900364225000004</v>
      </c>
      <c r="K47" s="42">
        <f t="shared" si="6"/>
        <v>25.301320703999998</v>
      </c>
      <c r="L47" s="42">
        <f t="shared" si="7"/>
        <v>73.868094265274522</v>
      </c>
      <c r="M47" s="79">
        <f t="shared" si="79"/>
        <v>69.796354571823585</v>
      </c>
      <c r="N47" s="79"/>
      <c r="O47" s="52" t="str">
        <f t="shared" si="83"/>
        <v>NS35</v>
      </c>
      <c r="P47" s="86">
        <v>64.3</v>
      </c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>
        <v>35.700000000000003</v>
      </c>
      <c r="AF47" s="87"/>
      <c r="AG47" s="87"/>
      <c r="AH47" s="87"/>
      <c r="AI47" s="87"/>
      <c r="AJ47" s="87"/>
      <c r="AK47" s="87"/>
      <c r="AL47" s="87"/>
      <c r="AM47" s="86">
        <f t="shared" si="77"/>
        <v>100</v>
      </c>
      <c r="AO47" s="71">
        <f t="shared" si="8"/>
        <v>1.6462319359924105</v>
      </c>
      <c r="AQ47" s="97" t="str">
        <f t="shared" si="9"/>
        <v>NS35</v>
      </c>
      <c r="AR47" s="73">
        <f t="shared" si="85"/>
        <v>65.011476027581608</v>
      </c>
      <c r="AS47" s="73">
        <f t="shared" si="86"/>
        <v>0</v>
      </c>
      <c r="AT47" s="73">
        <f t="shared" si="87"/>
        <v>0</v>
      </c>
      <c r="AU47" s="73">
        <f t="shared" si="88"/>
        <v>0</v>
      </c>
      <c r="AV47" s="73">
        <f t="shared" si="89"/>
        <v>0</v>
      </c>
      <c r="AW47" s="73">
        <f t="shared" si="90"/>
        <v>0</v>
      </c>
      <c r="AX47" s="73">
        <f t="shared" si="91"/>
        <v>0</v>
      </c>
      <c r="AY47" s="73">
        <f t="shared" si="92"/>
        <v>0</v>
      </c>
      <c r="AZ47" s="73">
        <f t="shared" si="93"/>
        <v>0</v>
      </c>
      <c r="BA47" s="73">
        <f t="shared" si="94"/>
        <v>0</v>
      </c>
      <c r="BB47" s="73">
        <f t="shared" si="95"/>
        <v>0</v>
      </c>
      <c r="BC47" s="73">
        <f t="shared" si="96"/>
        <v>0</v>
      </c>
      <c r="BD47" s="73">
        <f t="shared" si="97"/>
        <v>0</v>
      </c>
      <c r="BE47" s="73">
        <f t="shared" si="98"/>
        <v>0</v>
      </c>
      <c r="BF47" s="73">
        <f t="shared" si="99"/>
        <v>0</v>
      </c>
      <c r="BG47" s="73">
        <f t="shared" si="100"/>
        <v>34.988523972418385</v>
      </c>
      <c r="BH47" s="73">
        <f t="shared" si="101"/>
        <v>0</v>
      </c>
      <c r="BI47" s="73">
        <f t="shared" si="102"/>
        <v>0</v>
      </c>
      <c r="BJ47" s="73">
        <f t="shared" si="103"/>
        <v>0</v>
      </c>
      <c r="BK47" s="73">
        <f t="shared" si="104"/>
        <v>0</v>
      </c>
      <c r="BL47" s="73">
        <f t="shared" si="105"/>
        <v>0</v>
      </c>
      <c r="BM47" s="73">
        <f t="shared" si="31"/>
        <v>0</v>
      </c>
      <c r="BN47" s="73">
        <f t="shared" si="106"/>
        <v>0</v>
      </c>
      <c r="BQ47">
        <f t="shared" si="84"/>
        <v>39.058894797371025</v>
      </c>
      <c r="BR47">
        <f t="shared" si="33"/>
        <v>0</v>
      </c>
      <c r="BS47">
        <f t="shared" si="34"/>
        <v>0</v>
      </c>
      <c r="BT47">
        <f t="shared" si="35"/>
        <v>0</v>
      </c>
      <c r="BU47">
        <f t="shared" si="36"/>
        <v>0</v>
      </c>
      <c r="BV47">
        <f t="shared" si="37"/>
        <v>0</v>
      </c>
      <c r="BW47">
        <f t="shared" si="38"/>
        <v>0</v>
      </c>
      <c r="BX47">
        <f t="shared" si="39"/>
        <v>0</v>
      </c>
      <c r="BY47">
        <f t="shared" si="40"/>
        <v>0</v>
      </c>
      <c r="BZ47">
        <f t="shared" si="41"/>
        <v>0</v>
      </c>
      <c r="CA47">
        <f t="shared" si="42"/>
        <v>0</v>
      </c>
      <c r="CB47">
        <f t="shared" si="43"/>
        <v>0</v>
      </c>
      <c r="CC47">
        <f t="shared" si="44"/>
        <v>0</v>
      </c>
      <c r="CD47">
        <f t="shared" si="45"/>
        <v>0</v>
      </c>
      <c r="CE47">
        <f t="shared" si="46"/>
        <v>0</v>
      </c>
      <c r="CF47">
        <f t="shared" si="47"/>
        <v>21.685887158104912</v>
      </c>
      <c r="CG47">
        <f t="shared" si="48"/>
        <v>0</v>
      </c>
      <c r="CH47">
        <f t="shared" si="49"/>
        <v>0</v>
      </c>
      <c r="CI47">
        <f t="shared" si="50"/>
        <v>0</v>
      </c>
      <c r="CJ47">
        <f t="shared" si="51"/>
        <v>0</v>
      </c>
      <c r="CK47">
        <f t="shared" si="52"/>
        <v>0</v>
      </c>
      <c r="CL47">
        <f t="shared" si="53"/>
        <v>0</v>
      </c>
      <c r="CN47">
        <f t="shared" si="78"/>
        <v>60.744781955475936</v>
      </c>
      <c r="CP47">
        <f t="shared" si="54"/>
        <v>1.9503442808274483</v>
      </c>
      <c r="CQ47">
        <f t="shared" si="55"/>
        <v>0</v>
      </c>
      <c r="CR47">
        <f t="shared" si="56"/>
        <v>0</v>
      </c>
      <c r="CS47">
        <f t="shared" si="57"/>
        <v>0</v>
      </c>
      <c r="CT47">
        <f t="shared" si="58"/>
        <v>0</v>
      </c>
      <c r="CU47">
        <f t="shared" si="59"/>
        <v>0</v>
      </c>
      <c r="CV47">
        <f t="shared" si="60"/>
        <v>0</v>
      </c>
      <c r="CW47">
        <f t="shared" si="61"/>
        <v>0</v>
      </c>
      <c r="CX47">
        <f t="shared" si="62"/>
        <v>0</v>
      </c>
      <c r="CY47">
        <f t="shared" si="63"/>
        <v>0</v>
      </c>
      <c r="CZ47">
        <f t="shared" si="64"/>
        <v>0</v>
      </c>
      <c r="DA47">
        <f t="shared" si="65"/>
        <v>0</v>
      </c>
      <c r="DB47">
        <f t="shared" si="66"/>
        <v>0</v>
      </c>
      <c r="DC47">
        <f t="shared" si="67"/>
        <v>0</v>
      </c>
      <c r="DD47">
        <f t="shared" si="68"/>
        <v>0</v>
      </c>
      <c r="DE47">
        <f t="shared" si="69"/>
        <v>1.0496557191725515</v>
      </c>
      <c r="DF47">
        <f t="shared" si="70"/>
        <v>0</v>
      </c>
      <c r="DG47">
        <f t="shared" si="71"/>
        <v>0</v>
      </c>
      <c r="DH47">
        <f t="shared" si="72"/>
        <v>0</v>
      </c>
      <c r="DI47">
        <f t="shared" si="73"/>
        <v>0</v>
      </c>
      <c r="DJ47">
        <f t="shared" si="74"/>
        <v>0</v>
      </c>
      <c r="DK47">
        <f t="shared" si="75"/>
        <v>0</v>
      </c>
      <c r="DM47">
        <f t="shared" si="76"/>
        <v>3</v>
      </c>
    </row>
    <row r="48" spans="2:117">
      <c r="B48" s="45" t="s">
        <v>260</v>
      </c>
      <c r="C48" s="43"/>
      <c r="D48" s="43"/>
      <c r="E48" s="43">
        <v>25.8</v>
      </c>
      <c r="F48" s="43"/>
      <c r="G48" s="43"/>
      <c r="H48" s="43">
        <f t="shared" si="80"/>
        <v>0</v>
      </c>
      <c r="I48" s="43">
        <f t="shared" si="81"/>
        <v>0</v>
      </c>
      <c r="J48" s="42">
        <f t="shared" si="82"/>
        <v>0</v>
      </c>
      <c r="K48" s="42">
        <f t="shared" si="6"/>
        <v>0</v>
      </c>
      <c r="L48" s="42">
        <f t="shared" si="7"/>
        <v>1.9999999999999999E-6</v>
      </c>
      <c r="M48" s="79">
        <f t="shared" si="79"/>
        <v>1.9999999999999999E-6</v>
      </c>
      <c r="N48" s="79"/>
      <c r="O48" s="52" t="str">
        <f t="shared" si="83"/>
        <v>LS20</v>
      </c>
      <c r="P48" s="86">
        <v>88.9</v>
      </c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>
        <v>11.6</v>
      </c>
      <c r="AE48" s="87"/>
      <c r="AF48" s="87"/>
      <c r="AG48" s="87"/>
      <c r="AH48" s="87"/>
      <c r="AI48" s="87"/>
      <c r="AJ48" s="87"/>
      <c r="AK48" s="87"/>
      <c r="AL48" s="87"/>
      <c r="AM48" s="86">
        <f t="shared" si="77"/>
        <v>100.5</v>
      </c>
      <c r="AO48" s="71">
        <f t="shared" si="8"/>
        <v>1.8679132865238139</v>
      </c>
      <c r="AQ48" s="97" t="str">
        <f t="shared" si="9"/>
        <v>LS20</v>
      </c>
      <c r="AR48" s="73">
        <f t="shared" si="85"/>
        <v>79.21640433488605</v>
      </c>
      <c r="AS48" s="73">
        <f t="shared" si="86"/>
        <v>0</v>
      </c>
      <c r="AT48" s="73">
        <f t="shared" si="87"/>
        <v>0</v>
      </c>
      <c r="AU48" s="73">
        <f t="shared" si="88"/>
        <v>0</v>
      </c>
      <c r="AV48" s="73">
        <f t="shared" si="89"/>
        <v>0</v>
      </c>
      <c r="AW48" s="73">
        <f t="shared" si="90"/>
        <v>0</v>
      </c>
      <c r="AX48" s="73">
        <f t="shared" si="91"/>
        <v>0</v>
      </c>
      <c r="AY48" s="73">
        <f t="shared" si="92"/>
        <v>0</v>
      </c>
      <c r="AZ48" s="73">
        <f t="shared" si="93"/>
        <v>0</v>
      </c>
      <c r="BA48" s="73">
        <f t="shared" si="94"/>
        <v>0</v>
      </c>
      <c r="BB48" s="73">
        <f t="shared" si="95"/>
        <v>0</v>
      </c>
      <c r="BC48" s="73">
        <f t="shared" si="96"/>
        <v>0</v>
      </c>
      <c r="BD48" s="73">
        <f t="shared" si="97"/>
        <v>0</v>
      </c>
      <c r="BE48" s="73">
        <f t="shared" si="98"/>
        <v>0</v>
      </c>
      <c r="BF48" s="73">
        <f t="shared" si="99"/>
        <v>20.783595665113946</v>
      </c>
      <c r="BG48" s="73">
        <f t="shared" si="100"/>
        <v>0</v>
      </c>
      <c r="BH48" s="73">
        <f t="shared" si="101"/>
        <v>0</v>
      </c>
      <c r="BI48" s="73">
        <f t="shared" si="102"/>
        <v>0</v>
      </c>
      <c r="BJ48" s="73">
        <f t="shared" si="103"/>
        <v>0</v>
      </c>
      <c r="BK48" s="73">
        <f t="shared" si="104"/>
        <v>0</v>
      </c>
      <c r="BL48" s="73">
        <f t="shared" si="105"/>
        <v>0</v>
      </c>
      <c r="BM48" s="73">
        <f t="shared" si="31"/>
        <v>0</v>
      </c>
      <c r="BN48" s="73">
        <f t="shared" si="106"/>
        <v>0</v>
      </c>
      <c r="BQ48">
        <f t="shared" si="84"/>
        <v>47.593215724399535</v>
      </c>
      <c r="BR48">
        <f t="shared" si="33"/>
        <v>0</v>
      </c>
      <c r="BS48">
        <f t="shared" si="34"/>
        <v>0</v>
      </c>
      <c r="BT48">
        <f t="shared" si="35"/>
        <v>0</v>
      </c>
      <c r="BU48">
        <f t="shared" si="36"/>
        <v>0</v>
      </c>
      <c r="BV48">
        <f t="shared" si="37"/>
        <v>0</v>
      </c>
      <c r="BW48">
        <f t="shared" si="38"/>
        <v>0</v>
      </c>
      <c r="BX48">
        <f t="shared" si="39"/>
        <v>0</v>
      </c>
      <c r="BY48">
        <f t="shared" si="40"/>
        <v>0</v>
      </c>
      <c r="BZ48">
        <f t="shared" si="41"/>
        <v>0</v>
      </c>
      <c r="CA48">
        <f t="shared" si="42"/>
        <v>0</v>
      </c>
      <c r="CB48">
        <f t="shared" si="43"/>
        <v>0</v>
      </c>
      <c r="CC48">
        <f t="shared" si="44"/>
        <v>0</v>
      </c>
      <c r="CD48">
        <f t="shared" si="45"/>
        <v>0</v>
      </c>
      <c r="CE48">
        <f t="shared" si="46"/>
        <v>6.2101383847360472</v>
      </c>
      <c r="CF48">
        <f t="shared" si="47"/>
        <v>0</v>
      </c>
      <c r="CG48">
        <f t="shared" si="48"/>
        <v>0</v>
      </c>
      <c r="CH48">
        <f t="shared" si="49"/>
        <v>0</v>
      </c>
      <c r="CI48">
        <f t="shared" si="50"/>
        <v>0</v>
      </c>
      <c r="CJ48">
        <f t="shared" si="51"/>
        <v>0</v>
      </c>
      <c r="CK48">
        <f t="shared" si="52"/>
        <v>0</v>
      </c>
      <c r="CL48">
        <f t="shared" si="53"/>
        <v>0</v>
      </c>
      <c r="CN48">
        <f t="shared" si="78"/>
        <v>53.803354109135583</v>
      </c>
      <c r="CP48">
        <f t="shared" si="54"/>
        <v>2.3764921300465813</v>
      </c>
      <c r="CQ48">
        <f t="shared" si="55"/>
        <v>0</v>
      </c>
      <c r="CR48">
        <f t="shared" si="56"/>
        <v>0</v>
      </c>
      <c r="CS48">
        <f t="shared" si="57"/>
        <v>0</v>
      </c>
      <c r="CT48">
        <f t="shared" si="58"/>
        <v>0</v>
      </c>
      <c r="CU48">
        <f t="shared" si="59"/>
        <v>0</v>
      </c>
      <c r="CV48">
        <f t="shared" si="60"/>
        <v>0</v>
      </c>
      <c r="CW48">
        <f t="shared" si="61"/>
        <v>0</v>
      </c>
      <c r="CX48">
        <f t="shared" si="62"/>
        <v>0</v>
      </c>
      <c r="CY48">
        <f t="shared" si="63"/>
        <v>0</v>
      </c>
      <c r="CZ48">
        <f t="shared" si="64"/>
        <v>0</v>
      </c>
      <c r="DA48">
        <f t="shared" si="65"/>
        <v>0</v>
      </c>
      <c r="DB48">
        <f t="shared" si="66"/>
        <v>0</v>
      </c>
      <c r="DC48">
        <f t="shared" si="67"/>
        <v>0</v>
      </c>
      <c r="DD48">
        <f t="shared" si="68"/>
        <v>0.62350786995341845</v>
      </c>
      <c r="DE48">
        <f t="shared" si="69"/>
        <v>0</v>
      </c>
      <c r="DF48">
        <f t="shared" si="70"/>
        <v>0</v>
      </c>
      <c r="DG48">
        <f t="shared" si="71"/>
        <v>0</v>
      </c>
      <c r="DH48">
        <f t="shared" si="72"/>
        <v>0</v>
      </c>
      <c r="DI48">
        <f t="shared" si="73"/>
        <v>0</v>
      </c>
      <c r="DJ48">
        <f t="shared" si="74"/>
        <v>0</v>
      </c>
      <c r="DK48">
        <f t="shared" si="75"/>
        <v>0</v>
      </c>
      <c r="DM48">
        <f t="shared" si="76"/>
        <v>3</v>
      </c>
    </row>
    <row r="49" spans="2:117">
      <c r="B49" s="45" t="s">
        <v>259</v>
      </c>
      <c r="C49" s="43"/>
      <c r="D49" s="43"/>
      <c r="E49" s="43">
        <v>33.799999999999997</v>
      </c>
      <c r="F49" s="43"/>
      <c r="G49" s="43"/>
      <c r="H49" s="43">
        <f t="shared" si="80"/>
        <v>0</v>
      </c>
      <c r="I49" s="43">
        <f t="shared" si="81"/>
        <v>0</v>
      </c>
      <c r="J49" s="42">
        <f t="shared" si="82"/>
        <v>0</v>
      </c>
      <c r="K49" s="42">
        <f t="shared" si="6"/>
        <v>0</v>
      </c>
      <c r="L49" s="42">
        <f t="shared" si="7"/>
        <v>1.9999999999999999E-6</v>
      </c>
      <c r="M49" s="79">
        <f t="shared" si="79"/>
        <v>1.9999999999999999E-6</v>
      </c>
      <c r="N49" s="79"/>
      <c r="O49" s="52" t="str">
        <f t="shared" si="83"/>
        <v>LS35</v>
      </c>
      <c r="P49" s="87">
        <v>78.8</v>
      </c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>
        <v>21.2</v>
      </c>
      <c r="AE49" s="87"/>
      <c r="AF49" s="87"/>
      <c r="AG49" s="87"/>
      <c r="AH49" s="87"/>
      <c r="AI49" s="87"/>
      <c r="AJ49" s="87"/>
      <c r="AK49" s="87"/>
      <c r="AL49" s="87"/>
      <c r="AM49" s="86">
        <f t="shared" si="77"/>
        <v>100</v>
      </c>
      <c r="AO49" s="71">
        <f t="shared" si="8"/>
        <v>2.0210892393363959</v>
      </c>
      <c r="AQ49" s="97" t="str">
        <f t="shared" si="9"/>
        <v>LS35</v>
      </c>
      <c r="AR49" s="73">
        <f t="shared" si="85"/>
        <v>64.89493528542765</v>
      </c>
      <c r="AS49" s="73">
        <f t="shared" si="86"/>
        <v>0</v>
      </c>
      <c r="AT49" s="73">
        <f t="shared" si="87"/>
        <v>0</v>
      </c>
      <c r="AU49" s="73">
        <f t="shared" si="88"/>
        <v>0</v>
      </c>
      <c r="AV49" s="73">
        <f t="shared" si="89"/>
        <v>0</v>
      </c>
      <c r="AW49" s="73">
        <f t="shared" si="90"/>
        <v>0</v>
      </c>
      <c r="AX49" s="73">
        <f t="shared" si="91"/>
        <v>0</v>
      </c>
      <c r="AY49" s="73">
        <f t="shared" si="92"/>
        <v>0</v>
      </c>
      <c r="AZ49" s="73">
        <f t="shared" si="93"/>
        <v>0</v>
      </c>
      <c r="BA49" s="73">
        <f t="shared" si="94"/>
        <v>0</v>
      </c>
      <c r="BB49" s="73">
        <f t="shared" si="95"/>
        <v>0</v>
      </c>
      <c r="BC49" s="73">
        <f t="shared" si="96"/>
        <v>0</v>
      </c>
      <c r="BD49" s="73">
        <f t="shared" si="97"/>
        <v>0</v>
      </c>
      <c r="BE49" s="73">
        <f t="shared" si="98"/>
        <v>0</v>
      </c>
      <c r="BF49" s="73">
        <f t="shared" si="99"/>
        <v>35.10506471457235</v>
      </c>
      <c r="BG49" s="73">
        <f t="shared" si="100"/>
        <v>0</v>
      </c>
      <c r="BH49" s="73">
        <f t="shared" si="101"/>
        <v>0</v>
      </c>
      <c r="BI49" s="73">
        <f t="shared" si="102"/>
        <v>0</v>
      </c>
      <c r="BJ49" s="73">
        <f t="shared" si="103"/>
        <v>0</v>
      </c>
      <c r="BK49" s="73">
        <f t="shared" si="104"/>
        <v>0</v>
      </c>
      <c r="BL49" s="73">
        <f t="shared" si="105"/>
        <v>0</v>
      </c>
      <c r="BM49" s="73">
        <f t="shared" si="31"/>
        <v>0</v>
      </c>
      <c r="BN49" s="73">
        <f t="shared" si="106"/>
        <v>0</v>
      </c>
      <c r="BQ49">
        <f t="shared" si="84"/>
        <v>38.988877119484926</v>
      </c>
      <c r="BR49">
        <f t="shared" si="33"/>
        <v>0</v>
      </c>
      <c r="BS49">
        <f t="shared" si="34"/>
        <v>0</v>
      </c>
      <c r="BT49">
        <f t="shared" si="35"/>
        <v>0</v>
      </c>
      <c r="BU49">
        <f t="shared" si="36"/>
        <v>0</v>
      </c>
      <c r="BV49">
        <f t="shared" si="37"/>
        <v>0</v>
      </c>
      <c r="BW49">
        <f t="shared" si="38"/>
        <v>0</v>
      </c>
      <c r="BX49">
        <f t="shared" si="39"/>
        <v>0</v>
      </c>
      <c r="BY49">
        <f t="shared" si="40"/>
        <v>0</v>
      </c>
      <c r="BZ49">
        <f t="shared" si="41"/>
        <v>0</v>
      </c>
      <c r="CA49">
        <f t="shared" si="42"/>
        <v>0</v>
      </c>
      <c r="CB49">
        <f t="shared" si="43"/>
        <v>0</v>
      </c>
      <c r="CC49">
        <f t="shared" si="44"/>
        <v>0</v>
      </c>
      <c r="CD49">
        <f t="shared" si="45"/>
        <v>0</v>
      </c>
      <c r="CE49">
        <f t="shared" si="46"/>
        <v>10.489393336714217</v>
      </c>
      <c r="CF49">
        <f t="shared" si="47"/>
        <v>0</v>
      </c>
      <c r="CG49">
        <f t="shared" si="48"/>
        <v>0</v>
      </c>
      <c r="CH49">
        <f t="shared" si="49"/>
        <v>0</v>
      </c>
      <c r="CI49">
        <f t="shared" si="50"/>
        <v>0</v>
      </c>
      <c r="CJ49">
        <f t="shared" si="51"/>
        <v>0</v>
      </c>
      <c r="CK49">
        <f t="shared" si="52"/>
        <v>0</v>
      </c>
      <c r="CL49">
        <f t="shared" si="53"/>
        <v>0</v>
      </c>
      <c r="CN49">
        <f t="shared" si="78"/>
        <v>49.478270456199141</v>
      </c>
      <c r="CP49">
        <f t="shared" si="54"/>
        <v>1.9468480585628294</v>
      </c>
      <c r="CQ49">
        <f t="shared" si="55"/>
        <v>0</v>
      </c>
      <c r="CR49">
        <f t="shared" si="56"/>
        <v>0</v>
      </c>
      <c r="CS49">
        <f t="shared" si="57"/>
        <v>0</v>
      </c>
      <c r="CT49">
        <f t="shared" si="58"/>
        <v>0</v>
      </c>
      <c r="CU49">
        <f t="shared" si="59"/>
        <v>0</v>
      </c>
      <c r="CV49">
        <f t="shared" si="60"/>
        <v>0</v>
      </c>
      <c r="CW49">
        <f t="shared" si="61"/>
        <v>0</v>
      </c>
      <c r="CX49">
        <f t="shared" si="62"/>
        <v>0</v>
      </c>
      <c r="CY49">
        <f t="shared" si="63"/>
        <v>0</v>
      </c>
      <c r="CZ49">
        <f t="shared" si="64"/>
        <v>0</v>
      </c>
      <c r="DA49">
        <f t="shared" si="65"/>
        <v>0</v>
      </c>
      <c r="DB49">
        <f t="shared" si="66"/>
        <v>0</v>
      </c>
      <c r="DC49">
        <f t="shared" si="67"/>
        <v>0</v>
      </c>
      <c r="DD49">
        <f t="shared" si="68"/>
        <v>1.0531519414371704</v>
      </c>
      <c r="DE49">
        <f t="shared" si="69"/>
        <v>0</v>
      </c>
      <c r="DF49">
        <f t="shared" si="70"/>
        <v>0</v>
      </c>
      <c r="DG49">
        <f t="shared" si="71"/>
        <v>0</v>
      </c>
      <c r="DH49">
        <f t="shared" si="72"/>
        <v>0</v>
      </c>
      <c r="DI49">
        <f t="shared" si="73"/>
        <v>0</v>
      </c>
      <c r="DJ49">
        <f t="shared" si="74"/>
        <v>0</v>
      </c>
      <c r="DK49">
        <f t="shared" si="75"/>
        <v>0</v>
      </c>
      <c r="DM49">
        <f t="shared" si="76"/>
        <v>3</v>
      </c>
    </row>
    <row r="50" spans="2:117">
      <c r="B50" s="46" t="s">
        <v>258</v>
      </c>
      <c r="C50" s="43"/>
      <c r="D50" s="43"/>
      <c r="E50" s="43">
        <v>41.3</v>
      </c>
      <c r="F50" s="43"/>
      <c r="G50" s="43"/>
      <c r="H50" s="43" t="e">
        <f t="shared" si="80"/>
        <v>#DIV/0!</v>
      </c>
      <c r="I50" s="43" t="e">
        <f t="shared" si="81"/>
        <v>#DIV/0!</v>
      </c>
      <c r="J50" s="42">
        <f t="shared" si="82"/>
        <v>0</v>
      </c>
      <c r="K50" s="42">
        <f t="shared" si="6"/>
        <v>0</v>
      </c>
      <c r="L50" s="42"/>
      <c r="M50" s="79"/>
      <c r="N50" s="79"/>
      <c r="O50" s="52" t="str">
        <f t="shared" si="83"/>
        <v>mercurio</v>
      </c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  <c r="AL50" s="87"/>
      <c r="AM50" s="86"/>
      <c r="AO50" s="71">
        <f t="shared" si="8"/>
        <v>0</v>
      </c>
      <c r="AQ50" s="97" t="str">
        <f t="shared" si="9"/>
        <v>mercurio</v>
      </c>
      <c r="AR50" s="73" t="e">
        <f t="shared" si="85"/>
        <v>#DIV/0!</v>
      </c>
      <c r="AS50" s="73" t="e">
        <f t="shared" si="86"/>
        <v>#DIV/0!</v>
      </c>
      <c r="AT50" s="73" t="e">
        <f t="shared" si="87"/>
        <v>#DIV/0!</v>
      </c>
      <c r="AU50" s="73" t="e">
        <f t="shared" si="88"/>
        <v>#DIV/0!</v>
      </c>
      <c r="AV50" s="73" t="e">
        <f t="shared" si="89"/>
        <v>#DIV/0!</v>
      </c>
      <c r="AW50" s="73" t="e">
        <f t="shared" si="90"/>
        <v>#DIV/0!</v>
      </c>
      <c r="AX50" s="73" t="e">
        <f t="shared" si="91"/>
        <v>#DIV/0!</v>
      </c>
      <c r="AY50" s="73" t="e">
        <f t="shared" si="92"/>
        <v>#DIV/0!</v>
      </c>
      <c r="AZ50" s="73" t="e">
        <f t="shared" si="93"/>
        <v>#DIV/0!</v>
      </c>
      <c r="BA50" s="73" t="e">
        <f t="shared" si="94"/>
        <v>#DIV/0!</v>
      </c>
      <c r="BB50" s="73" t="e">
        <f t="shared" si="95"/>
        <v>#DIV/0!</v>
      </c>
      <c r="BC50" s="73" t="e">
        <f t="shared" si="96"/>
        <v>#DIV/0!</v>
      </c>
      <c r="BD50" s="73" t="e">
        <f t="shared" si="97"/>
        <v>#DIV/0!</v>
      </c>
      <c r="BE50" s="73" t="e">
        <f t="shared" si="98"/>
        <v>#DIV/0!</v>
      </c>
      <c r="BF50" s="73" t="e">
        <f t="shared" si="99"/>
        <v>#DIV/0!</v>
      </c>
      <c r="BG50" s="73" t="e">
        <f t="shared" si="100"/>
        <v>#DIV/0!</v>
      </c>
      <c r="BH50" s="73" t="e">
        <f t="shared" si="101"/>
        <v>#DIV/0!</v>
      </c>
      <c r="BI50" s="73" t="e">
        <f t="shared" si="102"/>
        <v>#DIV/0!</v>
      </c>
      <c r="BJ50" s="73" t="e">
        <f t="shared" si="103"/>
        <v>#DIV/0!</v>
      </c>
      <c r="BK50" s="73" t="e">
        <f t="shared" si="104"/>
        <v>#DIV/0!</v>
      </c>
      <c r="BL50" s="73" t="e">
        <f t="shared" si="105"/>
        <v>#DIV/0!</v>
      </c>
      <c r="BM50" s="73" t="e">
        <f t="shared" si="31"/>
        <v>#DIV/0!</v>
      </c>
      <c r="BN50" s="73" t="e">
        <f t="shared" si="106"/>
        <v>#DIV/0!</v>
      </c>
      <c r="BQ50" t="e">
        <f t="shared" si="84"/>
        <v>#DIV/0!</v>
      </c>
      <c r="BR50" t="e">
        <f t="shared" si="33"/>
        <v>#DIV/0!</v>
      </c>
      <c r="BS50" t="e">
        <f t="shared" si="34"/>
        <v>#DIV/0!</v>
      </c>
      <c r="BT50" t="e">
        <f t="shared" si="35"/>
        <v>#DIV/0!</v>
      </c>
      <c r="BU50" t="e">
        <f t="shared" si="36"/>
        <v>#DIV/0!</v>
      </c>
      <c r="BV50" t="e">
        <f t="shared" si="37"/>
        <v>#DIV/0!</v>
      </c>
      <c r="BW50" t="e">
        <f t="shared" si="38"/>
        <v>#DIV/0!</v>
      </c>
      <c r="BX50" t="e">
        <f t="shared" si="39"/>
        <v>#DIV/0!</v>
      </c>
      <c r="BY50" t="e">
        <f t="shared" si="40"/>
        <v>#DIV/0!</v>
      </c>
      <c r="BZ50" t="e">
        <f t="shared" si="41"/>
        <v>#DIV/0!</v>
      </c>
      <c r="CA50" t="e">
        <f t="shared" si="42"/>
        <v>#DIV/0!</v>
      </c>
      <c r="CB50" t="e">
        <f t="shared" si="43"/>
        <v>#DIV/0!</v>
      </c>
      <c r="CC50" t="e">
        <f t="shared" si="44"/>
        <v>#DIV/0!</v>
      </c>
      <c r="CD50" t="e">
        <f t="shared" si="45"/>
        <v>#DIV/0!</v>
      </c>
      <c r="CE50" t="e">
        <f t="shared" si="46"/>
        <v>#DIV/0!</v>
      </c>
      <c r="CF50" t="e">
        <f t="shared" si="47"/>
        <v>#DIV/0!</v>
      </c>
      <c r="CG50" t="e">
        <f t="shared" si="48"/>
        <v>#DIV/0!</v>
      </c>
      <c r="CH50" t="e">
        <f t="shared" si="49"/>
        <v>#DIV/0!</v>
      </c>
      <c r="CI50" t="e">
        <f t="shared" si="50"/>
        <v>#DIV/0!</v>
      </c>
      <c r="CJ50" t="e">
        <f t="shared" si="51"/>
        <v>#DIV/0!</v>
      </c>
      <c r="CK50" t="e">
        <f t="shared" si="52"/>
        <v>#DIV/0!</v>
      </c>
      <c r="CL50" t="e">
        <f t="shared" si="53"/>
        <v>#DIV/0!</v>
      </c>
      <c r="CN50" t="e">
        <f t="shared" si="78"/>
        <v>#DIV/0!</v>
      </c>
      <c r="CP50" t="e">
        <f t="shared" si="54"/>
        <v>#DIV/0!</v>
      </c>
      <c r="CQ50" t="e">
        <f t="shared" si="55"/>
        <v>#DIV/0!</v>
      </c>
      <c r="CR50" t="e">
        <f t="shared" si="56"/>
        <v>#DIV/0!</v>
      </c>
      <c r="CS50" t="e">
        <f t="shared" si="57"/>
        <v>#DIV/0!</v>
      </c>
      <c r="CT50" t="e">
        <f t="shared" si="58"/>
        <v>#DIV/0!</v>
      </c>
      <c r="CU50" t="e">
        <f t="shared" si="59"/>
        <v>#DIV/0!</v>
      </c>
      <c r="CV50" t="e">
        <f t="shared" si="60"/>
        <v>#DIV/0!</v>
      </c>
      <c r="CW50" t="e">
        <f t="shared" si="61"/>
        <v>#DIV/0!</v>
      </c>
      <c r="CX50" t="e">
        <f t="shared" si="62"/>
        <v>#DIV/0!</v>
      </c>
      <c r="CY50" t="e">
        <f t="shared" si="63"/>
        <v>#DIV/0!</v>
      </c>
      <c r="CZ50" t="e">
        <f t="shared" si="64"/>
        <v>#DIV/0!</v>
      </c>
      <c r="DA50" t="e">
        <f t="shared" si="65"/>
        <v>#DIV/0!</v>
      </c>
      <c r="DB50" t="e">
        <f t="shared" si="66"/>
        <v>#DIV/0!</v>
      </c>
      <c r="DC50" t="e">
        <f t="shared" si="67"/>
        <v>#DIV/0!</v>
      </c>
      <c r="DD50" t="e">
        <f t="shared" si="68"/>
        <v>#DIV/0!</v>
      </c>
      <c r="DE50" t="e">
        <f t="shared" si="69"/>
        <v>#DIV/0!</v>
      </c>
      <c r="DF50" t="e">
        <f t="shared" si="70"/>
        <v>#DIV/0!</v>
      </c>
      <c r="DG50" t="e">
        <f t="shared" si="71"/>
        <v>#DIV/0!</v>
      </c>
      <c r="DH50" t="e">
        <f t="shared" si="72"/>
        <v>#DIV/0!</v>
      </c>
      <c r="DI50" t="e">
        <f t="shared" si="73"/>
        <v>#DIV/0!</v>
      </c>
      <c r="DJ50" t="e">
        <f t="shared" si="74"/>
        <v>#DIV/0!</v>
      </c>
      <c r="DK50" t="e">
        <f t="shared" si="75"/>
        <v>#DIV/0!</v>
      </c>
      <c r="DM50" t="e">
        <f t="shared" si="76"/>
        <v>#DIV/0!</v>
      </c>
    </row>
    <row r="51" spans="2:117">
      <c r="B51" s="46" t="s">
        <v>257</v>
      </c>
      <c r="C51" s="43"/>
      <c r="D51" s="43"/>
      <c r="E51" s="43">
        <v>36.58</v>
      </c>
      <c r="F51" s="43"/>
      <c r="G51" s="43"/>
      <c r="H51" s="43" t="e">
        <f t="shared" si="80"/>
        <v>#DIV/0!</v>
      </c>
      <c r="I51" s="43" t="e">
        <f t="shared" si="81"/>
        <v>#DIV/0!</v>
      </c>
      <c r="J51" s="42">
        <f t="shared" si="82"/>
        <v>0</v>
      </c>
      <c r="K51" s="42">
        <f t="shared" si="6"/>
        <v>0</v>
      </c>
      <c r="L51" s="42"/>
      <c r="M51" s="79"/>
      <c r="N51" s="79"/>
      <c r="O51" s="52" t="str">
        <f t="shared" si="83"/>
        <v>Mg-CaO</v>
      </c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7"/>
      <c r="AM51" s="86"/>
      <c r="AO51" s="71">
        <f t="shared" si="8"/>
        <v>0</v>
      </c>
      <c r="AQ51" s="97" t="str">
        <f t="shared" si="9"/>
        <v>Mg-CaO</v>
      </c>
      <c r="AR51" s="73" t="e">
        <f t="shared" si="85"/>
        <v>#DIV/0!</v>
      </c>
      <c r="AS51" s="73" t="e">
        <f t="shared" si="86"/>
        <v>#DIV/0!</v>
      </c>
      <c r="AT51" s="73" t="e">
        <f t="shared" si="87"/>
        <v>#DIV/0!</v>
      </c>
      <c r="AU51" s="73" t="e">
        <f t="shared" si="88"/>
        <v>#DIV/0!</v>
      </c>
      <c r="AV51" s="73" t="e">
        <f t="shared" si="89"/>
        <v>#DIV/0!</v>
      </c>
      <c r="AW51" s="73" t="e">
        <f t="shared" si="90"/>
        <v>#DIV/0!</v>
      </c>
      <c r="AX51" s="73" t="e">
        <f t="shared" si="91"/>
        <v>#DIV/0!</v>
      </c>
      <c r="AY51" s="73" t="e">
        <f t="shared" si="92"/>
        <v>#DIV/0!</v>
      </c>
      <c r="AZ51" s="73" t="e">
        <f t="shared" si="93"/>
        <v>#DIV/0!</v>
      </c>
      <c r="BA51" s="73" t="e">
        <f t="shared" si="94"/>
        <v>#DIV/0!</v>
      </c>
      <c r="BB51" s="73" t="e">
        <f t="shared" si="95"/>
        <v>#DIV/0!</v>
      </c>
      <c r="BC51" s="73" t="e">
        <f t="shared" si="96"/>
        <v>#DIV/0!</v>
      </c>
      <c r="BD51" s="73" t="e">
        <f t="shared" si="97"/>
        <v>#DIV/0!</v>
      </c>
      <c r="BE51" s="73" t="e">
        <f t="shared" si="98"/>
        <v>#DIV/0!</v>
      </c>
      <c r="BF51" s="73" t="e">
        <f t="shared" si="99"/>
        <v>#DIV/0!</v>
      </c>
      <c r="BG51" s="73" t="e">
        <f t="shared" si="100"/>
        <v>#DIV/0!</v>
      </c>
      <c r="BH51" s="73" t="e">
        <f t="shared" si="101"/>
        <v>#DIV/0!</v>
      </c>
      <c r="BI51" s="73" t="e">
        <f t="shared" si="102"/>
        <v>#DIV/0!</v>
      </c>
      <c r="BJ51" s="73" t="e">
        <f t="shared" si="103"/>
        <v>#DIV/0!</v>
      </c>
      <c r="BK51" s="73" t="e">
        <f t="shared" si="104"/>
        <v>#DIV/0!</v>
      </c>
      <c r="BL51" s="73" t="e">
        <f t="shared" si="105"/>
        <v>#DIV/0!</v>
      </c>
      <c r="BM51" s="73" t="e">
        <f t="shared" si="31"/>
        <v>#DIV/0!</v>
      </c>
      <c r="BN51" s="73" t="e">
        <f t="shared" si="106"/>
        <v>#DIV/0!</v>
      </c>
      <c r="BQ51" t="e">
        <f t="shared" si="84"/>
        <v>#DIV/0!</v>
      </c>
      <c r="BR51" t="e">
        <f t="shared" si="33"/>
        <v>#DIV/0!</v>
      </c>
      <c r="BS51" t="e">
        <f t="shared" si="34"/>
        <v>#DIV/0!</v>
      </c>
      <c r="BT51" t="e">
        <f t="shared" si="35"/>
        <v>#DIV/0!</v>
      </c>
      <c r="BU51" t="e">
        <f t="shared" si="36"/>
        <v>#DIV/0!</v>
      </c>
      <c r="BV51" t="e">
        <f t="shared" si="37"/>
        <v>#DIV/0!</v>
      </c>
      <c r="BW51" t="e">
        <f t="shared" si="38"/>
        <v>#DIV/0!</v>
      </c>
      <c r="BX51" t="e">
        <f t="shared" si="39"/>
        <v>#DIV/0!</v>
      </c>
      <c r="BY51" t="e">
        <f t="shared" si="40"/>
        <v>#DIV/0!</v>
      </c>
      <c r="BZ51" t="e">
        <f t="shared" si="41"/>
        <v>#DIV/0!</v>
      </c>
      <c r="CA51" t="e">
        <f t="shared" si="42"/>
        <v>#DIV/0!</v>
      </c>
      <c r="CB51" t="e">
        <f t="shared" si="43"/>
        <v>#DIV/0!</v>
      </c>
      <c r="CC51" t="e">
        <f t="shared" si="44"/>
        <v>#DIV/0!</v>
      </c>
      <c r="CD51" t="e">
        <f t="shared" si="45"/>
        <v>#DIV/0!</v>
      </c>
      <c r="CE51" t="e">
        <f t="shared" si="46"/>
        <v>#DIV/0!</v>
      </c>
      <c r="CF51" t="e">
        <f t="shared" si="47"/>
        <v>#DIV/0!</v>
      </c>
      <c r="CG51" t="e">
        <f t="shared" si="48"/>
        <v>#DIV/0!</v>
      </c>
      <c r="CH51" t="e">
        <f t="shared" si="49"/>
        <v>#DIV/0!</v>
      </c>
      <c r="CI51" t="e">
        <f t="shared" si="50"/>
        <v>#DIV/0!</v>
      </c>
      <c r="CJ51" t="e">
        <f t="shared" si="51"/>
        <v>#DIV/0!</v>
      </c>
      <c r="CK51" t="e">
        <f t="shared" si="52"/>
        <v>#DIV/0!</v>
      </c>
      <c r="CL51" t="e">
        <f t="shared" si="53"/>
        <v>#DIV/0!</v>
      </c>
      <c r="CN51" t="e">
        <f t="shared" si="78"/>
        <v>#DIV/0!</v>
      </c>
      <c r="CP51" t="e">
        <f t="shared" si="54"/>
        <v>#DIV/0!</v>
      </c>
      <c r="CQ51" t="e">
        <f t="shared" si="55"/>
        <v>#DIV/0!</v>
      </c>
      <c r="CR51" t="e">
        <f t="shared" si="56"/>
        <v>#DIV/0!</v>
      </c>
      <c r="CS51" t="e">
        <f t="shared" si="57"/>
        <v>#DIV/0!</v>
      </c>
      <c r="CT51" t="e">
        <f t="shared" si="58"/>
        <v>#DIV/0!</v>
      </c>
      <c r="CU51" t="e">
        <f t="shared" si="59"/>
        <v>#DIV/0!</v>
      </c>
      <c r="CV51" t="e">
        <f t="shared" si="60"/>
        <v>#DIV/0!</v>
      </c>
      <c r="CW51" t="e">
        <f t="shared" si="61"/>
        <v>#DIV/0!</v>
      </c>
      <c r="CX51" t="e">
        <f t="shared" si="62"/>
        <v>#DIV/0!</v>
      </c>
      <c r="CY51" t="e">
        <f t="shared" si="63"/>
        <v>#DIV/0!</v>
      </c>
      <c r="CZ51" t="e">
        <f t="shared" si="64"/>
        <v>#DIV/0!</v>
      </c>
      <c r="DA51" t="e">
        <f t="shared" si="65"/>
        <v>#DIV/0!</v>
      </c>
      <c r="DB51" t="e">
        <f t="shared" si="66"/>
        <v>#DIV/0!</v>
      </c>
      <c r="DC51" t="e">
        <f t="shared" si="67"/>
        <v>#DIV/0!</v>
      </c>
      <c r="DD51" t="e">
        <f t="shared" si="68"/>
        <v>#DIV/0!</v>
      </c>
      <c r="DE51" t="e">
        <f t="shared" si="69"/>
        <v>#DIV/0!</v>
      </c>
      <c r="DF51" t="e">
        <f t="shared" si="70"/>
        <v>#DIV/0!</v>
      </c>
      <c r="DG51" t="e">
        <f t="shared" si="71"/>
        <v>#DIV/0!</v>
      </c>
      <c r="DH51" t="e">
        <f t="shared" si="72"/>
        <v>#DIV/0!</v>
      </c>
      <c r="DI51" t="e">
        <f t="shared" si="73"/>
        <v>#DIV/0!</v>
      </c>
      <c r="DJ51" t="e">
        <f t="shared" si="74"/>
        <v>#DIV/0!</v>
      </c>
      <c r="DK51" t="e">
        <f t="shared" si="75"/>
        <v>#DIV/0!</v>
      </c>
      <c r="DM51" t="e">
        <f t="shared" si="76"/>
        <v>#DIV/0!</v>
      </c>
    </row>
    <row r="52" spans="2:117">
      <c r="B52" s="45" t="s">
        <v>153</v>
      </c>
      <c r="C52" s="43">
        <v>2.613</v>
      </c>
      <c r="D52" s="43">
        <v>861</v>
      </c>
      <c r="E52" s="43">
        <v>39.9</v>
      </c>
      <c r="F52" s="43">
        <v>6013</v>
      </c>
      <c r="G52" s="43">
        <v>3518</v>
      </c>
      <c r="H52" s="43">
        <f t="shared" si="80"/>
        <v>2.6352815026343749E+22</v>
      </c>
      <c r="I52" s="43">
        <f t="shared" si="81"/>
        <v>7.4445438589716002E+22</v>
      </c>
      <c r="J52" s="42">
        <f t="shared" si="82"/>
        <v>94.476069597000006</v>
      </c>
      <c r="K52" s="42">
        <f t="shared" si="6"/>
        <v>32.339334612000002</v>
      </c>
      <c r="L52" s="42">
        <f t="shared" si="7"/>
        <v>94.871350560914919</v>
      </c>
      <c r="M52" s="79">
        <f t="shared" ref="M52:M80" si="107">3*K52 + 2*(0.0001 - I52*$G$2*$J$2)/100</f>
        <v>90.953807635736297</v>
      </c>
      <c r="N52" s="79"/>
      <c r="O52" s="52" t="str">
        <f t="shared" si="83"/>
        <v>NCS5</v>
      </c>
      <c r="P52" s="90">
        <v>65.400000000000006</v>
      </c>
      <c r="Q52" s="90"/>
      <c r="R52" s="87"/>
      <c r="S52" s="90"/>
      <c r="T52" s="90"/>
      <c r="U52" s="90"/>
      <c r="V52" s="90"/>
      <c r="W52" s="87"/>
      <c r="X52" s="87"/>
      <c r="Y52" s="87"/>
      <c r="Z52" s="90">
        <v>16.440000000000001</v>
      </c>
      <c r="AA52" s="90"/>
      <c r="AB52" s="90"/>
      <c r="AC52" s="90"/>
      <c r="AD52" s="90"/>
      <c r="AE52" s="90">
        <v>18.16</v>
      </c>
      <c r="AF52" s="90"/>
      <c r="AG52" s="90"/>
      <c r="AH52" s="90"/>
      <c r="AI52" s="87"/>
      <c r="AJ52" s="87"/>
      <c r="AK52" s="87"/>
      <c r="AL52" s="87"/>
      <c r="AM52" s="86">
        <f t="shared" ref="AM52:AM87" si="108">SUM(P52:AI52)</f>
        <v>100</v>
      </c>
      <c r="AO52" s="71">
        <f t="shared" si="8"/>
        <v>1.6746989821580407</v>
      </c>
      <c r="AQ52" s="97" t="str">
        <f t="shared" si="9"/>
        <v>NCS5</v>
      </c>
      <c r="AR52" s="73">
        <f t="shared" si="85"/>
        <v>64.999657458527992</v>
      </c>
      <c r="AS52" s="73">
        <f t="shared" si="86"/>
        <v>0</v>
      </c>
      <c r="AT52" s="73">
        <f t="shared" si="87"/>
        <v>0</v>
      </c>
      <c r="AU52" s="73">
        <f t="shared" si="88"/>
        <v>0</v>
      </c>
      <c r="AV52" s="73">
        <f t="shared" si="89"/>
        <v>0</v>
      </c>
      <c r="AW52" s="73">
        <f t="shared" si="90"/>
        <v>0</v>
      </c>
      <c r="AX52" s="73">
        <f t="shared" si="91"/>
        <v>0</v>
      </c>
      <c r="AY52" s="73">
        <f t="shared" si="92"/>
        <v>0</v>
      </c>
      <c r="AZ52" s="73">
        <f t="shared" si="93"/>
        <v>0</v>
      </c>
      <c r="BA52" s="73">
        <f t="shared" si="94"/>
        <v>0</v>
      </c>
      <c r="BB52" s="73">
        <f t="shared" si="95"/>
        <v>17.504795919160227</v>
      </c>
      <c r="BC52" s="73">
        <f t="shared" si="96"/>
        <v>0</v>
      </c>
      <c r="BD52" s="73">
        <f t="shared" si="97"/>
        <v>0</v>
      </c>
      <c r="BE52" s="73">
        <f t="shared" si="98"/>
        <v>0</v>
      </c>
      <c r="BF52" s="73">
        <f t="shared" si="99"/>
        <v>0</v>
      </c>
      <c r="BG52" s="73">
        <f t="shared" si="100"/>
        <v>17.495546622311785</v>
      </c>
      <c r="BH52" s="73">
        <f t="shared" si="101"/>
        <v>0</v>
      </c>
      <c r="BI52" s="73">
        <f t="shared" si="102"/>
        <v>0</v>
      </c>
      <c r="BJ52" s="73">
        <f t="shared" si="103"/>
        <v>0</v>
      </c>
      <c r="BK52" s="73">
        <f t="shared" si="104"/>
        <v>0</v>
      </c>
      <c r="BL52" s="73">
        <f t="shared" si="105"/>
        <v>0</v>
      </c>
      <c r="BM52" s="73">
        <f t="shared" si="31"/>
        <v>0</v>
      </c>
      <c r="BN52" s="73">
        <f t="shared" si="106"/>
        <v>0</v>
      </c>
      <c r="BQ52">
        <f t="shared" si="84"/>
        <v>39.051794201083617</v>
      </c>
      <c r="BR52">
        <f t="shared" si="33"/>
        <v>0</v>
      </c>
      <c r="BS52">
        <f t="shared" si="34"/>
        <v>0</v>
      </c>
      <c r="BT52">
        <f t="shared" si="35"/>
        <v>0</v>
      </c>
      <c r="BU52">
        <f t="shared" si="36"/>
        <v>0</v>
      </c>
      <c r="BV52">
        <f t="shared" si="37"/>
        <v>0</v>
      </c>
      <c r="BW52">
        <f t="shared" si="38"/>
        <v>0</v>
      </c>
      <c r="BX52">
        <f t="shared" si="39"/>
        <v>0</v>
      </c>
      <c r="BY52">
        <f t="shared" si="40"/>
        <v>0</v>
      </c>
      <c r="BZ52">
        <f t="shared" si="41"/>
        <v>0</v>
      </c>
      <c r="CA52">
        <f t="shared" si="42"/>
        <v>9.8166895514650552</v>
      </c>
      <c r="CB52">
        <f t="shared" si="43"/>
        <v>0</v>
      </c>
      <c r="CC52">
        <f t="shared" si="44"/>
        <v>0</v>
      </c>
      <c r="CD52">
        <f t="shared" si="45"/>
        <v>0</v>
      </c>
      <c r="CE52">
        <f t="shared" si="46"/>
        <v>0</v>
      </c>
      <c r="CF52">
        <f t="shared" si="47"/>
        <v>10.843739796508844</v>
      </c>
      <c r="CG52">
        <f t="shared" si="48"/>
        <v>0</v>
      </c>
      <c r="CH52">
        <f t="shared" si="49"/>
        <v>0</v>
      </c>
      <c r="CI52">
        <f t="shared" si="50"/>
        <v>0</v>
      </c>
      <c r="CJ52">
        <f t="shared" si="51"/>
        <v>0</v>
      </c>
      <c r="CK52">
        <f t="shared" si="52"/>
        <v>0</v>
      </c>
      <c r="CL52">
        <f t="shared" si="53"/>
        <v>0</v>
      </c>
      <c r="CN52">
        <f t="shared" si="78"/>
        <v>59.712223549057512</v>
      </c>
      <c r="CP52">
        <f t="shared" si="54"/>
        <v>1.9499897237558397</v>
      </c>
      <c r="CQ52">
        <f t="shared" si="55"/>
        <v>0</v>
      </c>
      <c r="CR52">
        <f t="shared" si="56"/>
        <v>0</v>
      </c>
      <c r="CS52">
        <f t="shared" si="57"/>
        <v>0</v>
      </c>
      <c r="CT52">
        <f t="shared" si="58"/>
        <v>0</v>
      </c>
      <c r="CU52">
        <f t="shared" si="59"/>
        <v>0</v>
      </c>
      <c r="CV52">
        <f t="shared" si="60"/>
        <v>0</v>
      </c>
      <c r="CW52">
        <f t="shared" si="61"/>
        <v>0</v>
      </c>
      <c r="CX52">
        <f t="shared" si="62"/>
        <v>0</v>
      </c>
      <c r="CY52">
        <f t="shared" si="63"/>
        <v>0</v>
      </c>
      <c r="CZ52">
        <f t="shared" si="64"/>
        <v>0.35009591838320453</v>
      </c>
      <c r="DA52">
        <f t="shared" si="65"/>
        <v>0</v>
      </c>
      <c r="DB52">
        <f t="shared" si="66"/>
        <v>0</v>
      </c>
      <c r="DC52">
        <f t="shared" si="67"/>
        <v>0</v>
      </c>
      <c r="DD52">
        <f t="shared" si="68"/>
        <v>0</v>
      </c>
      <c r="DE52">
        <f t="shared" si="69"/>
        <v>0.52486639866935358</v>
      </c>
      <c r="DF52">
        <f t="shared" si="70"/>
        <v>0</v>
      </c>
      <c r="DG52">
        <f t="shared" si="71"/>
        <v>0</v>
      </c>
      <c r="DH52">
        <f t="shared" si="72"/>
        <v>0</v>
      </c>
      <c r="DI52">
        <f t="shared" si="73"/>
        <v>0</v>
      </c>
      <c r="DJ52">
        <f t="shared" si="74"/>
        <v>0</v>
      </c>
      <c r="DK52">
        <f t="shared" si="75"/>
        <v>0</v>
      </c>
      <c r="DM52">
        <f t="shared" si="76"/>
        <v>2.8249520408083981</v>
      </c>
    </row>
    <row r="53" spans="2:117">
      <c r="B53" s="45" t="s">
        <v>154</v>
      </c>
      <c r="C53" s="43">
        <v>2.5960000000000001</v>
      </c>
      <c r="D53" s="43">
        <v>896</v>
      </c>
      <c r="E53" s="43">
        <v>42.2</v>
      </c>
      <c r="F53" s="43">
        <v>6035</v>
      </c>
      <c r="G53" s="43">
        <v>3549</v>
      </c>
      <c r="H53" s="43">
        <f t="shared" si="80"/>
        <v>2.631129444636446E+22</v>
      </c>
      <c r="I53" s="43">
        <f t="shared" si="81"/>
        <v>7.3012788147481395E+22</v>
      </c>
      <c r="J53" s="42">
        <f t="shared" si="82"/>
        <v>94.549500100000003</v>
      </c>
      <c r="K53" s="42">
        <f t="shared" si="6"/>
        <v>32.697660995999996</v>
      </c>
      <c r="L53" s="42">
        <f t="shared" si="7"/>
        <v>95.949711908401355</v>
      </c>
      <c r="M53" s="79">
        <f t="shared" si="107"/>
        <v>92.145488044361102</v>
      </c>
      <c r="N53" s="79"/>
      <c r="O53" s="52" t="str">
        <f t="shared" si="83"/>
        <v>NCS6</v>
      </c>
      <c r="P53" s="90">
        <v>65.72</v>
      </c>
      <c r="Q53" s="90"/>
      <c r="R53" s="87"/>
      <c r="S53" s="90"/>
      <c r="T53" s="90"/>
      <c r="U53" s="90"/>
      <c r="V53" s="90"/>
      <c r="W53" s="87"/>
      <c r="X53" s="87"/>
      <c r="Y53" s="87"/>
      <c r="Z53" s="90">
        <v>21.24</v>
      </c>
      <c r="AA53" s="90"/>
      <c r="AB53" s="90"/>
      <c r="AC53" s="90"/>
      <c r="AD53" s="90"/>
      <c r="AE53" s="90">
        <v>13.04</v>
      </c>
      <c r="AF53" s="90"/>
      <c r="AG53" s="90"/>
      <c r="AH53" s="90"/>
      <c r="AI53" s="87"/>
      <c r="AJ53" s="87"/>
      <c r="AK53" s="87"/>
      <c r="AL53" s="87"/>
      <c r="AM53" s="86">
        <f t="shared" si="108"/>
        <v>100</v>
      </c>
      <c r="AO53" s="71">
        <f t="shared" si="8"/>
        <v>1.683009932586331</v>
      </c>
      <c r="AQ53" s="97" t="str">
        <f t="shared" si="9"/>
        <v>NCS6</v>
      </c>
      <c r="AR53" s="73">
        <f t="shared" si="85"/>
        <v>64.995150199397216</v>
      </c>
      <c r="AS53" s="73">
        <f t="shared" si="86"/>
        <v>0</v>
      </c>
      <c r="AT53" s="73">
        <f t="shared" si="87"/>
        <v>0</v>
      </c>
      <c r="AU53" s="73">
        <f t="shared" si="88"/>
        <v>0</v>
      </c>
      <c r="AV53" s="73">
        <f t="shared" si="89"/>
        <v>0</v>
      </c>
      <c r="AW53" s="73">
        <f t="shared" si="90"/>
        <v>0</v>
      </c>
      <c r="AX53" s="73">
        <f t="shared" si="91"/>
        <v>0</v>
      </c>
      <c r="AY53" s="73">
        <f t="shared" si="92"/>
        <v>0</v>
      </c>
      <c r="AZ53" s="73">
        <f t="shared" si="93"/>
        <v>0</v>
      </c>
      <c r="BA53" s="73">
        <f t="shared" si="94"/>
        <v>0</v>
      </c>
      <c r="BB53" s="73">
        <f t="shared" si="95"/>
        <v>22.504005660694983</v>
      </c>
      <c r="BC53" s="73">
        <f t="shared" si="96"/>
        <v>0</v>
      </c>
      <c r="BD53" s="73">
        <f t="shared" si="97"/>
        <v>0</v>
      </c>
      <c r="BE53" s="73">
        <f t="shared" si="98"/>
        <v>0</v>
      </c>
      <c r="BF53" s="73">
        <f t="shared" si="99"/>
        <v>0</v>
      </c>
      <c r="BG53" s="73">
        <f t="shared" si="100"/>
        <v>12.500844139907793</v>
      </c>
      <c r="BH53" s="73">
        <f t="shared" si="101"/>
        <v>0</v>
      </c>
      <c r="BI53" s="73">
        <f t="shared" si="102"/>
        <v>0</v>
      </c>
      <c r="BJ53" s="73">
        <f t="shared" si="103"/>
        <v>0</v>
      </c>
      <c r="BK53" s="73">
        <f t="shared" si="104"/>
        <v>0</v>
      </c>
      <c r="BL53" s="73">
        <f t="shared" si="105"/>
        <v>0</v>
      </c>
      <c r="BM53" s="73">
        <f t="shared" si="31"/>
        <v>0</v>
      </c>
      <c r="BN53" s="73">
        <f t="shared" si="106"/>
        <v>0</v>
      </c>
      <c r="BQ53">
        <f t="shared" si="84"/>
        <v>39.049086239797845</v>
      </c>
      <c r="BR53">
        <f t="shared" si="33"/>
        <v>0</v>
      </c>
      <c r="BS53">
        <f t="shared" si="34"/>
        <v>0</v>
      </c>
      <c r="BT53">
        <f t="shared" si="35"/>
        <v>0</v>
      </c>
      <c r="BU53">
        <f t="shared" si="36"/>
        <v>0</v>
      </c>
      <c r="BV53">
        <f t="shared" si="37"/>
        <v>0</v>
      </c>
      <c r="BW53">
        <f t="shared" si="38"/>
        <v>0</v>
      </c>
      <c r="BX53">
        <f t="shared" si="39"/>
        <v>0</v>
      </c>
      <c r="BY53">
        <f t="shared" si="40"/>
        <v>0</v>
      </c>
      <c r="BZ53">
        <f t="shared" si="41"/>
        <v>0</v>
      </c>
      <c r="CA53">
        <f t="shared" si="42"/>
        <v>12.620246374517745</v>
      </c>
      <c r="CB53">
        <f t="shared" si="43"/>
        <v>0</v>
      </c>
      <c r="CC53">
        <f t="shared" si="44"/>
        <v>0</v>
      </c>
      <c r="CD53">
        <f t="shared" si="45"/>
        <v>0</v>
      </c>
      <c r="CE53">
        <f t="shared" si="46"/>
        <v>0</v>
      </c>
      <c r="CF53">
        <f t="shared" si="47"/>
        <v>7.7480231979148497</v>
      </c>
      <c r="CG53">
        <f t="shared" si="48"/>
        <v>0</v>
      </c>
      <c r="CH53">
        <f t="shared" si="49"/>
        <v>0</v>
      </c>
      <c r="CI53">
        <f t="shared" si="50"/>
        <v>0</v>
      </c>
      <c r="CJ53">
        <f t="shared" si="51"/>
        <v>0</v>
      </c>
      <c r="CK53">
        <f t="shared" si="52"/>
        <v>0</v>
      </c>
      <c r="CL53">
        <f t="shared" si="53"/>
        <v>0</v>
      </c>
      <c r="CN53">
        <f t="shared" si="78"/>
        <v>59.41735581223044</v>
      </c>
      <c r="CP53">
        <f t="shared" si="54"/>
        <v>1.9498545059819163</v>
      </c>
      <c r="CQ53">
        <f t="shared" si="55"/>
        <v>0</v>
      </c>
      <c r="CR53">
        <f t="shared" si="56"/>
        <v>0</v>
      </c>
      <c r="CS53">
        <f t="shared" si="57"/>
        <v>0</v>
      </c>
      <c r="CT53">
        <f t="shared" si="58"/>
        <v>0</v>
      </c>
      <c r="CU53">
        <f t="shared" si="59"/>
        <v>0</v>
      </c>
      <c r="CV53">
        <f t="shared" si="60"/>
        <v>0</v>
      </c>
      <c r="CW53">
        <f t="shared" si="61"/>
        <v>0</v>
      </c>
      <c r="CX53">
        <f t="shared" si="62"/>
        <v>0</v>
      </c>
      <c r="CY53">
        <f t="shared" si="63"/>
        <v>0</v>
      </c>
      <c r="CZ53">
        <f t="shared" si="64"/>
        <v>0.45008011321389962</v>
      </c>
      <c r="DA53">
        <f t="shared" si="65"/>
        <v>0</v>
      </c>
      <c r="DB53">
        <f t="shared" si="66"/>
        <v>0</v>
      </c>
      <c r="DC53">
        <f t="shared" si="67"/>
        <v>0</v>
      </c>
      <c r="DD53">
        <f t="shared" si="68"/>
        <v>0</v>
      </c>
      <c r="DE53">
        <f t="shared" si="69"/>
        <v>0.37502532419723378</v>
      </c>
      <c r="DF53">
        <f t="shared" si="70"/>
        <v>0</v>
      </c>
      <c r="DG53">
        <f t="shared" si="71"/>
        <v>0</v>
      </c>
      <c r="DH53">
        <f t="shared" si="72"/>
        <v>0</v>
      </c>
      <c r="DI53">
        <f t="shared" si="73"/>
        <v>0</v>
      </c>
      <c r="DJ53">
        <f t="shared" si="74"/>
        <v>0</v>
      </c>
      <c r="DK53">
        <f t="shared" si="75"/>
        <v>0</v>
      </c>
      <c r="DM53">
        <f t="shared" si="76"/>
        <v>2.7749599433930499</v>
      </c>
    </row>
    <row r="54" spans="2:117">
      <c r="B54" s="45" t="s">
        <v>155</v>
      </c>
      <c r="C54" s="43">
        <v>2.5649999999999999</v>
      </c>
      <c r="D54" s="43">
        <v>835</v>
      </c>
      <c r="E54" s="43">
        <v>38</v>
      </c>
      <c r="F54" s="43">
        <v>5877</v>
      </c>
      <c r="G54" s="43">
        <v>3419</v>
      </c>
      <c r="H54" s="43">
        <f t="shared" si="80"/>
        <v>2.5741393279977819E+22</v>
      </c>
      <c r="I54" s="43">
        <f t="shared" si="81"/>
        <v>7.4007016917536894E+22</v>
      </c>
      <c r="J54" s="42">
        <f t="shared" si="82"/>
        <v>88.592865885000009</v>
      </c>
      <c r="K54" s="42">
        <f t="shared" si="6"/>
        <v>29.983723964999999</v>
      </c>
      <c r="L54" s="42">
        <f t="shared" si="7"/>
        <v>87.85432399045412</v>
      </c>
      <c r="M54" s="79">
        <f t="shared" si="107"/>
        <v>83.922688774889352</v>
      </c>
      <c r="N54" s="79"/>
      <c r="O54" s="52" t="str">
        <f t="shared" si="83"/>
        <v>NCS7</v>
      </c>
      <c r="P54" s="90">
        <v>65.08</v>
      </c>
      <c r="Q54" s="90"/>
      <c r="R54" s="87"/>
      <c r="S54" s="90"/>
      <c r="T54" s="90"/>
      <c r="U54" s="90"/>
      <c r="V54" s="90"/>
      <c r="W54" s="87"/>
      <c r="X54" s="87"/>
      <c r="Y54" s="87"/>
      <c r="Z54" s="90">
        <v>11.68</v>
      </c>
      <c r="AA54" s="90"/>
      <c r="AB54" s="90"/>
      <c r="AC54" s="90"/>
      <c r="AD54" s="90"/>
      <c r="AE54" s="90">
        <v>23.24</v>
      </c>
      <c r="AF54" s="90"/>
      <c r="AG54" s="90"/>
      <c r="AH54" s="90"/>
      <c r="AI54" s="87"/>
      <c r="AJ54" s="87"/>
      <c r="AK54" s="87"/>
      <c r="AL54" s="87"/>
      <c r="AM54" s="86">
        <f t="shared" si="108"/>
        <v>99.999999999999986</v>
      </c>
      <c r="AO54" s="71">
        <f t="shared" si="8"/>
        <v>1.6664559290174952</v>
      </c>
      <c r="AQ54" s="97" t="str">
        <f t="shared" si="9"/>
        <v>NCS7</v>
      </c>
      <c r="AR54" s="73">
        <f t="shared" si="85"/>
        <v>65.001561176102996</v>
      </c>
      <c r="AS54" s="73">
        <f t="shared" si="86"/>
        <v>0</v>
      </c>
      <c r="AT54" s="73">
        <f t="shared" si="87"/>
        <v>0</v>
      </c>
      <c r="AU54" s="73">
        <f t="shared" si="88"/>
        <v>0</v>
      </c>
      <c r="AV54" s="73">
        <f t="shared" si="89"/>
        <v>0</v>
      </c>
      <c r="AW54" s="73">
        <f t="shared" si="90"/>
        <v>0</v>
      </c>
      <c r="AX54" s="73">
        <f t="shared" si="91"/>
        <v>0</v>
      </c>
      <c r="AY54" s="73">
        <f t="shared" si="92"/>
        <v>0</v>
      </c>
      <c r="AZ54" s="73">
        <f t="shared" si="93"/>
        <v>0</v>
      </c>
      <c r="BA54" s="73">
        <f t="shared" si="94"/>
        <v>0</v>
      </c>
      <c r="BB54" s="73">
        <f t="shared" si="95"/>
        <v>12.498013947438315</v>
      </c>
      <c r="BC54" s="73">
        <f t="shared" si="96"/>
        <v>0</v>
      </c>
      <c r="BD54" s="73">
        <f t="shared" si="97"/>
        <v>0</v>
      </c>
      <c r="BE54" s="73">
        <f t="shared" si="98"/>
        <v>0</v>
      </c>
      <c r="BF54" s="73">
        <f t="shared" si="99"/>
        <v>0</v>
      </c>
      <c r="BG54" s="73">
        <f t="shared" si="100"/>
        <v>22.500424876458709</v>
      </c>
      <c r="BH54" s="73">
        <f t="shared" si="101"/>
        <v>0</v>
      </c>
      <c r="BI54" s="73">
        <f t="shared" si="102"/>
        <v>0</v>
      </c>
      <c r="BJ54" s="73">
        <f t="shared" si="103"/>
        <v>0</v>
      </c>
      <c r="BK54" s="73">
        <f t="shared" si="104"/>
        <v>0</v>
      </c>
      <c r="BL54" s="73">
        <f t="shared" si="105"/>
        <v>0</v>
      </c>
      <c r="BM54" s="73">
        <f t="shared" si="31"/>
        <v>0</v>
      </c>
      <c r="BN54" s="73">
        <f t="shared" si="106"/>
        <v>0</v>
      </c>
      <c r="BQ54">
        <f t="shared" si="84"/>
        <v>39.052937954602676</v>
      </c>
      <c r="BR54">
        <f t="shared" si="33"/>
        <v>0</v>
      </c>
      <c r="BS54">
        <f t="shared" si="34"/>
        <v>0</v>
      </c>
      <c r="BT54">
        <f t="shared" si="35"/>
        <v>0</v>
      </c>
      <c r="BU54">
        <f t="shared" si="36"/>
        <v>0</v>
      </c>
      <c r="BV54">
        <f t="shared" si="37"/>
        <v>0</v>
      </c>
      <c r="BW54">
        <f t="shared" si="38"/>
        <v>0</v>
      </c>
      <c r="BX54">
        <f t="shared" si="39"/>
        <v>0</v>
      </c>
      <c r="BY54">
        <f t="shared" si="40"/>
        <v>0</v>
      </c>
      <c r="BZ54">
        <f t="shared" si="41"/>
        <v>0</v>
      </c>
      <c r="CA54">
        <f t="shared" si="42"/>
        <v>7.0088862217234071</v>
      </c>
      <c r="CB54">
        <f t="shared" si="43"/>
        <v>0</v>
      </c>
      <c r="CC54">
        <f t="shared" si="44"/>
        <v>0</v>
      </c>
      <c r="CD54">
        <f t="shared" si="45"/>
        <v>0</v>
      </c>
      <c r="CE54">
        <f t="shared" si="46"/>
        <v>0</v>
      </c>
      <c r="CF54">
        <f t="shared" si="47"/>
        <v>13.945763338429106</v>
      </c>
      <c r="CG54">
        <f t="shared" si="48"/>
        <v>0</v>
      </c>
      <c r="CH54">
        <f t="shared" si="49"/>
        <v>0</v>
      </c>
      <c r="CI54">
        <f t="shared" si="50"/>
        <v>0</v>
      </c>
      <c r="CJ54">
        <f t="shared" si="51"/>
        <v>0</v>
      </c>
      <c r="CK54">
        <f t="shared" si="52"/>
        <v>0</v>
      </c>
      <c r="CL54">
        <f t="shared" si="53"/>
        <v>0</v>
      </c>
      <c r="CN54">
        <f t="shared" si="78"/>
        <v>60.007587514755187</v>
      </c>
      <c r="CP54">
        <f t="shared" si="54"/>
        <v>1.9500468352830898</v>
      </c>
      <c r="CQ54">
        <f t="shared" si="55"/>
        <v>0</v>
      </c>
      <c r="CR54">
        <f t="shared" si="56"/>
        <v>0</v>
      </c>
      <c r="CS54">
        <f t="shared" si="57"/>
        <v>0</v>
      </c>
      <c r="CT54">
        <f t="shared" si="58"/>
        <v>0</v>
      </c>
      <c r="CU54">
        <f t="shared" si="59"/>
        <v>0</v>
      </c>
      <c r="CV54">
        <f t="shared" si="60"/>
        <v>0</v>
      </c>
      <c r="CW54">
        <f t="shared" si="61"/>
        <v>0</v>
      </c>
      <c r="CX54">
        <f t="shared" si="62"/>
        <v>0</v>
      </c>
      <c r="CY54">
        <f t="shared" si="63"/>
        <v>0</v>
      </c>
      <c r="CZ54">
        <f t="shared" si="64"/>
        <v>0.2499602789487663</v>
      </c>
      <c r="DA54">
        <f t="shared" si="65"/>
        <v>0</v>
      </c>
      <c r="DB54">
        <f t="shared" si="66"/>
        <v>0</v>
      </c>
      <c r="DC54">
        <f t="shared" si="67"/>
        <v>0</v>
      </c>
      <c r="DD54">
        <f t="shared" si="68"/>
        <v>0</v>
      </c>
      <c r="DE54">
        <f t="shared" si="69"/>
        <v>0.67501274629376118</v>
      </c>
      <c r="DF54">
        <f t="shared" si="70"/>
        <v>0</v>
      </c>
      <c r="DG54">
        <f t="shared" si="71"/>
        <v>0</v>
      </c>
      <c r="DH54">
        <f t="shared" si="72"/>
        <v>0</v>
      </c>
      <c r="DI54">
        <f t="shared" si="73"/>
        <v>0</v>
      </c>
      <c r="DJ54">
        <f t="shared" si="74"/>
        <v>0</v>
      </c>
      <c r="DK54">
        <f t="shared" si="75"/>
        <v>0</v>
      </c>
      <c r="DM54">
        <f t="shared" si="76"/>
        <v>2.8750198605256174</v>
      </c>
    </row>
    <row r="55" spans="2:117">
      <c r="B55" s="45" t="s">
        <v>156</v>
      </c>
      <c r="C55" s="43">
        <v>2.5019999999999998</v>
      </c>
      <c r="D55" s="43">
        <v>864</v>
      </c>
      <c r="E55" s="43">
        <v>34.299999999999997</v>
      </c>
      <c r="F55" s="43">
        <v>5898</v>
      </c>
      <c r="G55" s="43">
        <v>3548</v>
      </c>
      <c r="H55" s="43">
        <f t="shared" si="80"/>
        <v>2.5188973002442284E+22</v>
      </c>
      <c r="I55" s="43">
        <f t="shared" si="81"/>
        <v>7.2418027050094331E+22</v>
      </c>
      <c r="J55" s="42">
        <f t="shared" si="82"/>
        <v>87.035582808000001</v>
      </c>
      <c r="K55" s="42">
        <f t="shared" si="6"/>
        <v>31.495936607999997</v>
      </c>
      <c r="L55" s="42">
        <f t="shared" si="7"/>
        <v>92.435961131175901</v>
      </c>
      <c r="M55" s="79">
        <f t="shared" si="107"/>
        <v>88.588763102907535</v>
      </c>
      <c r="N55" s="79"/>
      <c r="O55" s="52" t="str">
        <f t="shared" si="83"/>
        <v>NCS11</v>
      </c>
      <c r="P55" s="90">
        <v>75.33</v>
      </c>
      <c r="Q55" s="90"/>
      <c r="R55" s="87"/>
      <c r="S55" s="90"/>
      <c r="T55" s="90"/>
      <c r="U55" s="90"/>
      <c r="V55" s="90"/>
      <c r="W55" s="87"/>
      <c r="X55" s="87"/>
      <c r="Y55" s="87"/>
      <c r="Z55" s="90">
        <v>11.72</v>
      </c>
      <c r="AA55" s="90"/>
      <c r="AB55" s="90"/>
      <c r="AC55" s="90"/>
      <c r="AD55" s="90"/>
      <c r="AE55" s="90">
        <v>12.95</v>
      </c>
      <c r="AF55" s="90"/>
      <c r="AG55" s="90"/>
      <c r="AH55" s="90"/>
      <c r="AI55" s="87"/>
      <c r="AJ55" s="87"/>
      <c r="AK55" s="87"/>
      <c r="AL55" s="87"/>
      <c r="AM55" s="86">
        <f t="shared" si="108"/>
        <v>100</v>
      </c>
      <c r="AO55" s="71">
        <f t="shared" si="8"/>
        <v>1.6717537574414816</v>
      </c>
      <c r="AQ55" s="97" t="str">
        <f t="shared" si="9"/>
        <v>NCS11</v>
      </c>
      <c r="AR55" s="73">
        <f t="shared" si="85"/>
        <v>75.000772299556331</v>
      </c>
      <c r="AS55" s="73">
        <f t="shared" si="86"/>
        <v>0</v>
      </c>
      <c r="AT55" s="73">
        <f t="shared" si="87"/>
        <v>0</v>
      </c>
      <c r="AU55" s="73">
        <f t="shared" si="88"/>
        <v>0</v>
      </c>
      <c r="AV55" s="73">
        <f t="shared" si="89"/>
        <v>0</v>
      </c>
      <c r="AW55" s="73">
        <f t="shared" si="90"/>
        <v>0</v>
      </c>
      <c r="AX55" s="73">
        <f t="shared" si="91"/>
        <v>0</v>
      </c>
      <c r="AY55" s="73">
        <f t="shared" si="92"/>
        <v>0</v>
      </c>
      <c r="AZ55" s="73">
        <f t="shared" si="93"/>
        <v>0</v>
      </c>
      <c r="BA55" s="73">
        <f t="shared" si="94"/>
        <v>0</v>
      </c>
      <c r="BB55" s="73">
        <f t="shared" si="95"/>
        <v>12.501073215359805</v>
      </c>
      <c r="BC55" s="73">
        <f t="shared" si="96"/>
        <v>0</v>
      </c>
      <c r="BD55" s="73">
        <f t="shared" si="97"/>
        <v>0</v>
      </c>
      <c r="BE55" s="73">
        <f t="shared" si="98"/>
        <v>0</v>
      </c>
      <c r="BF55" s="73">
        <f t="shared" si="99"/>
        <v>0</v>
      </c>
      <c r="BG55" s="73">
        <f t="shared" si="100"/>
        <v>12.498154485083875</v>
      </c>
      <c r="BH55" s="73">
        <f t="shared" si="101"/>
        <v>0</v>
      </c>
      <c r="BI55" s="73">
        <f t="shared" si="102"/>
        <v>0</v>
      </c>
      <c r="BJ55" s="73">
        <f t="shared" si="103"/>
        <v>0</v>
      </c>
      <c r="BK55" s="73">
        <f t="shared" si="104"/>
        <v>0</v>
      </c>
      <c r="BL55" s="73">
        <f t="shared" si="105"/>
        <v>0</v>
      </c>
      <c r="BM55" s="73">
        <f t="shared" si="31"/>
        <v>0</v>
      </c>
      <c r="BN55" s="73">
        <f t="shared" si="106"/>
        <v>0</v>
      </c>
      <c r="BQ55">
        <f t="shared" si="84"/>
        <v>45.060463997573443</v>
      </c>
      <c r="BR55">
        <f t="shared" si="33"/>
        <v>0</v>
      </c>
      <c r="BS55">
        <f t="shared" si="34"/>
        <v>0</v>
      </c>
      <c r="BT55">
        <f t="shared" si="35"/>
        <v>0</v>
      </c>
      <c r="BU55">
        <f t="shared" si="36"/>
        <v>0</v>
      </c>
      <c r="BV55">
        <f t="shared" si="37"/>
        <v>0</v>
      </c>
      <c r="BW55">
        <f t="shared" si="38"/>
        <v>0</v>
      </c>
      <c r="BX55">
        <f t="shared" si="39"/>
        <v>0</v>
      </c>
      <c r="BY55">
        <f t="shared" si="40"/>
        <v>0</v>
      </c>
      <c r="BZ55">
        <f t="shared" si="41"/>
        <v>0</v>
      </c>
      <c r="CA55">
        <f t="shared" si="42"/>
        <v>7.0106018591737778</v>
      </c>
      <c r="CB55">
        <f t="shared" si="43"/>
        <v>0</v>
      </c>
      <c r="CC55">
        <f t="shared" si="44"/>
        <v>0</v>
      </c>
      <c r="CD55">
        <f t="shared" si="45"/>
        <v>0</v>
      </c>
      <c r="CE55">
        <f t="shared" si="46"/>
        <v>0</v>
      </c>
      <c r="CF55">
        <f t="shared" si="47"/>
        <v>7.7463561498549849</v>
      </c>
      <c r="CG55">
        <f t="shared" si="48"/>
        <v>0</v>
      </c>
      <c r="CH55">
        <f t="shared" si="49"/>
        <v>0</v>
      </c>
      <c r="CI55">
        <f t="shared" si="50"/>
        <v>0</v>
      </c>
      <c r="CJ55">
        <f t="shared" si="51"/>
        <v>0</v>
      </c>
      <c r="CK55">
        <f t="shared" si="52"/>
        <v>0</v>
      </c>
      <c r="CL55">
        <f t="shared" si="53"/>
        <v>0</v>
      </c>
      <c r="CN55">
        <f t="shared" si="78"/>
        <v>59.8174220066022</v>
      </c>
      <c r="CP55">
        <f t="shared" si="54"/>
        <v>2.2500231689866901</v>
      </c>
      <c r="CQ55">
        <f t="shared" si="55"/>
        <v>0</v>
      </c>
      <c r="CR55">
        <f t="shared" si="56"/>
        <v>0</v>
      </c>
      <c r="CS55">
        <f t="shared" si="57"/>
        <v>0</v>
      </c>
      <c r="CT55">
        <f t="shared" si="58"/>
        <v>0</v>
      </c>
      <c r="CU55">
        <f t="shared" si="59"/>
        <v>0</v>
      </c>
      <c r="CV55">
        <f t="shared" si="60"/>
        <v>0</v>
      </c>
      <c r="CW55">
        <f t="shared" si="61"/>
        <v>0</v>
      </c>
      <c r="CX55">
        <f t="shared" si="62"/>
        <v>0</v>
      </c>
      <c r="CY55">
        <f t="shared" si="63"/>
        <v>0</v>
      </c>
      <c r="CZ55">
        <f t="shared" si="64"/>
        <v>0.25002146430719607</v>
      </c>
      <c r="DA55">
        <f t="shared" si="65"/>
        <v>0</v>
      </c>
      <c r="DB55">
        <f t="shared" si="66"/>
        <v>0</v>
      </c>
      <c r="DC55">
        <f t="shared" si="67"/>
        <v>0</v>
      </c>
      <c r="DD55">
        <f t="shared" si="68"/>
        <v>0</v>
      </c>
      <c r="DE55">
        <f t="shared" si="69"/>
        <v>0.37494463455251625</v>
      </c>
      <c r="DF55">
        <f t="shared" si="70"/>
        <v>0</v>
      </c>
      <c r="DG55">
        <f t="shared" si="71"/>
        <v>0</v>
      </c>
      <c r="DH55">
        <f t="shared" si="72"/>
        <v>0</v>
      </c>
      <c r="DI55">
        <f t="shared" si="73"/>
        <v>0</v>
      </c>
      <c r="DJ55">
        <f t="shared" si="74"/>
        <v>0</v>
      </c>
      <c r="DK55">
        <f t="shared" si="75"/>
        <v>0</v>
      </c>
      <c r="DM55">
        <f t="shared" si="76"/>
        <v>2.8749892678464022</v>
      </c>
    </row>
    <row r="56" spans="2:117">
      <c r="B56" s="45" t="s">
        <v>157</v>
      </c>
      <c r="C56" s="43">
        <v>2.48</v>
      </c>
      <c r="D56" s="43">
        <v>803</v>
      </c>
      <c r="E56" s="43">
        <v>33.6</v>
      </c>
      <c r="F56" s="43">
        <v>5709</v>
      </c>
      <c r="G56" s="43">
        <v>3415</v>
      </c>
      <c r="H56" s="43">
        <f t="shared" si="80"/>
        <v>2.4898184759470335E+22</v>
      </c>
      <c r="I56" s="43">
        <f t="shared" si="81"/>
        <v>7.2204515364002991E+22</v>
      </c>
      <c r="J56" s="42">
        <f t="shared" si="82"/>
        <v>80.82984888</v>
      </c>
      <c r="K56" s="42">
        <f t="shared" si="6"/>
        <v>28.922318000000001</v>
      </c>
      <c r="L56" s="42">
        <f t="shared" si="7"/>
        <v>84.738792420491293</v>
      </c>
      <c r="M56" s="79">
        <f t="shared" si="107"/>
        <v>80.885299575965064</v>
      </c>
      <c r="N56" s="79"/>
      <c r="O56" s="52" t="str">
        <f t="shared" si="83"/>
        <v>NCS12</v>
      </c>
      <c r="P56" s="90">
        <v>74.12</v>
      </c>
      <c r="Q56" s="90"/>
      <c r="R56" s="89"/>
      <c r="S56" s="90"/>
      <c r="T56" s="90"/>
      <c r="U56" s="90"/>
      <c r="V56" s="90"/>
      <c r="W56" s="87"/>
      <c r="X56" s="87"/>
      <c r="Y56" s="87"/>
      <c r="Z56" s="90">
        <v>9.35</v>
      </c>
      <c r="AA56" s="90"/>
      <c r="AB56" s="90"/>
      <c r="AC56" s="90"/>
      <c r="AD56" s="90"/>
      <c r="AE56" s="90">
        <v>16.53</v>
      </c>
      <c r="AF56" s="90"/>
      <c r="AG56" s="90"/>
      <c r="AH56" s="90"/>
      <c r="AI56" s="87"/>
      <c r="AJ56" s="87"/>
      <c r="AK56" s="87"/>
      <c r="AL56" s="87"/>
      <c r="AM56" s="86">
        <f t="shared" si="108"/>
        <v>100</v>
      </c>
      <c r="AO56" s="71">
        <f t="shared" si="8"/>
        <v>1.6671134561499208</v>
      </c>
      <c r="AQ56" s="97" t="str">
        <f t="shared" si="9"/>
        <v>NCS12</v>
      </c>
      <c r="AR56" s="73">
        <f t="shared" si="85"/>
        <v>74.001467080422174</v>
      </c>
      <c r="AS56" s="73">
        <f t="shared" si="86"/>
        <v>0</v>
      </c>
      <c r="AT56" s="73">
        <f t="shared" si="87"/>
        <v>0</v>
      </c>
      <c r="AU56" s="73">
        <f t="shared" si="88"/>
        <v>0</v>
      </c>
      <c r="AV56" s="73">
        <f t="shared" si="89"/>
        <v>0</v>
      </c>
      <c r="AW56" s="73">
        <f t="shared" si="90"/>
        <v>0</v>
      </c>
      <c r="AX56" s="73">
        <f t="shared" si="91"/>
        <v>0</v>
      </c>
      <c r="AY56" s="73">
        <f t="shared" si="92"/>
        <v>0</v>
      </c>
      <c r="AZ56" s="73">
        <f t="shared" si="93"/>
        <v>0</v>
      </c>
      <c r="BA56" s="73">
        <f t="shared" si="94"/>
        <v>0</v>
      </c>
      <c r="BB56" s="73">
        <f t="shared" si="95"/>
        <v>10.000885359567715</v>
      </c>
      <c r="BC56" s="73">
        <f t="shared" si="96"/>
        <v>0</v>
      </c>
      <c r="BD56" s="73">
        <f t="shared" si="97"/>
        <v>0</v>
      </c>
      <c r="BE56" s="73">
        <f t="shared" si="98"/>
        <v>0</v>
      </c>
      <c r="BF56" s="73">
        <f t="shared" si="99"/>
        <v>0</v>
      </c>
      <c r="BG56" s="73">
        <f t="shared" si="100"/>
        <v>15.997647560010101</v>
      </c>
      <c r="BH56" s="73">
        <f t="shared" si="101"/>
        <v>0</v>
      </c>
      <c r="BI56" s="73">
        <f t="shared" si="102"/>
        <v>0</v>
      </c>
      <c r="BJ56" s="73">
        <f t="shared" si="103"/>
        <v>0</v>
      </c>
      <c r="BK56" s="73">
        <f t="shared" si="104"/>
        <v>0</v>
      </c>
      <c r="BL56" s="73">
        <f t="shared" si="105"/>
        <v>0</v>
      </c>
      <c r="BM56" s="73">
        <f t="shared" si="31"/>
        <v>0</v>
      </c>
      <c r="BN56" s="73">
        <f t="shared" si="106"/>
        <v>0</v>
      </c>
      <c r="BQ56">
        <f t="shared" si="84"/>
        <v>44.460081421917643</v>
      </c>
      <c r="BR56">
        <f t="shared" si="33"/>
        <v>0</v>
      </c>
      <c r="BS56">
        <f t="shared" si="34"/>
        <v>0</v>
      </c>
      <c r="BT56">
        <f t="shared" si="35"/>
        <v>0</v>
      </c>
      <c r="BU56">
        <f t="shared" si="36"/>
        <v>0</v>
      </c>
      <c r="BV56">
        <f t="shared" si="37"/>
        <v>0</v>
      </c>
      <c r="BW56">
        <f t="shared" si="38"/>
        <v>0</v>
      </c>
      <c r="BX56">
        <f t="shared" si="39"/>
        <v>0</v>
      </c>
      <c r="BY56">
        <f t="shared" si="40"/>
        <v>0</v>
      </c>
      <c r="BZ56">
        <f t="shared" si="41"/>
        <v>0</v>
      </c>
      <c r="CA56">
        <f t="shared" si="42"/>
        <v>5.6084965096455743</v>
      </c>
      <c r="CB56">
        <f t="shared" si="43"/>
        <v>0</v>
      </c>
      <c r="CC56">
        <f t="shared" si="44"/>
        <v>0</v>
      </c>
      <c r="CD56">
        <f t="shared" si="45"/>
        <v>0</v>
      </c>
      <c r="CE56">
        <f t="shared" si="46"/>
        <v>0</v>
      </c>
      <c r="CF56">
        <f t="shared" si="47"/>
        <v>9.9153419576942596</v>
      </c>
      <c r="CG56">
        <f t="shared" si="48"/>
        <v>0</v>
      </c>
      <c r="CH56">
        <f t="shared" si="49"/>
        <v>0</v>
      </c>
      <c r="CI56">
        <f t="shared" si="50"/>
        <v>0</v>
      </c>
      <c r="CJ56">
        <f t="shared" si="51"/>
        <v>0</v>
      </c>
      <c r="CK56">
        <f t="shared" si="52"/>
        <v>0</v>
      </c>
      <c r="CL56">
        <f t="shared" si="53"/>
        <v>0</v>
      </c>
      <c r="CN56">
        <f t="shared" si="78"/>
        <v>59.983919889257479</v>
      </c>
      <c r="CP56">
        <f t="shared" si="54"/>
        <v>2.2200440124126652</v>
      </c>
      <c r="CQ56">
        <f t="shared" si="55"/>
        <v>0</v>
      </c>
      <c r="CR56">
        <f t="shared" si="56"/>
        <v>0</v>
      </c>
      <c r="CS56">
        <f t="shared" si="57"/>
        <v>0</v>
      </c>
      <c r="CT56">
        <f t="shared" si="58"/>
        <v>0</v>
      </c>
      <c r="CU56">
        <f t="shared" si="59"/>
        <v>0</v>
      </c>
      <c r="CV56">
        <f t="shared" si="60"/>
        <v>0</v>
      </c>
      <c r="CW56">
        <f t="shared" si="61"/>
        <v>0</v>
      </c>
      <c r="CX56">
        <f t="shared" si="62"/>
        <v>0</v>
      </c>
      <c r="CY56">
        <f t="shared" si="63"/>
        <v>0</v>
      </c>
      <c r="CZ56">
        <f t="shared" si="64"/>
        <v>0.20001770719135428</v>
      </c>
      <c r="DA56">
        <f t="shared" si="65"/>
        <v>0</v>
      </c>
      <c r="DB56">
        <f t="shared" si="66"/>
        <v>0</v>
      </c>
      <c r="DC56">
        <f t="shared" si="67"/>
        <v>0</v>
      </c>
      <c r="DD56">
        <f t="shared" si="68"/>
        <v>0</v>
      </c>
      <c r="DE56">
        <f t="shared" si="69"/>
        <v>0.47992942680030304</v>
      </c>
      <c r="DF56">
        <f t="shared" si="70"/>
        <v>0</v>
      </c>
      <c r="DG56">
        <f t="shared" si="71"/>
        <v>0</v>
      </c>
      <c r="DH56">
        <f t="shared" si="72"/>
        <v>0</v>
      </c>
      <c r="DI56">
        <f t="shared" si="73"/>
        <v>0</v>
      </c>
      <c r="DJ56">
        <f t="shared" si="74"/>
        <v>0</v>
      </c>
      <c r="DK56">
        <f t="shared" si="75"/>
        <v>0</v>
      </c>
      <c r="DM56">
        <f t="shared" si="76"/>
        <v>2.8999911464043224</v>
      </c>
    </row>
    <row r="57" spans="2:117">
      <c r="B57" s="45" t="s">
        <v>158</v>
      </c>
      <c r="C57" s="43">
        <v>2.569</v>
      </c>
      <c r="D57" s="43">
        <v>840</v>
      </c>
      <c r="E57" s="43">
        <v>31.2</v>
      </c>
      <c r="F57" s="43">
        <v>5682</v>
      </c>
      <c r="G57" s="43">
        <v>3442</v>
      </c>
      <c r="H57" s="43">
        <f t="shared" si="80"/>
        <v>2.6003304868687945E+22</v>
      </c>
      <c r="I57" s="43">
        <f t="shared" si="81"/>
        <v>7.4875540795359513E+22</v>
      </c>
      <c r="J57" s="42">
        <f t="shared" si="82"/>
        <v>82.94048355599999</v>
      </c>
      <c r="K57" s="42">
        <f t="shared" si="6"/>
        <v>30.435878116000001</v>
      </c>
      <c r="L57" s="42">
        <f t="shared" si="7"/>
        <v>89.189451573044707</v>
      </c>
      <c r="M57" s="79">
        <f t="shared" si="107"/>
        <v>85.208402757109241</v>
      </c>
      <c r="N57" s="79"/>
      <c r="O57" s="52" t="str">
        <f t="shared" si="83"/>
        <v>SLS</v>
      </c>
      <c r="P57" s="90">
        <v>73.3</v>
      </c>
      <c r="Q57" s="90"/>
      <c r="R57" s="87"/>
      <c r="S57" s="90"/>
      <c r="T57" s="90">
        <v>0.86</v>
      </c>
      <c r="U57" s="90"/>
      <c r="V57" s="90"/>
      <c r="W57" s="87"/>
      <c r="X57" s="87"/>
      <c r="Y57" s="90">
        <v>2.86</v>
      </c>
      <c r="Z57" s="90">
        <v>8.33</v>
      </c>
      <c r="AA57" s="90"/>
      <c r="AB57" s="90"/>
      <c r="AC57" s="90"/>
      <c r="AD57" s="90"/>
      <c r="AE57" s="90">
        <v>14.02</v>
      </c>
      <c r="AF57" s="90">
        <v>0.64</v>
      </c>
      <c r="AG57" s="90"/>
      <c r="AH57" s="90"/>
      <c r="AI57" s="87"/>
      <c r="AJ57" s="87"/>
      <c r="AK57" s="87"/>
      <c r="AL57" s="87"/>
      <c r="AM57" s="86">
        <f t="shared" si="108"/>
        <v>100.00999999999999</v>
      </c>
      <c r="AO57" s="71">
        <f t="shared" si="8"/>
        <v>1.680958622432466</v>
      </c>
      <c r="AQ57" s="97" t="str">
        <f t="shared" si="9"/>
        <v>SLS</v>
      </c>
      <c r="AR57" s="73">
        <f t="shared" si="85"/>
        <v>72.580010623473825</v>
      </c>
      <c r="AS57" s="73">
        <f t="shared" si="86"/>
        <v>0</v>
      </c>
      <c r="AT57" s="73">
        <f t="shared" si="87"/>
        <v>0</v>
      </c>
      <c r="AU57" s="73">
        <f t="shared" si="88"/>
        <v>0</v>
      </c>
      <c r="AV57" s="73">
        <f t="shared" si="89"/>
        <v>0.50177798276591157</v>
      </c>
      <c r="AW57" s="73">
        <f t="shared" si="90"/>
        <v>0</v>
      </c>
      <c r="AX57" s="73">
        <f t="shared" si="91"/>
        <v>0</v>
      </c>
      <c r="AY57" s="73">
        <f t="shared" si="92"/>
        <v>0</v>
      </c>
      <c r="AZ57" s="73">
        <f t="shared" si="93"/>
        <v>0</v>
      </c>
      <c r="BA57" s="73">
        <f t="shared" si="94"/>
        <v>4.2208139745819686</v>
      </c>
      <c r="BB57" s="73">
        <f t="shared" si="95"/>
        <v>8.8364937218638406</v>
      </c>
      <c r="BC57" s="73">
        <f t="shared" si="96"/>
        <v>0</v>
      </c>
      <c r="BD57" s="73">
        <f t="shared" si="97"/>
        <v>0</v>
      </c>
      <c r="BE57" s="73">
        <f t="shared" si="98"/>
        <v>0</v>
      </c>
      <c r="BF57" s="73">
        <f t="shared" si="99"/>
        <v>0</v>
      </c>
      <c r="BG57" s="73">
        <f t="shared" si="100"/>
        <v>13.456726276702707</v>
      </c>
      <c r="BH57" s="73">
        <f t="shared" si="101"/>
        <v>0.40417742061175993</v>
      </c>
      <c r="BI57" s="73">
        <f t="shared" si="102"/>
        <v>0</v>
      </c>
      <c r="BJ57" s="73">
        <f t="shared" si="103"/>
        <v>0</v>
      </c>
      <c r="BK57" s="73">
        <f t="shared" si="104"/>
        <v>0</v>
      </c>
      <c r="BL57" s="73">
        <f t="shared" si="105"/>
        <v>0</v>
      </c>
      <c r="BM57" s="73">
        <f t="shared" si="31"/>
        <v>0</v>
      </c>
      <c r="BN57" s="73">
        <f t="shared" si="106"/>
        <v>0</v>
      </c>
      <c r="BQ57">
        <f t="shared" si="84"/>
        <v>43.60607038258307</v>
      </c>
      <c r="BR57">
        <f t="shared" si="33"/>
        <v>0</v>
      </c>
      <c r="BS57">
        <f t="shared" si="34"/>
        <v>0</v>
      </c>
      <c r="BT57">
        <f t="shared" si="35"/>
        <v>0</v>
      </c>
      <c r="BU57">
        <f t="shared" si="36"/>
        <v>0.5116128312281234</v>
      </c>
      <c r="BV57">
        <f t="shared" si="37"/>
        <v>0</v>
      </c>
      <c r="BW57">
        <f t="shared" si="38"/>
        <v>0</v>
      </c>
      <c r="BX57">
        <f t="shared" si="39"/>
        <v>0</v>
      </c>
      <c r="BY57">
        <f t="shared" si="40"/>
        <v>0</v>
      </c>
      <c r="BZ57">
        <f t="shared" si="41"/>
        <v>1.7014101131539918</v>
      </c>
      <c r="CA57">
        <f t="shared" si="42"/>
        <v>4.9555056792212415</v>
      </c>
      <c r="CB57">
        <f t="shared" si="43"/>
        <v>0</v>
      </c>
      <c r="CC57">
        <f t="shared" si="44"/>
        <v>0</v>
      </c>
      <c r="CD57">
        <f t="shared" si="45"/>
        <v>0</v>
      </c>
      <c r="CE57">
        <f t="shared" si="46"/>
        <v>0</v>
      </c>
      <c r="CF57">
        <f t="shared" si="47"/>
        <v>8.3404789463003368</v>
      </c>
      <c r="CG57">
        <f t="shared" si="48"/>
        <v>0.38073513021627786</v>
      </c>
      <c r="CH57">
        <f t="shared" si="49"/>
        <v>0</v>
      </c>
      <c r="CI57">
        <f t="shared" si="50"/>
        <v>0</v>
      </c>
      <c r="CJ57">
        <f t="shared" si="51"/>
        <v>0</v>
      </c>
      <c r="CK57">
        <f t="shared" si="52"/>
        <v>0</v>
      </c>
      <c r="CL57">
        <f t="shared" si="53"/>
        <v>0</v>
      </c>
      <c r="CN57">
        <f t="shared" si="78"/>
        <v>59.495813082703037</v>
      </c>
      <c r="CP57">
        <f t="shared" si="54"/>
        <v>2.1774003187042146</v>
      </c>
      <c r="CQ57">
        <f t="shared" si="55"/>
        <v>0</v>
      </c>
      <c r="CR57">
        <f t="shared" si="56"/>
        <v>0</v>
      </c>
      <c r="CS57">
        <f t="shared" si="57"/>
        <v>0</v>
      </c>
      <c r="CT57">
        <f t="shared" si="58"/>
        <v>2.5088899138295578E-2</v>
      </c>
      <c r="CU57">
        <f t="shared" si="59"/>
        <v>0</v>
      </c>
      <c r="CV57">
        <f t="shared" si="60"/>
        <v>0</v>
      </c>
      <c r="CW57">
        <f t="shared" si="61"/>
        <v>0</v>
      </c>
      <c r="CX57">
        <f t="shared" si="62"/>
        <v>0</v>
      </c>
      <c r="CY57">
        <f t="shared" si="63"/>
        <v>8.4416279491639379E-2</v>
      </c>
      <c r="CZ57">
        <f t="shared" si="64"/>
        <v>0.17672987443727681</v>
      </c>
      <c r="DA57">
        <f t="shared" si="65"/>
        <v>0</v>
      </c>
      <c r="DB57">
        <f t="shared" si="66"/>
        <v>0</v>
      </c>
      <c r="DC57">
        <f t="shared" si="67"/>
        <v>0</v>
      </c>
      <c r="DD57">
        <f t="shared" si="68"/>
        <v>0</v>
      </c>
      <c r="DE57">
        <f t="shared" si="69"/>
        <v>0.40370178830108122</v>
      </c>
      <c r="DF57">
        <f t="shared" si="70"/>
        <v>1.2125322618352797E-2</v>
      </c>
      <c r="DG57">
        <f t="shared" si="71"/>
        <v>0</v>
      </c>
      <c r="DH57">
        <f t="shared" si="72"/>
        <v>0</v>
      </c>
      <c r="DI57">
        <f t="shared" si="73"/>
        <v>0</v>
      </c>
      <c r="DJ57">
        <f t="shared" si="74"/>
        <v>0</v>
      </c>
      <c r="DK57">
        <f t="shared" si="75"/>
        <v>0</v>
      </c>
      <c r="DM57">
        <f t="shared" si="76"/>
        <v>2.8794624826908599</v>
      </c>
    </row>
    <row r="58" spans="2:117">
      <c r="B58" s="45" t="s">
        <v>161</v>
      </c>
      <c r="C58" s="43">
        <v>5.1829999999999998</v>
      </c>
      <c r="D58" s="43">
        <v>699</v>
      </c>
      <c r="E58" s="43">
        <v>32</v>
      </c>
      <c r="F58" s="43">
        <v>3553</v>
      </c>
      <c r="G58" s="43">
        <v>2071</v>
      </c>
      <c r="H58" s="43">
        <f t="shared" si="80"/>
        <v>2.4598170117565135E+22</v>
      </c>
      <c r="I58" s="43">
        <f t="shared" si="81"/>
        <v>6.3793955362121441E+22</v>
      </c>
      <c r="J58" s="42">
        <f t="shared" si="82"/>
        <v>65.429202047000004</v>
      </c>
      <c r="K58" s="42">
        <f t="shared" si="6"/>
        <v>22.230099502999998</v>
      </c>
      <c r="L58" s="42">
        <f t="shared" si="7"/>
        <v>64.686575609495875</v>
      </c>
      <c r="M58" s="79">
        <f t="shared" si="107"/>
        <v>61.493753929071303</v>
      </c>
      <c r="N58" s="79"/>
      <c r="O58" s="52" t="str">
        <f t="shared" si="83"/>
        <v>SF6</v>
      </c>
      <c r="P58" s="91">
        <v>26.96</v>
      </c>
      <c r="Q58" s="91"/>
      <c r="R58" s="43"/>
      <c r="S58" s="91"/>
      <c r="T58" s="91"/>
      <c r="U58" s="91"/>
      <c r="V58" s="91"/>
      <c r="W58" s="43"/>
      <c r="X58" s="43"/>
      <c r="Y58" s="43"/>
      <c r="Z58" s="43"/>
      <c r="AA58" s="43"/>
      <c r="AB58" s="43"/>
      <c r="AC58" s="43">
        <v>71.510000000000005</v>
      </c>
      <c r="AD58" s="43"/>
      <c r="AE58" s="91">
        <v>0.49</v>
      </c>
      <c r="AF58" s="91">
        <v>1.04</v>
      </c>
      <c r="AG58" s="91"/>
      <c r="AH58" s="91"/>
      <c r="AI58" s="87"/>
      <c r="AJ58" s="87"/>
      <c r="AK58" s="87"/>
      <c r="AL58" s="87"/>
      <c r="AM58" s="86">
        <f t="shared" si="108"/>
        <v>100</v>
      </c>
      <c r="AO58" s="71">
        <f t="shared" si="8"/>
        <v>0.78808079521587326</v>
      </c>
      <c r="AQ58" s="97" t="str">
        <f t="shared" si="9"/>
        <v>SF6</v>
      </c>
      <c r="AR58" s="73">
        <f t="shared" si="85"/>
        <v>56.94023032885228</v>
      </c>
      <c r="AS58" s="73">
        <f t="shared" si="86"/>
        <v>0</v>
      </c>
      <c r="AT58" s="73">
        <f t="shared" si="87"/>
        <v>0</v>
      </c>
      <c r="AU58" s="73">
        <f t="shared" si="88"/>
        <v>0</v>
      </c>
      <c r="AV58" s="73">
        <f t="shared" si="89"/>
        <v>0</v>
      </c>
      <c r="AW58" s="73">
        <f t="shared" si="90"/>
        <v>0</v>
      </c>
      <c r="AX58" s="73">
        <f t="shared" si="91"/>
        <v>0</v>
      </c>
      <c r="AY58" s="73">
        <f t="shared" si="92"/>
        <v>0</v>
      </c>
      <c r="AZ58" s="73">
        <f t="shared" si="93"/>
        <v>0</v>
      </c>
      <c r="BA58" s="73">
        <f t="shared" si="94"/>
        <v>0</v>
      </c>
      <c r="BB58" s="73">
        <f t="shared" si="95"/>
        <v>0</v>
      </c>
      <c r="BC58" s="73">
        <f t="shared" si="96"/>
        <v>0</v>
      </c>
      <c r="BD58" s="73">
        <f t="shared" si="97"/>
        <v>0</v>
      </c>
      <c r="BE58" s="73">
        <f t="shared" si="98"/>
        <v>40.655686755466107</v>
      </c>
      <c r="BF58" s="73">
        <f t="shared" si="99"/>
        <v>0</v>
      </c>
      <c r="BG58" s="73">
        <f t="shared" si="100"/>
        <v>1.0031682163536217</v>
      </c>
      <c r="BH58" s="73">
        <f t="shared" si="101"/>
        <v>1.4009146993279902</v>
      </c>
      <c r="BI58" s="73">
        <f t="shared" si="102"/>
        <v>0</v>
      </c>
      <c r="BJ58" s="73">
        <f t="shared" si="103"/>
        <v>0</v>
      </c>
      <c r="BK58" s="73">
        <f t="shared" si="104"/>
        <v>0</v>
      </c>
      <c r="BL58" s="73">
        <f t="shared" si="105"/>
        <v>0</v>
      </c>
      <c r="BM58" s="73">
        <f t="shared" si="31"/>
        <v>0</v>
      </c>
      <c r="BN58" s="73">
        <f t="shared" si="106"/>
        <v>0</v>
      </c>
      <c r="BQ58">
        <f t="shared" si="84"/>
        <v>34.209690381574447</v>
      </c>
      <c r="BR58">
        <f t="shared" si="33"/>
        <v>0</v>
      </c>
      <c r="BS58">
        <f t="shared" si="34"/>
        <v>0</v>
      </c>
      <c r="BT58">
        <f t="shared" si="35"/>
        <v>0</v>
      </c>
      <c r="BU58">
        <f t="shared" si="36"/>
        <v>0</v>
      </c>
      <c r="BV58">
        <f t="shared" si="37"/>
        <v>0</v>
      </c>
      <c r="BW58">
        <f t="shared" si="38"/>
        <v>0</v>
      </c>
      <c r="BX58">
        <f t="shared" si="39"/>
        <v>0</v>
      </c>
      <c r="BY58">
        <f t="shared" si="40"/>
        <v>0</v>
      </c>
      <c r="BZ58">
        <f t="shared" si="41"/>
        <v>0</v>
      </c>
      <c r="CA58">
        <f t="shared" si="42"/>
        <v>0</v>
      </c>
      <c r="CB58">
        <f t="shared" si="43"/>
        <v>0</v>
      </c>
      <c r="CC58">
        <f t="shared" si="44"/>
        <v>0</v>
      </c>
      <c r="CD58">
        <f t="shared" si="45"/>
        <v>90.739427269524811</v>
      </c>
      <c r="CE58">
        <f t="shared" si="46"/>
        <v>0</v>
      </c>
      <c r="CF58">
        <f t="shared" si="47"/>
        <v>0.62176366049597476</v>
      </c>
      <c r="CG58">
        <f t="shared" si="48"/>
        <v>1.3196616467669666</v>
      </c>
      <c r="CH58">
        <f t="shared" si="49"/>
        <v>0</v>
      </c>
      <c r="CI58">
        <f t="shared" si="50"/>
        <v>0</v>
      </c>
      <c r="CJ58">
        <f t="shared" si="51"/>
        <v>0</v>
      </c>
      <c r="CK58">
        <f t="shared" si="52"/>
        <v>0</v>
      </c>
      <c r="CL58">
        <f t="shared" si="53"/>
        <v>0</v>
      </c>
      <c r="CN58">
        <f t="shared" si="78"/>
        <v>126.89054295836219</v>
      </c>
      <c r="CP58">
        <f t="shared" si="54"/>
        <v>1.7082069098655683</v>
      </c>
      <c r="CQ58">
        <f t="shared" si="55"/>
        <v>0</v>
      </c>
      <c r="CR58">
        <f t="shared" si="56"/>
        <v>0</v>
      </c>
      <c r="CS58">
        <f t="shared" si="57"/>
        <v>0</v>
      </c>
      <c r="CT58">
        <f t="shared" si="58"/>
        <v>0</v>
      </c>
      <c r="CU58">
        <f t="shared" si="59"/>
        <v>0</v>
      </c>
      <c r="CV58">
        <f t="shared" si="60"/>
        <v>0</v>
      </c>
      <c r="CW58">
        <f t="shared" si="61"/>
        <v>0</v>
      </c>
      <c r="CX58">
        <f t="shared" si="62"/>
        <v>0</v>
      </c>
      <c r="CY58">
        <f t="shared" si="63"/>
        <v>0</v>
      </c>
      <c r="CZ58">
        <f t="shared" si="64"/>
        <v>0</v>
      </c>
      <c r="DA58">
        <f t="shared" si="65"/>
        <v>0</v>
      </c>
      <c r="DB58">
        <f t="shared" si="66"/>
        <v>0</v>
      </c>
      <c r="DC58">
        <f t="shared" si="67"/>
        <v>0.81311373510932217</v>
      </c>
      <c r="DD58">
        <f t="shared" si="68"/>
        <v>0</v>
      </c>
      <c r="DE58">
        <f t="shared" si="69"/>
        <v>3.0095046490608651E-2</v>
      </c>
      <c r="DF58">
        <f t="shared" si="70"/>
        <v>4.2027440979839702E-2</v>
      </c>
      <c r="DG58">
        <f t="shared" si="71"/>
        <v>0</v>
      </c>
      <c r="DH58">
        <f t="shared" si="72"/>
        <v>0</v>
      </c>
      <c r="DI58">
        <f t="shared" si="73"/>
        <v>0</v>
      </c>
      <c r="DJ58">
        <f t="shared" si="74"/>
        <v>0</v>
      </c>
      <c r="DK58">
        <f t="shared" si="75"/>
        <v>0</v>
      </c>
      <c r="DM58">
        <f t="shared" si="76"/>
        <v>2.5934431324453389</v>
      </c>
    </row>
    <row r="59" spans="2:117">
      <c r="B59" s="45" t="s">
        <v>159</v>
      </c>
      <c r="C59" s="43">
        <v>2.2149999999999999</v>
      </c>
      <c r="D59" s="43">
        <v>798</v>
      </c>
      <c r="E59" s="43">
        <v>23.3</v>
      </c>
      <c r="F59" s="43">
        <v>5560</v>
      </c>
      <c r="G59" s="43">
        <v>3413</v>
      </c>
      <c r="H59" s="43">
        <f t="shared" si="80"/>
        <v>2.121420284715321E+22</v>
      </c>
      <c r="I59" s="43">
        <f t="shared" si="81"/>
        <v>7.0004547571519387E+22</v>
      </c>
      <c r="J59" s="42">
        <f t="shared" si="82"/>
        <v>68.473624000000001</v>
      </c>
      <c r="K59" s="42">
        <f t="shared" si="6"/>
        <v>25.801580334999997</v>
      </c>
      <c r="L59" s="42">
        <f t="shared" si="7"/>
        <v>75.676670296143556</v>
      </c>
      <c r="M59" s="79">
        <f t="shared" si="107"/>
        <v>71.702292197595824</v>
      </c>
      <c r="N59" s="79"/>
      <c r="O59" s="52" t="str">
        <f t="shared" si="83"/>
        <v>BF</v>
      </c>
      <c r="P59" s="91">
        <v>77.400000000000006</v>
      </c>
      <c r="Q59" s="91"/>
      <c r="R59" s="43"/>
      <c r="S59" s="91">
        <v>14.39</v>
      </c>
      <c r="T59" s="91">
        <v>3.24</v>
      </c>
      <c r="U59" s="91"/>
      <c r="V59" s="91"/>
      <c r="W59" s="43"/>
      <c r="X59" s="43"/>
      <c r="Y59" s="43"/>
      <c r="Z59" s="43"/>
      <c r="AA59" s="43"/>
      <c r="AB59" s="43"/>
      <c r="AC59" s="43"/>
      <c r="AD59" s="43"/>
      <c r="AE59" s="91">
        <v>1.97</v>
      </c>
      <c r="AF59" s="91">
        <v>3</v>
      </c>
      <c r="AG59" s="91"/>
      <c r="AH59" s="91"/>
      <c r="AI59" s="87"/>
      <c r="AJ59" s="87"/>
      <c r="AK59" s="87"/>
      <c r="AL59" s="87"/>
      <c r="AM59" s="86">
        <f t="shared" si="108"/>
        <v>100</v>
      </c>
      <c r="AO59" s="71">
        <f t="shared" si="8"/>
        <v>1.5903845170353161</v>
      </c>
      <c r="AQ59" s="97" t="str">
        <f t="shared" si="9"/>
        <v>BF</v>
      </c>
      <c r="AR59" s="73">
        <f t="shared" si="85"/>
        <v>81.004453733060316</v>
      </c>
      <c r="AS59" s="73">
        <f t="shared" si="86"/>
        <v>0</v>
      </c>
      <c r="AT59" s="73">
        <f t="shared" si="87"/>
        <v>0</v>
      </c>
      <c r="AU59" s="73">
        <f t="shared" si="88"/>
        <v>12.996446876298904</v>
      </c>
      <c r="AV59" s="73">
        <f t="shared" si="89"/>
        <v>1.998080789663998</v>
      </c>
      <c r="AW59" s="73">
        <f t="shared" si="90"/>
        <v>0</v>
      </c>
      <c r="AX59" s="73">
        <f t="shared" si="91"/>
        <v>0</v>
      </c>
      <c r="AY59" s="73">
        <f t="shared" si="92"/>
        <v>0</v>
      </c>
      <c r="AZ59" s="73">
        <f t="shared" si="93"/>
        <v>0</v>
      </c>
      <c r="BA59" s="73">
        <f t="shared" si="94"/>
        <v>0</v>
      </c>
      <c r="BB59" s="73">
        <f t="shared" si="95"/>
        <v>0</v>
      </c>
      <c r="BC59" s="73">
        <f t="shared" si="96"/>
        <v>0</v>
      </c>
      <c r="BD59" s="73">
        <f t="shared" si="97"/>
        <v>0</v>
      </c>
      <c r="BE59" s="73">
        <f t="shared" si="98"/>
        <v>0</v>
      </c>
      <c r="BF59" s="73">
        <f t="shared" si="99"/>
        <v>0</v>
      </c>
      <c r="BG59" s="73">
        <f t="shared" si="100"/>
        <v>1.9985384826888515</v>
      </c>
      <c r="BH59" s="73">
        <f t="shared" si="101"/>
        <v>2.0024801182879335</v>
      </c>
      <c r="BI59" s="73">
        <f t="shared" si="102"/>
        <v>0</v>
      </c>
      <c r="BJ59" s="73">
        <f t="shared" si="103"/>
        <v>0</v>
      </c>
      <c r="BK59" s="73">
        <f t="shared" si="104"/>
        <v>0</v>
      </c>
      <c r="BL59" s="73">
        <f t="shared" si="105"/>
        <v>0</v>
      </c>
      <c r="BM59" s="73">
        <f t="shared" si="31"/>
        <v>0</v>
      </c>
      <c r="BN59" s="73">
        <f t="shared" si="106"/>
        <v>0</v>
      </c>
      <c r="BQ59">
        <f t="shared" si="84"/>
        <v>48.667475802822636</v>
      </c>
      <c r="BR59">
        <f t="shared" si="33"/>
        <v>0</v>
      </c>
      <c r="BS59">
        <f t="shared" si="34"/>
        <v>0</v>
      </c>
      <c r="BT59">
        <f t="shared" si="35"/>
        <v>9.0481263152792977</v>
      </c>
      <c r="BU59">
        <f t="shared" si="36"/>
        <v>2.0372431731414125</v>
      </c>
      <c r="BV59">
        <f t="shared" si="37"/>
        <v>0</v>
      </c>
      <c r="BW59">
        <f t="shared" si="38"/>
        <v>0</v>
      </c>
      <c r="BX59">
        <f t="shared" si="39"/>
        <v>0</v>
      </c>
      <c r="BY59">
        <f t="shared" si="40"/>
        <v>0</v>
      </c>
      <c r="BZ59">
        <f t="shared" si="41"/>
        <v>0</v>
      </c>
      <c r="CA59">
        <f t="shared" si="42"/>
        <v>0</v>
      </c>
      <c r="CB59">
        <f t="shared" si="43"/>
        <v>0</v>
      </c>
      <c r="CC59">
        <f t="shared" si="44"/>
        <v>0</v>
      </c>
      <c r="CD59">
        <f t="shared" si="45"/>
        <v>0</v>
      </c>
      <c r="CE59">
        <f t="shared" si="46"/>
        <v>0</v>
      </c>
      <c r="CF59">
        <f t="shared" si="47"/>
        <v>1.2386941515705501</v>
      </c>
      <c r="CG59">
        <f t="shared" si="48"/>
        <v>1.8863362714272334</v>
      </c>
      <c r="CH59">
        <f t="shared" si="49"/>
        <v>0</v>
      </c>
      <c r="CI59">
        <f t="shared" si="50"/>
        <v>0</v>
      </c>
      <c r="CJ59">
        <f t="shared" si="51"/>
        <v>0</v>
      </c>
      <c r="CK59">
        <f t="shared" si="52"/>
        <v>0</v>
      </c>
      <c r="CL59">
        <f t="shared" si="53"/>
        <v>0</v>
      </c>
      <c r="CN59">
        <f t="shared" si="78"/>
        <v>62.877875714241128</v>
      </c>
      <c r="CP59">
        <f t="shared" si="54"/>
        <v>2.4301336119918093</v>
      </c>
      <c r="CQ59">
        <f t="shared" si="55"/>
        <v>0</v>
      </c>
      <c r="CR59">
        <f t="shared" si="56"/>
        <v>0</v>
      </c>
      <c r="CS59">
        <f t="shared" si="57"/>
        <v>0.64982234381494519</v>
      </c>
      <c r="CT59">
        <f t="shared" si="58"/>
        <v>9.9904039483199897E-2</v>
      </c>
      <c r="CU59">
        <f t="shared" si="59"/>
        <v>0</v>
      </c>
      <c r="CV59">
        <f t="shared" si="60"/>
        <v>0</v>
      </c>
      <c r="CW59">
        <f t="shared" si="61"/>
        <v>0</v>
      </c>
      <c r="CX59">
        <f t="shared" si="62"/>
        <v>0</v>
      </c>
      <c r="CY59">
        <f t="shared" si="63"/>
        <v>0</v>
      </c>
      <c r="CZ59">
        <f t="shared" si="64"/>
        <v>0</v>
      </c>
      <c r="DA59">
        <f t="shared" si="65"/>
        <v>0</v>
      </c>
      <c r="DB59">
        <f t="shared" si="66"/>
        <v>0</v>
      </c>
      <c r="DC59">
        <f t="shared" si="67"/>
        <v>0</v>
      </c>
      <c r="DD59">
        <f t="shared" si="68"/>
        <v>0</v>
      </c>
      <c r="DE59">
        <f t="shared" si="69"/>
        <v>5.9956154480665547E-2</v>
      </c>
      <c r="DF59">
        <f t="shared" si="70"/>
        <v>6.0074403548638008E-2</v>
      </c>
      <c r="DG59">
        <f t="shared" si="71"/>
        <v>0</v>
      </c>
      <c r="DH59">
        <f t="shared" si="72"/>
        <v>0</v>
      </c>
      <c r="DI59">
        <f t="shared" si="73"/>
        <v>0</v>
      </c>
      <c r="DJ59">
        <f t="shared" si="74"/>
        <v>0</v>
      </c>
      <c r="DK59">
        <f t="shared" si="75"/>
        <v>0</v>
      </c>
      <c r="DM59">
        <f t="shared" si="76"/>
        <v>3.299890553319258</v>
      </c>
    </row>
    <row r="60" spans="2:117">
      <c r="B60" s="45" t="s">
        <v>160</v>
      </c>
      <c r="C60" s="43">
        <v>2.4990000000000001</v>
      </c>
      <c r="D60" s="43">
        <v>830</v>
      </c>
      <c r="E60" s="43">
        <v>35</v>
      </c>
      <c r="F60" s="43">
        <v>6134</v>
      </c>
      <c r="G60" s="43">
        <v>3733</v>
      </c>
      <c r="H60" s="43">
        <f t="shared" si="80"/>
        <v>2.3423962435667678E+22</v>
      </c>
      <c r="I60" s="43">
        <f t="shared" si="81"/>
        <v>7.4396616275789697E+22</v>
      </c>
      <c r="J60" s="42">
        <f t="shared" si="82"/>
        <v>94.027264044000006</v>
      </c>
      <c r="K60" s="42">
        <f t="shared" si="6"/>
        <v>34.824287211000005</v>
      </c>
      <c r="L60" s="42">
        <f t="shared" si="7"/>
        <v>102.56478768454232</v>
      </c>
      <c r="M60" s="79">
        <f t="shared" si="107"/>
        <v>98.412642414991396</v>
      </c>
      <c r="N60" s="79"/>
      <c r="O60" s="52" t="str">
        <f t="shared" si="83"/>
        <v>BK7</v>
      </c>
      <c r="P60" s="91">
        <v>69.569999999999993</v>
      </c>
      <c r="Q60" s="91"/>
      <c r="R60" s="43"/>
      <c r="S60" s="91">
        <v>10.19</v>
      </c>
      <c r="T60" s="91"/>
      <c r="U60" s="91"/>
      <c r="V60" s="91"/>
      <c r="W60" s="43"/>
      <c r="X60" s="43"/>
      <c r="Y60" s="43"/>
      <c r="Z60" s="43"/>
      <c r="AA60" s="43"/>
      <c r="AB60" s="91">
        <v>2.86</v>
      </c>
      <c r="AC60" s="43"/>
      <c r="AD60" s="43"/>
      <c r="AE60" s="91">
        <v>8.8800000000000008</v>
      </c>
      <c r="AF60" s="91">
        <v>8.5</v>
      </c>
      <c r="AG60" s="91"/>
      <c r="AH60" s="91"/>
      <c r="AI60" s="87"/>
      <c r="AJ60" s="87"/>
      <c r="AK60" s="87"/>
      <c r="AL60" s="87"/>
      <c r="AM60" s="86">
        <f t="shared" si="108"/>
        <v>99.999999999999986</v>
      </c>
      <c r="AO60" s="71">
        <f t="shared" si="8"/>
        <v>1.5564789772390324</v>
      </c>
      <c r="AQ60" s="97" t="str">
        <f t="shared" si="9"/>
        <v>BK7</v>
      </c>
      <c r="AR60" s="73">
        <f t="shared" si="85"/>
        <v>74.395868850255482</v>
      </c>
      <c r="AS60" s="73">
        <f t="shared" si="86"/>
        <v>0</v>
      </c>
      <c r="AT60" s="73">
        <f t="shared" si="87"/>
        <v>0</v>
      </c>
      <c r="AU60" s="73">
        <f t="shared" si="88"/>
        <v>9.4036597297985018</v>
      </c>
      <c r="AV60" s="73">
        <f t="shared" si="89"/>
        <v>0</v>
      </c>
      <c r="AW60" s="73">
        <f t="shared" si="90"/>
        <v>0</v>
      </c>
      <c r="AX60" s="73">
        <f t="shared" si="91"/>
        <v>0</v>
      </c>
      <c r="AY60" s="73">
        <f t="shared" si="92"/>
        <v>0</v>
      </c>
      <c r="AZ60" s="73">
        <f t="shared" si="93"/>
        <v>0</v>
      </c>
      <c r="BA60" s="73">
        <f t="shared" si="94"/>
        <v>0</v>
      </c>
      <c r="BB60" s="73">
        <f t="shared" si="95"/>
        <v>0</v>
      </c>
      <c r="BC60" s="73">
        <f t="shared" si="96"/>
        <v>0</v>
      </c>
      <c r="BD60" s="73">
        <f t="shared" si="97"/>
        <v>1.1983048442647704</v>
      </c>
      <c r="BE60" s="73">
        <f t="shared" si="98"/>
        <v>0</v>
      </c>
      <c r="BF60" s="73">
        <f t="shared" si="99"/>
        <v>0</v>
      </c>
      <c r="BG60" s="73">
        <f t="shared" si="100"/>
        <v>9.2048800740916423</v>
      </c>
      <c r="BH60" s="73">
        <f t="shared" si="101"/>
        <v>5.797286501589606</v>
      </c>
      <c r="BI60" s="73">
        <f t="shared" si="102"/>
        <v>0</v>
      </c>
      <c r="BJ60" s="73">
        <f t="shared" si="103"/>
        <v>0</v>
      </c>
      <c r="BK60" s="73">
        <f t="shared" si="104"/>
        <v>0</v>
      </c>
      <c r="BL60" s="73">
        <f t="shared" si="105"/>
        <v>0</v>
      </c>
      <c r="BM60" s="73">
        <f t="shared" si="31"/>
        <v>0</v>
      </c>
      <c r="BN60" s="73">
        <f t="shared" si="106"/>
        <v>0</v>
      </c>
      <c r="BQ60">
        <f t="shared" si="84"/>
        <v>44.697038005233495</v>
      </c>
      <c r="BR60">
        <f t="shared" si="33"/>
        <v>0</v>
      </c>
      <c r="BS60">
        <f t="shared" si="34"/>
        <v>0</v>
      </c>
      <c r="BT60">
        <f t="shared" si="35"/>
        <v>6.5468279038857178</v>
      </c>
      <c r="BU60">
        <f t="shared" si="36"/>
        <v>0</v>
      </c>
      <c r="BV60">
        <f t="shared" si="37"/>
        <v>0</v>
      </c>
      <c r="BW60">
        <f t="shared" si="38"/>
        <v>0</v>
      </c>
      <c r="BX60">
        <f t="shared" si="39"/>
        <v>0</v>
      </c>
      <c r="BY60">
        <f t="shared" si="40"/>
        <v>0</v>
      </c>
      <c r="BZ60">
        <f t="shared" si="41"/>
        <v>0</v>
      </c>
      <c r="CA60">
        <f t="shared" si="42"/>
        <v>0</v>
      </c>
      <c r="CB60">
        <f t="shared" si="43"/>
        <v>0</v>
      </c>
      <c r="CC60">
        <f t="shared" si="44"/>
        <v>1.8374806481955988</v>
      </c>
      <c r="CD60">
        <f t="shared" si="45"/>
        <v>0</v>
      </c>
      <c r="CE60">
        <f t="shared" si="46"/>
        <v>0</v>
      </c>
      <c r="CF60">
        <f t="shared" si="47"/>
        <v>5.7051846699219997</v>
      </c>
      <c r="CG60">
        <f t="shared" si="48"/>
        <v>5.4610438844974087</v>
      </c>
      <c r="CH60">
        <f t="shared" si="49"/>
        <v>0</v>
      </c>
      <c r="CI60">
        <f t="shared" si="50"/>
        <v>0</v>
      </c>
      <c r="CJ60">
        <f t="shared" si="51"/>
        <v>0</v>
      </c>
      <c r="CK60">
        <f t="shared" si="52"/>
        <v>0</v>
      </c>
      <c r="CL60">
        <f t="shared" si="53"/>
        <v>0</v>
      </c>
      <c r="CN60">
        <f t="shared" si="78"/>
        <v>64.247575111734221</v>
      </c>
      <c r="CP60">
        <f t="shared" si="54"/>
        <v>2.2318760655076648</v>
      </c>
      <c r="CQ60">
        <f t="shared" si="55"/>
        <v>0</v>
      </c>
      <c r="CR60">
        <f t="shared" si="56"/>
        <v>0</v>
      </c>
      <c r="CS60">
        <f t="shared" si="57"/>
        <v>0.47018298648992513</v>
      </c>
      <c r="CT60">
        <f t="shared" si="58"/>
        <v>0</v>
      </c>
      <c r="CU60">
        <f t="shared" si="59"/>
        <v>0</v>
      </c>
      <c r="CV60">
        <f t="shared" si="60"/>
        <v>0</v>
      </c>
      <c r="CW60">
        <f t="shared" si="61"/>
        <v>0</v>
      </c>
      <c r="CX60">
        <f t="shared" si="62"/>
        <v>0</v>
      </c>
      <c r="CY60">
        <f t="shared" si="63"/>
        <v>0</v>
      </c>
      <c r="CZ60">
        <f t="shared" si="64"/>
        <v>0</v>
      </c>
      <c r="DA60">
        <f t="shared" si="65"/>
        <v>0</v>
      </c>
      <c r="DB60">
        <f t="shared" si="66"/>
        <v>2.3966096885295406E-2</v>
      </c>
      <c r="DC60">
        <f t="shared" si="67"/>
        <v>0</v>
      </c>
      <c r="DD60">
        <f t="shared" si="68"/>
        <v>0</v>
      </c>
      <c r="DE60">
        <f t="shared" si="69"/>
        <v>0.27614640222274928</v>
      </c>
      <c r="DF60">
        <f t="shared" si="70"/>
        <v>0.1739185950476882</v>
      </c>
      <c r="DG60">
        <f t="shared" si="71"/>
        <v>0</v>
      </c>
      <c r="DH60">
        <f t="shared" si="72"/>
        <v>0</v>
      </c>
      <c r="DI60">
        <f t="shared" si="73"/>
        <v>0</v>
      </c>
      <c r="DJ60">
        <f t="shared" si="74"/>
        <v>0</v>
      </c>
      <c r="DK60">
        <f t="shared" si="75"/>
        <v>0</v>
      </c>
      <c r="DM60">
        <f t="shared" si="76"/>
        <v>3.1760901461533226</v>
      </c>
    </row>
    <row r="61" spans="2:117">
      <c r="B61" s="93" t="s">
        <v>203</v>
      </c>
      <c r="C61" s="92">
        <v>2.6989999999999998</v>
      </c>
      <c r="D61" s="43"/>
      <c r="E61" s="43"/>
      <c r="F61" s="92">
        <v>6695</v>
      </c>
      <c r="G61" s="92">
        <v>3777</v>
      </c>
      <c r="H61" s="43">
        <f t="shared" ref="H61:H80" si="109">($C$2*C61)/CN61</f>
        <v>2.3370244137624579E+22</v>
      </c>
      <c r="I61" s="43">
        <f t="shared" ref="I61:I80" si="110">($C$2/CN61)*C61*DM61</f>
        <v>7.5853480154382763E+22</v>
      </c>
      <c r="J61" s="42">
        <f t="shared" si="82"/>
        <v>120.977344475</v>
      </c>
      <c r="K61" s="42">
        <f t="shared" si="6"/>
        <v>38.503202570999996</v>
      </c>
      <c r="L61" s="42">
        <f t="shared" si="7"/>
        <v>113.60590956529632</v>
      </c>
      <c r="M61" s="79">
        <f t="shared" si="107"/>
        <v>109.33071485322154</v>
      </c>
      <c r="N61" s="79"/>
      <c r="O61" s="52" t="str">
        <f t="shared" si="83"/>
        <v>P0</v>
      </c>
      <c r="P61" s="94">
        <v>42.62</v>
      </c>
      <c r="Q61" s="91"/>
      <c r="R61" s="43"/>
      <c r="S61" s="91"/>
      <c r="T61" s="94">
        <v>36.65</v>
      </c>
      <c r="U61" s="91"/>
      <c r="V61" s="91"/>
      <c r="W61" s="43"/>
      <c r="X61" s="43"/>
      <c r="Y61" s="94">
        <v>0</v>
      </c>
      <c r="Z61" s="94">
        <v>20.54</v>
      </c>
      <c r="AA61" s="43"/>
      <c r="AB61" s="91"/>
      <c r="AC61" s="43"/>
      <c r="AD61" s="43"/>
      <c r="AE61" s="91"/>
      <c r="AF61" s="91"/>
      <c r="AG61" s="91"/>
      <c r="AH61" s="91"/>
      <c r="AI61" s="87"/>
      <c r="AJ61" s="87"/>
      <c r="AK61" s="87"/>
      <c r="AL61" s="87"/>
      <c r="AM61" s="86">
        <f t="shared" si="108"/>
        <v>99.81</v>
      </c>
      <c r="AO61" s="71">
        <f t="shared" si="8"/>
        <v>1.4351046536368424</v>
      </c>
      <c r="AQ61" s="97" t="str">
        <f t="shared" si="9"/>
        <v>P0</v>
      </c>
      <c r="AR61" s="73">
        <f t="shared" si="85"/>
        <v>49.431062853694762</v>
      </c>
      <c r="AS61" s="73">
        <f t="shared" ref="AS61:AS85" si="111">100*Q61/$AS$3/$AO61</f>
        <v>0</v>
      </c>
      <c r="AT61" s="73">
        <f t="shared" ref="AT61:AT85" si="112">100*R61/$AT$3/$AO61</f>
        <v>0</v>
      </c>
      <c r="AU61" s="73">
        <f t="shared" ref="AU61:AU85" si="113">100*S61/$AU$3/$AO61</f>
        <v>0</v>
      </c>
      <c r="AV61" s="73">
        <f t="shared" ref="AV61:AV85" si="114">100*T61/$AV$3/$AO61</f>
        <v>25.047280503345551</v>
      </c>
      <c r="AW61" s="73">
        <f t="shared" ref="AW61:AW85" si="115">100*U61/$AW$3/$AO61</f>
        <v>0</v>
      </c>
      <c r="AX61" s="73">
        <f t="shared" ref="AX61:AX85" si="116">100*V61/$AX$3/$AO61</f>
        <v>0</v>
      </c>
      <c r="AY61" s="73">
        <f t="shared" ref="AY61:AY85" si="117">100*W61/$AY$3/$AO61</f>
        <v>0</v>
      </c>
      <c r="AZ61" s="73">
        <f t="shared" ref="AZ61:AZ85" si="118">100*X61/$AZ$3/$AO61</f>
        <v>0</v>
      </c>
      <c r="BA61" s="73">
        <f t="shared" ref="BA61:BA85" si="119">100*Y61/$BA$3/$AO61</f>
        <v>0</v>
      </c>
      <c r="BB61" s="73">
        <f t="shared" ref="BB61:BB85" si="120">100*Z61/$BB$3/$AO61</f>
        <v>25.521656642959702</v>
      </c>
      <c r="BC61" s="73">
        <f t="shared" ref="BC61:BC85" si="121">100*AA61/$BC$3/$AO61</f>
        <v>0</v>
      </c>
      <c r="BD61" s="73">
        <f t="shared" ref="BD61:BD85" si="122">100*AB61/$BD$3/$AO61</f>
        <v>0</v>
      </c>
      <c r="BE61" s="73">
        <f t="shared" ref="BE61:BE80" si="123">100*AC61/$BE$3/$AO61</f>
        <v>0</v>
      </c>
      <c r="BF61" s="73">
        <f t="shared" ref="BF61:BF85" si="124">100*AD61/$BF$3/$AO61</f>
        <v>0</v>
      </c>
      <c r="BG61" s="73">
        <f t="shared" ref="BG61:BG85" si="125">100*AE61/$BG$3/$AO61</f>
        <v>0</v>
      </c>
      <c r="BH61" s="73">
        <f t="shared" ref="BH61:BH85" si="126">100*AF61/$BH$3/$AO61</f>
        <v>0</v>
      </c>
      <c r="BI61" s="73">
        <f t="shared" ref="BI61:BI85" si="127">100*AG61/$BI$3/$AO61</f>
        <v>0</v>
      </c>
      <c r="BJ61" s="73">
        <f t="shared" ref="BJ61:BJ85" si="128">100*AH61/$BJ$3/$AO61</f>
        <v>0</v>
      </c>
      <c r="BK61" s="73">
        <f t="shared" ref="BK61:BK85" si="129">100*AI61/$BK$3/$AO61</f>
        <v>0</v>
      </c>
      <c r="BL61" s="73">
        <f t="shared" ref="BL61:BL85" si="130">100*AJ61/$BL$3/$AO61</f>
        <v>0</v>
      </c>
      <c r="BM61" s="73">
        <f t="shared" si="31"/>
        <v>0</v>
      </c>
      <c r="BN61" s="73">
        <f t="shared" ref="BN61:BN85" si="131">100*AL61/$BN$3/$AO61</f>
        <v>0</v>
      </c>
      <c r="BQ61">
        <f t="shared" ref="BQ61:BQ80" si="132">(AR61/100)*$AR$3</f>
        <v>29.698182562499813</v>
      </c>
      <c r="BR61">
        <f t="shared" ref="BR61:BR80" si="133">(AS61/100)*$AS$3</f>
        <v>0</v>
      </c>
      <c r="BS61">
        <f t="shared" ref="BS61:BS80" si="134">(AT61/100)*$AT$3</f>
        <v>0</v>
      </c>
      <c r="BT61">
        <f t="shared" ref="BT61:BT80" si="135">(AU61/100)*$AU$3</f>
        <v>0</v>
      </c>
      <c r="BU61">
        <f t="shared" ref="BU61:BU80" si="136">(AV61/100)*$AV$3</f>
        <v>25.538207201211119</v>
      </c>
      <c r="BV61">
        <f t="shared" ref="BV61:BV80" si="137">(AW61/100)*$AW$3</f>
        <v>0</v>
      </c>
      <c r="BW61">
        <f t="shared" ref="BW61:BW80" si="138">(AX61/100)*$AX$3</f>
        <v>0</v>
      </c>
      <c r="BX61">
        <f t="shared" ref="BX61:BX80" si="139">(AY61/100)*$AY$3</f>
        <v>0</v>
      </c>
      <c r="BY61">
        <f t="shared" ref="BY61:BY80" si="140">(AZ61/100)*$AZ$3</f>
        <v>0</v>
      </c>
      <c r="BZ61">
        <f t="shared" ref="BZ61:BZ80" si="141">(BA61/100)*$BA$3</f>
        <v>0</v>
      </c>
      <c r="CA61">
        <f t="shared" ref="CA61:CA80" si="142">(BB61/100)*$BB$3</f>
        <v>14.312545045371799</v>
      </c>
      <c r="CB61">
        <f t="shared" ref="CB61:CB80" si="143">(BC61/100)*$BC$3</f>
        <v>0</v>
      </c>
      <c r="CC61">
        <f t="shared" ref="CC61:CC80" si="144">(BD61/100)*$BD$3</f>
        <v>0</v>
      </c>
      <c r="CD61">
        <f t="shared" ref="CD61:CD80" si="145">(BE61/100)*$BE$3</f>
        <v>0</v>
      </c>
      <c r="CE61">
        <f t="shared" ref="CE61:CE80" si="146">(BF61/100)*$BF$3</f>
        <v>0</v>
      </c>
      <c r="CF61">
        <f t="shared" ref="CF61:CF80" si="147">(BG61/100)*$BG$3</f>
        <v>0</v>
      </c>
      <c r="CG61">
        <f t="shared" ref="CG61:CG80" si="148">(BH61/100)*$BH$3</f>
        <v>0</v>
      </c>
      <c r="CH61">
        <f t="shared" ref="CH61:CH80" si="149">(BI61/100)*$BI$3</f>
        <v>0</v>
      </c>
      <c r="CI61">
        <f t="shared" ref="CI61:CI80" si="150">(BJ61/100)*$BJ$3</f>
        <v>0</v>
      </c>
      <c r="CJ61">
        <f t="shared" ref="CJ61:CJ80" si="151">(BK61/100)*$BK$3</f>
        <v>0</v>
      </c>
      <c r="CK61">
        <f t="shared" ref="CK61:CK80" si="152">(BL61/100)*$BL$3</f>
        <v>0</v>
      </c>
      <c r="CL61">
        <f t="shared" ref="CL61:CL80" si="153">(BN61/100)*$BN$3</f>
        <v>0</v>
      </c>
      <c r="CN61">
        <f t="shared" ref="CN61:CN80" si="154">SUM(BQ61:CL61)</f>
        <v>69.548934809082738</v>
      </c>
      <c r="CP61">
        <f t="shared" ref="CP61:CP80" si="155">(AR61/100)*$BQ$3</f>
        <v>1.4829318856108429</v>
      </c>
      <c r="CQ61">
        <f t="shared" ref="CQ61:CQ80" si="156">(AS61/100)*$BR$3</f>
        <v>0</v>
      </c>
      <c r="CR61">
        <f t="shared" ref="CR61:CR80" si="157">(AT61/100)*$BS$3</f>
        <v>0</v>
      </c>
      <c r="CS61">
        <f t="shared" ref="CS61:CS80" si="158">(AU61/100)*$BT$3</f>
        <v>0</v>
      </c>
      <c r="CT61">
        <f t="shared" ref="CT61:CT80" si="159">(AV61/100)*$BU$3</f>
        <v>1.2523640251672774</v>
      </c>
      <c r="CU61">
        <f t="shared" ref="CU61:CU80" si="160">(AW61/100)*$BV$3</f>
        <v>0</v>
      </c>
      <c r="CV61">
        <f t="shared" ref="CV61:CV80" si="161">(AX61/100)*$BW$3</f>
        <v>0</v>
      </c>
      <c r="CW61">
        <f t="shared" ref="CW61:CW80" si="162">(AY61/100)*$BX$3</f>
        <v>0</v>
      </c>
      <c r="CX61">
        <f t="shared" ref="CX61:CX80" si="163">(AZ61/100)*$BY$3</f>
        <v>0</v>
      </c>
      <c r="CY61">
        <f t="shared" ref="CY61:CY80" si="164">(BA61/100)*$BZ$3</f>
        <v>0</v>
      </c>
      <c r="CZ61">
        <f t="shared" ref="CZ61:CZ80" si="165">(BB61/100)*$CA$3</f>
        <v>0.51043313285919401</v>
      </c>
      <c r="DA61">
        <f t="shared" ref="DA61:DA80" si="166">(BC61/100)*$CB$3</f>
        <v>0</v>
      </c>
      <c r="DB61">
        <f t="shared" ref="DB61:DB80" si="167">(BD61/100)*$CC$3</f>
        <v>0</v>
      </c>
      <c r="DC61">
        <f t="shared" ref="DC61:DC80" si="168">(BE61/100)*$CD$3</f>
        <v>0</v>
      </c>
      <c r="DD61">
        <f t="shared" ref="DD61:DD80" si="169">(BF61/100)*$CE$3</f>
        <v>0</v>
      </c>
      <c r="DE61">
        <f t="shared" ref="DE61:DE80" si="170">(BG61/100)*$CF$3</f>
        <v>0</v>
      </c>
      <c r="DF61">
        <f t="shared" ref="DF61:DF80" si="171">(BH61/100)*$CG$3</f>
        <v>0</v>
      </c>
      <c r="DG61">
        <f t="shared" ref="DG61:DG80" si="172">(BI61/100)*$CH$3</f>
        <v>0</v>
      </c>
      <c r="DH61">
        <f t="shared" ref="DH61:DH80" si="173">(BJ61/100)*$CI$3</f>
        <v>0</v>
      </c>
      <c r="DI61">
        <f t="shared" ref="DI61:DI80" si="174">(BK61/100)*$CJ$3</f>
        <v>0</v>
      </c>
      <c r="DJ61">
        <f t="shared" ref="DJ61:DJ80" si="175">(BL61/100)*$CK$3</f>
        <v>0</v>
      </c>
      <c r="DK61">
        <f t="shared" ref="DK61:DK80" si="176">(BN61/100)*$CL$3</f>
        <v>0</v>
      </c>
      <c r="DM61">
        <f t="shared" si="76"/>
        <v>3.2457290436373141</v>
      </c>
    </row>
    <row r="62" spans="2:117">
      <c r="B62" s="93" t="s">
        <v>204</v>
      </c>
      <c r="C62" s="92">
        <v>2.7269999999999999</v>
      </c>
      <c r="D62" s="43"/>
      <c r="E62" s="43"/>
      <c r="F62" s="92">
        <v>6676</v>
      </c>
      <c r="G62" s="92">
        <v>3754</v>
      </c>
      <c r="H62" s="43">
        <f t="shared" si="109"/>
        <v>2.4960531938885748E+22</v>
      </c>
      <c r="I62" s="43">
        <f t="shared" si="110"/>
        <v>7.6373365059423755E+22</v>
      </c>
      <c r="J62" s="42">
        <f t="shared" si="82"/>
        <v>121.539597552</v>
      </c>
      <c r="K62" s="42">
        <f t="shared" si="6"/>
        <v>38.430291132000001</v>
      </c>
      <c r="L62" s="42">
        <f t="shared" si="7"/>
        <v>113.25763312180744</v>
      </c>
      <c r="M62" s="79">
        <f t="shared" si="107"/>
        <v>109.06963160034022</v>
      </c>
      <c r="N62" s="79"/>
      <c r="O62" s="52" t="str">
        <f t="shared" si="83"/>
        <v>P02</v>
      </c>
      <c r="P62" s="94">
        <v>44.18</v>
      </c>
      <c r="Q62" s="91"/>
      <c r="R62" s="43"/>
      <c r="S62" s="91"/>
      <c r="T62" s="94">
        <v>29.27</v>
      </c>
      <c r="U62" s="91"/>
      <c r="V62" s="91"/>
      <c r="W62" s="43"/>
      <c r="X62" s="43"/>
      <c r="Y62" s="94">
        <v>3.78</v>
      </c>
      <c r="Z62" s="94">
        <v>21.89</v>
      </c>
      <c r="AA62" s="43"/>
      <c r="AB62" s="91"/>
      <c r="AC62" s="43"/>
      <c r="AD62" s="43"/>
      <c r="AE62" s="91"/>
      <c r="AF62" s="91"/>
      <c r="AG62" s="91"/>
      <c r="AH62" s="91"/>
      <c r="AI62" s="87"/>
      <c r="AJ62" s="87"/>
      <c r="AK62" s="87"/>
      <c r="AL62" s="87"/>
      <c r="AM62" s="86">
        <f t="shared" si="108"/>
        <v>99.12</v>
      </c>
      <c r="AO62" s="71">
        <f t="shared" si="8"/>
        <v>1.5065347175866146</v>
      </c>
      <c r="AQ62" s="97" t="str">
        <f t="shared" si="9"/>
        <v>P02</v>
      </c>
      <c r="AR62" s="73">
        <f t="shared" si="85"/>
        <v>48.810880643197436</v>
      </c>
      <c r="AS62" s="73">
        <f t="shared" si="111"/>
        <v>0</v>
      </c>
      <c r="AT62" s="73">
        <f t="shared" si="112"/>
        <v>0</v>
      </c>
      <c r="AU62" s="73">
        <f t="shared" si="113"/>
        <v>0</v>
      </c>
      <c r="AV62" s="73">
        <f t="shared" si="114"/>
        <v>19.05521052728616</v>
      </c>
      <c r="AW62" s="73">
        <f t="shared" si="115"/>
        <v>0</v>
      </c>
      <c r="AX62" s="73">
        <f t="shared" si="116"/>
        <v>0</v>
      </c>
      <c r="AY62" s="73">
        <f t="shared" si="117"/>
        <v>0</v>
      </c>
      <c r="AZ62" s="73">
        <f t="shared" si="118"/>
        <v>0</v>
      </c>
      <c r="BA62" s="73">
        <f t="shared" si="119"/>
        <v>6.2244338720904837</v>
      </c>
      <c r="BB62" s="73">
        <f t="shared" si="120"/>
        <v>25.909474957425932</v>
      </c>
      <c r="BC62" s="73">
        <f t="shared" si="121"/>
        <v>0</v>
      </c>
      <c r="BD62" s="73">
        <f t="shared" si="122"/>
        <v>0</v>
      </c>
      <c r="BE62" s="73">
        <f t="shared" si="123"/>
        <v>0</v>
      </c>
      <c r="BF62" s="73">
        <f t="shared" si="124"/>
        <v>0</v>
      </c>
      <c r="BG62" s="73">
        <f t="shared" si="125"/>
        <v>0</v>
      </c>
      <c r="BH62" s="73">
        <f t="shared" si="126"/>
        <v>0</v>
      </c>
      <c r="BI62" s="73">
        <f t="shared" si="127"/>
        <v>0</v>
      </c>
      <c r="BJ62" s="73">
        <f t="shared" si="128"/>
        <v>0</v>
      </c>
      <c r="BK62" s="73">
        <f t="shared" si="129"/>
        <v>0</v>
      </c>
      <c r="BL62" s="73">
        <f t="shared" si="130"/>
        <v>0</v>
      </c>
      <c r="BM62" s="73">
        <f t="shared" si="31"/>
        <v>0</v>
      </c>
      <c r="BN62" s="73">
        <f t="shared" si="131"/>
        <v>0</v>
      </c>
      <c r="BQ62">
        <f t="shared" si="132"/>
        <v>29.325577090433018</v>
      </c>
      <c r="BR62">
        <f t="shared" si="133"/>
        <v>0</v>
      </c>
      <c r="BS62">
        <f t="shared" si="134"/>
        <v>0</v>
      </c>
      <c r="BT62">
        <f t="shared" si="135"/>
        <v>0</v>
      </c>
      <c r="BU62">
        <f t="shared" si="136"/>
        <v>19.428692653620967</v>
      </c>
      <c r="BV62">
        <f t="shared" si="137"/>
        <v>0</v>
      </c>
      <c r="BW62">
        <f t="shared" si="138"/>
        <v>0</v>
      </c>
      <c r="BX62">
        <f t="shared" si="139"/>
        <v>0</v>
      </c>
      <c r="BY62">
        <f t="shared" si="140"/>
        <v>0</v>
      </c>
      <c r="BZ62">
        <f t="shared" si="141"/>
        <v>2.5090692938396741</v>
      </c>
      <c r="CA62">
        <f t="shared" si="142"/>
        <v>14.530033556124462</v>
      </c>
      <c r="CB62">
        <f t="shared" si="143"/>
        <v>0</v>
      </c>
      <c r="CC62">
        <f t="shared" si="144"/>
        <v>0</v>
      </c>
      <c r="CD62">
        <f t="shared" si="145"/>
        <v>0</v>
      </c>
      <c r="CE62">
        <f t="shared" si="146"/>
        <v>0</v>
      </c>
      <c r="CF62">
        <f t="shared" si="147"/>
        <v>0</v>
      </c>
      <c r="CG62">
        <f t="shared" si="148"/>
        <v>0</v>
      </c>
      <c r="CH62">
        <f t="shared" si="149"/>
        <v>0</v>
      </c>
      <c r="CI62">
        <f t="shared" si="150"/>
        <v>0</v>
      </c>
      <c r="CJ62">
        <f t="shared" si="151"/>
        <v>0</v>
      </c>
      <c r="CK62">
        <f t="shared" si="152"/>
        <v>0</v>
      </c>
      <c r="CL62">
        <f t="shared" si="153"/>
        <v>0</v>
      </c>
      <c r="CN62">
        <f t="shared" si="154"/>
        <v>65.793372594018123</v>
      </c>
      <c r="CP62">
        <f t="shared" si="155"/>
        <v>1.4643264192959231</v>
      </c>
      <c r="CQ62">
        <f t="shared" si="156"/>
        <v>0</v>
      </c>
      <c r="CR62">
        <f t="shared" si="157"/>
        <v>0</v>
      </c>
      <c r="CS62">
        <f t="shared" si="158"/>
        <v>0</v>
      </c>
      <c r="CT62">
        <f t="shared" si="159"/>
        <v>0.95276052636430797</v>
      </c>
      <c r="CU62">
        <f t="shared" si="160"/>
        <v>0</v>
      </c>
      <c r="CV62">
        <f t="shared" si="161"/>
        <v>0</v>
      </c>
      <c r="CW62">
        <f t="shared" si="162"/>
        <v>0</v>
      </c>
      <c r="CX62">
        <f t="shared" si="163"/>
        <v>0</v>
      </c>
      <c r="CY62">
        <f t="shared" si="164"/>
        <v>0.12448867744180968</v>
      </c>
      <c r="CZ62">
        <f t="shared" si="165"/>
        <v>0.51818949914851864</v>
      </c>
      <c r="DA62">
        <f t="shared" si="166"/>
        <v>0</v>
      </c>
      <c r="DB62">
        <f t="shared" si="167"/>
        <v>0</v>
      </c>
      <c r="DC62">
        <f t="shared" si="168"/>
        <v>0</v>
      </c>
      <c r="DD62">
        <f t="shared" si="169"/>
        <v>0</v>
      </c>
      <c r="DE62">
        <f t="shared" si="170"/>
        <v>0</v>
      </c>
      <c r="DF62">
        <f t="shared" si="171"/>
        <v>0</v>
      </c>
      <c r="DG62">
        <f t="shared" si="172"/>
        <v>0</v>
      </c>
      <c r="DH62">
        <f t="shared" si="173"/>
        <v>0</v>
      </c>
      <c r="DI62">
        <f t="shared" si="174"/>
        <v>0</v>
      </c>
      <c r="DJ62">
        <f t="shared" si="175"/>
        <v>0</v>
      </c>
      <c r="DK62">
        <f t="shared" si="176"/>
        <v>0</v>
      </c>
      <c r="DM62">
        <f t="shared" si="76"/>
        <v>3.0597651222505595</v>
      </c>
    </row>
    <row r="63" spans="2:117">
      <c r="B63" s="93" t="s">
        <v>205</v>
      </c>
      <c r="C63" s="92">
        <v>2.76</v>
      </c>
      <c r="D63" s="43"/>
      <c r="E63" s="43"/>
      <c r="F63" s="92">
        <v>6683</v>
      </c>
      <c r="G63" s="92">
        <v>3749</v>
      </c>
      <c r="H63" s="43">
        <f t="shared" si="109"/>
        <v>2.6695966428834642E+22</v>
      </c>
      <c r="I63" s="43">
        <f t="shared" si="110"/>
        <v>7.7274216782381349E+22</v>
      </c>
      <c r="J63" s="42">
        <f t="shared" si="82"/>
        <v>123.26846963999999</v>
      </c>
      <c r="K63" s="42">
        <f t="shared" si="6"/>
        <v>38.791802759999996</v>
      </c>
      <c r="L63" s="42">
        <f t="shared" si="7"/>
        <v>114.20080247811374</v>
      </c>
      <c r="M63" s="79">
        <f t="shared" si="107"/>
        <v>110.08078464254369</v>
      </c>
      <c r="N63" s="79"/>
      <c r="O63" s="52" t="str">
        <f t="shared" si="83"/>
        <v>P04</v>
      </c>
      <c r="P63" s="94">
        <v>47.78</v>
      </c>
      <c r="Q63" s="91"/>
      <c r="R63" s="43"/>
      <c r="S63" s="91"/>
      <c r="T63" s="94">
        <v>21.62</v>
      </c>
      <c r="U63" s="91"/>
      <c r="V63" s="91"/>
      <c r="W63" s="43"/>
      <c r="X63" s="43"/>
      <c r="Y63" s="94">
        <v>7.72</v>
      </c>
      <c r="Z63" s="94">
        <v>22.5</v>
      </c>
      <c r="AA63" s="43"/>
      <c r="AB63" s="91"/>
      <c r="AC63" s="43"/>
      <c r="AD63" s="43"/>
      <c r="AE63" s="91"/>
      <c r="AF63" s="91"/>
      <c r="AG63" s="91"/>
      <c r="AH63" s="91"/>
      <c r="AI63" s="87"/>
      <c r="AJ63" s="87"/>
      <c r="AK63" s="87"/>
      <c r="AL63" s="87"/>
      <c r="AM63" s="86">
        <f t="shared" si="108"/>
        <v>99.62</v>
      </c>
      <c r="AO63" s="71">
        <f t="shared" si="8"/>
        <v>1.6000452145836135</v>
      </c>
      <c r="AQ63" s="97" t="str">
        <f t="shared" si="9"/>
        <v>P04</v>
      </c>
      <c r="AR63" s="73">
        <f t="shared" si="85"/>
        <v>49.703156018695701</v>
      </c>
      <c r="AS63" s="73">
        <f t="shared" si="111"/>
        <v>0</v>
      </c>
      <c r="AT63" s="73">
        <f t="shared" si="112"/>
        <v>0</v>
      </c>
      <c r="AU63" s="73">
        <f t="shared" si="113"/>
        <v>0</v>
      </c>
      <c r="AV63" s="73">
        <f t="shared" si="114"/>
        <v>13.252371674678601</v>
      </c>
      <c r="AW63" s="73">
        <f t="shared" si="115"/>
        <v>0</v>
      </c>
      <c r="AX63" s="73">
        <f t="shared" si="116"/>
        <v>0</v>
      </c>
      <c r="AY63" s="73">
        <f t="shared" si="117"/>
        <v>0</v>
      </c>
      <c r="AZ63" s="73">
        <f t="shared" si="118"/>
        <v>0</v>
      </c>
      <c r="BA63" s="73">
        <f t="shared" si="119"/>
        <v>11.969396312637851</v>
      </c>
      <c r="BB63" s="73">
        <f t="shared" si="120"/>
        <v>25.075075993987856</v>
      </c>
      <c r="BC63" s="73">
        <f t="shared" si="121"/>
        <v>0</v>
      </c>
      <c r="BD63" s="73">
        <f t="shared" si="122"/>
        <v>0</v>
      </c>
      <c r="BE63" s="73">
        <f t="shared" si="123"/>
        <v>0</v>
      </c>
      <c r="BF63" s="73">
        <f t="shared" si="124"/>
        <v>0</v>
      </c>
      <c r="BG63" s="73">
        <f t="shared" si="125"/>
        <v>0</v>
      </c>
      <c r="BH63" s="73">
        <f t="shared" si="126"/>
        <v>0</v>
      </c>
      <c r="BI63" s="73">
        <f t="shared" si="127"/>
        <v>0</v>
      </c>
      <c r="BJ63" s="73">
        <f t="shared" si="128"/>
        <v>0</v>
      </c>
      <c r="BK63" s="73">
        <f t="shared" si="129"/>
        <v>0</v>
      </c>
      <c r="BL63" s="73">
        <f t="shared" si="130"/>
        <v>0</v>
      </c>
      <c r="BM63" s="73">
        <f t="shared" si="31"/>
        <v>0</v>
      </c>
      <c r="BN63" s="73">
        <f t="shared" si="131"/>
        <v>0</v>
      </c>
      <c r="BQ63">
        <f t="shared" si="132"/>
        <v>29.861656136032376</v>
      </c>
      <c r="BR63">
        <f t="shared" si="133"/>
        <v>0</v>
      </c>
      <c r="BS63">
        <f t="shared" si="134"/>
        <v>0</v>
      </c>
      <c r="BT63">
        <f t="shared" si="135"/>
        <v>0</v>
      </c>
      <c r="BU63">
        <f t="shared" si="136"/>
        <v>13.5121181595023</v>
      </c>
      <c r="BV63">
        <f t="shared" si="137"/>
        <v>0</v>
      </c>
      <c r="BW63">
        <f t="shared" si="138"/>
        <v>0</v>
      </c>
      <c r="BX63">
        <f t="shared" si="139"/>
        <v>0</v>
      </c>
      <c r="BY63">
        <f t="shared" si="140"/>
        <v>0</v>
      </c>
      <c r="BZ63">
        <f t="shared" si="141"/>
        <v>4.8248636536243188</v>
      </c>
      <c r="CA63">
        <f t="shared" si="142"/>
        <v>14.062102617428389</v>
      </c>
      <c r="CB63">
        <f t="shared" si="143"/>
        <v>0</v>
      </c>
      <c r="CC63">
        <f t="shared" si="144"/>
        <v>0</v>
      </c>
      <c r="CD63">
        <f t="shared" si="145"/>
        <v>0</v>
      </c>
      <c r="CE63">
        <f t="shared" si="146"/>
        <v>0</v>
      </c>
      <c r="CF63">
        <f t="shared" si="147"/>
        <v>0</v>
      </c>
      <c r="CG63">
        <f t="shared" si="148"/>
        <v>0</v>
      </c>
      <c r="CH63">
        <f t="shared" si="149"/>
        <v>0</v>
      </c>
      <c r="CI63">
        <f t="shared" si="150"/>
        <v>0</v>
      </c>
      <c r="CJ63">
        <f t="shared" si="151"/>
        <v>0</v>
      </c>
      <c r="CK63">
        <f t="shared" si="152"/>
        <v>0</v>
      </c>
      <c r="CL63">
        <f t="shared" si="153"/>
        <v>0</v>
      </c>
      <c r="CN63">
        <f t="shared" si="154"/>
        <v>62.26074056658738</v>
      </c>
      <c r="CP63">
        <f t="shared" si="155"/>
        <v>1.4910946805608709</v>
      </c>
      <c r="CQ63">
        <f t="shared" si="156"/>
        <v>0</v>
      </c>
      <c r="CR63">
        <f t="shared" si="157"/>
        <v>0</v>
      </c>
      <c r="CS63">
        <f t="shared" si="158"/>
        <v>0</v>
      </c>
      <c r="CT63">
        <f t="shared" si="159"/>
        <v>0.66261858373393001</v>
      </c>
      <c r="CU63">
        <f t="shared" si="160"/>
        <v>0</v>
      </c>
      <c r="CV63">
        <f t="shared" si="161"/>
        <v>0</v>
      </c>
      <c r="CW63">
        <f t="shared" si="162"/>
        <v>0</v>
      </c>
      <c r="CX63">
        <f t="shared" si="163"/>
        <v>0</v>
      </c>
      <c r="CY63">
        <f t="shared" si="164"/>
        <v>0.23938792625275704</v>
      </c>
      <c r="CZ63">
        <f t="shared" si="165"/>
        <v>0.50150151987975711</v>
      </c>
      <c r="DA63">
        <f t="shared" si="166"/>
        <v>0</v>
      </c>
      <c r="DB63">
        <f t="shared" si="167"/>
        <v>0</v>
      </c>
      <c r="DC63">
        <f t="shared" si="168"/>
        <v>0</v>
      </c>
      <c r="DD63">
        <f t="shared" si="169"/>
        <v>0</v>
      </c>
      <c r="DE63">
        <f t="shared" si="170"/>
        <v>0</v>
      </c>
      <c r="DF63">
        <f t="shared" si="171"/>
        <v>0</v>
      </c>
      <c r="DG63">
        <f t="shared" si="172"/>
        <v>0</v>
      </c>
      <c r="DH63">
        <f t="shared" si="173"/>
        <v>0</v>
      </c>
      <c r="DI63">
        <f t="shared" si="174"/>
        <v>0</v>
      </c>
      <c r="DJ63">
        <f t="shared" si="175"/>
        <v>0</v>
      </c>
      <c r="DK63">
        <f t="shared" si="176"/>
        <v>0</v>
      </c>
      <c r="DM63">
        <f t="shared" si="76"/>
        <v>2.8946027104273151</v>
      </c>
    </row>
    <row r="64" spans="2:117">
      <c r="B64" s="93" t="s">
        <v>206</v>
      </c>
      <c r="C64" s="92">
        <v>2.7770000000000001</v>
      </c>
      <c r="D64" s="43"/>
      <c r="E64" s="43"/>
      <c r="F64" s="92">
        <v>6697</v>
      </c>
      <c r="G64" s="92">
        <v>3751</v>
      </c>
      <c r="H64" s="43">
        <f t="shared" si="109"/>
        <v>2.7541589759888227E+22</v>
      </c>
      <c r="I64" s="43">
        <f t="shared" si="110"/>
        <v>7.7784076298364444E+22</v>
      </c>
      <c r="J64" s="42">
        <f t="shared" si="82"/>
        <v>124.547919593</v>
      </c>
      <c r="K64" s="42">
        <f t="shared" si="6"/>
        <v>39.072392777000005</v>
      </c>
      <c r="L64" s="42">
        <f t="shared" si="7"/>
        <v>114.97368949773642</v>
      </c>
      <c r="M64" s="79">
        <f t="shared" si="107"/>
        <v>110.88102240872163</v>
      </c>
      <c r="N64" s="79"/>
      <c r="O64" s="52" t="str">
        <f t="shared" si="83"/>
        <v>P05</v>
      </c>
      <c r="P64" s="94">
        <v>49.52</v>
      </c>
      <c r="Q64" s="91"/>
      <c r="R64" s="43"/>
      <c r="S64" s="91"/>
      <c r="T64" s="94">
        <v>17.84</v>
      </c>
      <c r="U64" s="91"/>
      <c r="V64" s="91"/>
      <c r="W64" s="43"/>
      <c r="X64" s="43"/>
      <c r="Y64" s="94">
        <v>9.5299999999999994</v>
      </c>
      <c r="Z64" s="94">
        <v>22.5</v>
      </c>
      <c r="AA64" s="43"/>
      <c r="AB64" s="91"/>
      <c r="AC64" s="43"/>
      <c r="AD64" s="43"/>
      <c r="AE64" s="91"/>
      <c r="AF64" s="91"/>
      <c r="AG64" s="91"/>
      <c r="AH64" s="91"/>
      <c r="AI64" s="87"/>
      <c r="AJ64" s="87"/>
      <c r="AK64" s="87"/>
      <c r="AL64" s="87"/>
      <c r="AM64" s="86">
        <f t="shared" si="108"/>
        <v>99.39</v>
      </c>
      <c r="AO64" s="71">
        <f t="shared" si="8"/>
        <v>1.636835246728009</v>
      </c>
      <c r="AQ64" s="97" t="str">
        <f t="shared" si="9"/>
        <v>P05</v>
      </c>
      <c r="AR64" s="73">
        <f t="shared" si="85"/>
        <v>50.355364465790345</v>
      </c>
      <c r="AS64" s="73">
        <f t="shared" si="111"/>
        <v>0</v>
      </c>
      <c r="AT64" s="73">
        <f t="shared" si="112"/>
        <v>0</v>
      </c>
      <c r="AU64" s="73">
        <f t="shared" si="113"/>
        <v>0</v>
      </c>
      <c r="AV64" s="73">
        <f t="shared" si="114"/>
        <v>10.689565553192081</v>
      </c>
      <c r="AW64" s="73">
        <f t="shared" si="115"/>
        <v>0</v>
      </c>
      <c r="AX64" s="73">
        <f t="shared" si="116"/>
        <v>0</v>
      </c>
      <c r="AY64" s="73">
        <f t="shared" si="117"/>
        <v>0</v>
      </c>
      <c r="AZ64" s="73">
        <f t="shared" si="118"/>
        <v>0</v>
      </c>
      <c r="BA64" s="73">
        <f t="shared" si="119"/>
        <v>14.443589409162808</v>
      </c>
      <c r="BB64" s="73">
        <f t="shared" si="120"/>
        <v>24.511480571854779</v>
      </c>
      <c r="BC64" s="73">
        <f t="shared" si="121"/>
        <v>0</v>
      </c>
      <c r="BD64" s="73">
        <f t="shared" si="122"/>
        <v>0</v>
      </c>
      <c r="BE64" s="73">
        <f t="shared" si="123"/>
        <v>0</v>
      </c>
      <c r="BF64" s="73">
        <f t="shared" si="124"/>
        <v>0</v>
      </c>
      <c r="BG64" s="73">
        <f t="shared" si="125"/>
        <v>0</v>
      </c>
      <c r="BH64" s="73">
        <f t="shared" si="126"/>
        <v>0</v>
      </c>
      <c r="BI64" s="73">
        <f t="shared" si="127"/>
        <v>0</v>
      </c>
      <c r="BJ64" s="73">
        <f t="shared" si="128"/>
        <v>0</v>
      </c>
      <c r="BK64" s="73">
        <f t="shared" si="129"/>
        <v>0</v>
      </c>
      <c r="BL64" s="73">
        <f t="shared" si="130"/>
        <v>0</v>
      </c>
      <c r="BM64" s="73">
        <f t="shared" si="31"/>
        <v>0</v>
      </c>
      <c r="BN64" s="73">
        <f t="shared" si="131"/>
        <v>0</v>
      </c>
      <c r="BQ64">
        <f t="shared" si="132"/>
        <v>30.253502971046835</v>
      </c>
      <c r="BR64">
        <f t="shared" si="133"/>
        <v>0</v>
      </c>
      <c r="BS64">
        <f t="shared" si="134"/>
        <v>0</v>
      </c>
      <c r="BT64">
        <f t="shared" si="135"/>
        <v>0</v>
      </c>
      <c r="BU64">
        <f t="shared" si="136"/>
        <v>10.899081038034645</v>
      </c>
      <c r="BV64">
        <f t="shared" si="137"/>
        <v>0</v>
      </c>
      <c r="BW64">
        <f t="shared" si="138"/>
        <v>0</v>
      </c>
      <c r="BX64">
        <f t="shared" si="139"/>
        <v>0</v>
      </c>
      <c r="BY64">
        <f t="shared" si="140"/>
        <v>0</v>
      </c>
      <c r="BZ64">
        <f t="shared" si="141"/>
        <v>5.8222108908335279</v>
      </c>
      <c r="CA64">
        <f t="shared" si="142"/>
        <v>13.74603830469616</v>
      </c>
      <c r="CB64">
        <f t="shared" si="143"/>
        <v>0</v>
      </c>
      <c r="CC64">
        <f t="shared" si="144"/>
        <v>0</v>
      </c>
      <c r="CD64">
        <f t="shared" si="145"/>
        <v>0</v>
      </c>
      <c r="CE64">
        <f t="shared" si="146"/>
        <v>0</v>
      </c>
      <c r="CF64">
        <f t="shared" si="147"/>
        <v>0</v>
      </c>
      <c r="CG64">
        <f t="shared" si="148"/>
        <v>0</v>
      </c>
      <c r="CH64">
        <f t="shared" si="149"/>
        <v>0</v>
      </c>
      <c r="CI64">
        <f t="shared" si="150"/>
        <v>0</v>
      </c>
      <c r="CJ64">
        <f t="shared" si="151"/>
        <v>0</v>
      </c>
      <c r="CK64">
        <f t="shared" si="152"/>
        <v>0</v>
      </c>
      <c r="CL64">
        <f t="shared" si="153"/>
        <v>0</v>
      </c>
      <c r="CN64">
        <f t="shared" si="154"/>
        <v>60.720833204611168</v>
      </c>
      <c r="CP64">
        <f t="shared" si="155"/>
        <v>1.5106609339737103</v>
      </c>
      <c r="CQ64">
        <f t="shared" si="156"/>
        <v>0</v>
      </c>
      <c r="CR64">
        <f t="shared" si="157"/>
        <v>0</v>
      </c>
      <c r="CS64">
        <f t="shared" si="158"/>
        <v>0</v>
      </c>
      <c r="CT64">
        <f t="shared" si="159"/>
        <v>0.53447827765960398</v>
      </c>
      <c r="CU64">
        <f t="shared" si="160"/>
        <v>0</v>
      </c>
      <c r="CV64">
        <f t="shared" si="161"/>
        <v>0</v>
      </c>
      <c r="CW64">
        <f t="shared" si="162"/>
        <v>0</v>
      </c>
      <c r="CX64">
        <f t="shared" si="163"/>
        <v>0</v>
      </c>
      <c r="CY64">
        <f t="shared" si="164"/>
        <v>0.28887178818325615</v>
      </c>
      <c r="CZ64">
        <f t="shared" si="165"/>
        <v>0.49022961143709559</v>
      </c>
      <c r="DA64">
        <f t="shared" si="166"/>
        <v>0</v>
      </c>
      <c r="DB64">
        <f t="shared" si="167"/>
        <v>0</v>
      </c>
      <c r="DC64">
        <f t="shared" si="168"/>
        <v>0</v>
      </c>
      <c r="DD64">
        <f t="shared" si="169"/>
        <v>0</v>
      </c>
      <c r="DE64">
        <f t="shared" si="170"/>
        <v>0</v>
      </c>
      <c r="DF64">
        <f t="shared" si="171"/>
        <v>0</v>
      </c>
      <c r="DG64">
        <f t="shared" si="172"/>
        <v>0</v>
      </c>
      <c r="DH64">
        <f t="shared" si="173"/>
        <v>0</v>
      </c>
      <c r="DI64">
        <f t="shared" si="174"/>
        <v>0</v>
      </c>
      <c r="DJ64">
        <f t="shared" si="175"/>
        <v>0</v>
      </c>
      <c r="DK64">
        <f t="shared" si="176"/>
        <v>0</v>
      </c>
      <c r="DM64">
        <f t="shared" si="76"/>
        <v>2.824240611253666</v>
      </c>
    </row>
    <row r="65" spans="2:117">
      <c r="B65" s="93" t="s">
        <v>207</v>
      </c>
      <c r="C65" s="92">
        <v>2.802</v>
      </c>
      <c r="D65" s="43"/>
      <c r="E65" s="43"/>
      <c r="F65" s="92">
        <v>6723</v>
      </c>
      <c r="G65" s="92">
        <v>3766</v>
      </c>
      <c r="H65" s="43">
        <f t="shared" si="109"/>
        <v>2.8473528976914141E+22</v>
      </c>
      <c r="I65" s="43">
        <f t="shared" si="110"/>
        <v>7.81645843797917E+22</v>
      </c>
      <c r="J65" s="42">
        <f t="shared" si="82"/>
        <v>126.64683865800001</v>
      </c>
      <c r="K65" s="42">
        <f t="shared" si="6"/>
        <v>39.740082311999998</v>
      </c>
      <c r="L65" s="42">
        <f t="shared" si="7"/>
        <v>116.90084392680158</v>
      </c>
      <c r="M65" s="79">
        <f t="shared" si="107"/>
        <v>112.85309547569688</v>
      </c>
      <c r="N65" s="79"/>
      <c r="O65" s="52" t="str">
        <f t="shared" si="83"/>
        <v>P06</v>
      </c>
      <c r="P65" s="94">
        <v>49.81</v>
      </c>
      <c r="Q65" s="91"/>
      <c r="R65" s="43"/>
      <c r="S65" s="91"/>
      <c r="T65" s="94">
        <v>14.37</v>
      </c>
      <c r="U65" s="91"/>
      <c r="V65" s="91"/>
      <c r="W65" s="43"/>
      <c r="X65" s="43"/>
      <c r="Y65" s="94">
        <v>11.34</v>
      </c>
      <c r="Z65" s="94">
        <v>24.04</v>
      </c>
      <c r="AA65" s="43"/>
      <c r="AB65" s="91"/>
      <c r="AC65" s="43"/>
      <c r="AD65" s="43"/>
      <c r="AE65" s="91"/>
      <c r="AF65" s="91"/>
      <c r="AG65" s="91"/>
      <c r="AH65" s="91"/>
      <c r="AI65" s="87"/>
      <c r="AJ65" s="87"/>
      <c r="AK65" s="87"/>
      <c r="AL65" s="87"/>
      <c r="AM65" s="86">
        <f t="shared" si="108"/>
        <v>99.56</v>
      </c>
      <c r="AO65" s="71">
        <f t="shared" si="8"/>
        <v>1.6799919698534462</v>
      </c>
      <c r="AQ65" s="97" t="str">
        <f t="shared" si="9"/>
        <v>P06</v>
      </c>
      <c r="AR65" s="73">
        <f t="shared" si="85"/>
        <v>49.349119908993991</v>
      </c>
      <c r="AS65" s="73">
        <f t="shared" si="111"/>
        <v>0</v>
      </c>
      <c r="AT65" s="73">
        <f t="shared" si="112"/>
        <v>0</v>
      </c>
      <c r="AU65" s="73">
        <f t="shared" si="113"/>
        <v>0</v>
      </c>
      <c r="AV65" s="73">
        <f t="shared" si="114"/>
        <v>8.3891843012435086</v>
      </c>
      <c r="AW65" s="73">
        <f t="shared" si="115"/>
        <v>0</v>
      </c>
      <c r="AX65" s="73">
        <f t="shared" si="116"/>
        <v>0</v>
      </c>
      <c r="AY65" s="73">
        <f t="shared" si="117"/>
        <v>0</v>
      </c>
      <c r="AZ65" s="73">
        <f t="shared" si="118"/>
        <v>0</v>
      </c>
      <c r="BA65" s="73">
        <f t="shared" si="119"/>
        <v>16.745304550076671</v>
      </c>
      <c r="BB65" s="73">
        <f t="shared" si="120"/>
        <v>25.516391239685809</v>
      </c>
      <c r="BC65" s="73">
        <f t="shared" si="121"/>
        <v>0</v>
      </c>
      <c r="BD65" s="73">
        <f t="shared" si="122"/>
        <v>0</v>
      </c>
      <c r="BE65" s="73">
        <f t="shared" si="123"/>
        <v>0</v>
      </c>
      <c r="BF65" s="73">
        <f t="shared" si="124"/>
        <v>0</v>
      </c>
      <c r="BG65" s="73">
        <f t="shared" si="125"/>
        <v>0</v>
      </c>
      <c r="BH65" s="73">
        <f t="shared" si="126"/>
        <v>0</v>
      </c>
      <c r="BI65" s="73">
        <f t="shared" si="127"/>
        <v>0</v>
      </c>
      <c r="BJ65" s="73">
        <f t="shared" si="128"/>
        <v>0</v>
      </c>
      <c r="BK65" s="73">
        <f t="shared" si="129"/>
        <v>0</v>
      </c>
      <c r="BL65" s="73">
        <f t="shared" si="130"/>
        <v>0</v>
      </c>
      <c r="BM65" s="73">
        <f t="shared" si="31"/>
        <v>0</v>
      </c>
      <c r="BN65" s="73">
        <f t="shared" si="131"/>
        <v>0</v>
      </c>
      <c r="BQ65">
        <f t="shared" si="132"/>
        <v>29.648951241323591</v>
      </c>
      <c r="BR65">
        <f t="shared" si="133"/>
        <v>0</v>
      </c>
      <c r="BS65">
        <f t="shared" si="134"/>
        <v>0</v>
      </c>
      <c r="BT65">
        <f t="shared" si="135"/>
        <v>0</v>
      </c>
      <c r="BU65">
        <f t="shared" si="136"/>
        <v>8.5536123135478803</v>
      </c>
      <c r="BV65">
        <f t="shared" si="137"/>
        <v>0</v>
      </c>
      <c r="BW65">
        <f t="shared" si="138"/>
        <v>0</v>
      </c>
      <c r="BX65">
        <f t="shared" si="139"/>
        <v>0</v>
      </c>
      <c r="BY65">
        <f t="shared" si="140"/>
        <v>0</v>
      </c>
      <c r="BZ65">
        <f t="shared" si="141"/>
        <v>6.7500322641359061</v>
      </c>
      <c r="CA65">
        <f t="shared" si="142"/>
        <v>14.309592207215802</v>
      </c>
      <c r="CB65">
        <f t="shared" si="143"/>
        <v>0</v>
      </c>
      <c r="CC65">
        <f t="shared" si="144"/>
        <v>0</v>
      </c>
      <c r="CD65">
        <f t="shared" si="145"/>
        <v>0</v>
      </c>
      <c r="CE65">
        <f t="shared" si="146"/>
        <v>0</v>
      </c>
      <c r="CF65">
        <f t="shared" si="147"/>
        <v>0</v>
      </c>
      <c r="CG65">
        <f t="shared" si="148"/>
        <v>0</v>
      </c>
      <c r="CH65">
        <f t="shared" si="149"/>
        <v>0</v>
      </c>
      <c r="CI65">
        <f t="shared" si="150"/>
        <v>0</v>
      </c>
      <c r="CJ65">
        <f t="shared" si="151"/>
        <v>0</v>
      </c>
      <c r="CK65">
        <f t="shared" si="152"/>
        <v>0</v>
      </c>
      <c r="CL65">
        <f t="shared" si="153"/>
        <v>0</v>
      </c>
      <c r="CN65">
        <f t="shared" si="154"/>
        <v>59.262188026223178</v>
      </c>
      <c r="CP65">
        <f t="shared" si="155"/>
        <v>1.4804735972698198</v>
      </c>
      <c r="CQ65">
        <f t="shared" si="156"/>
        <v>0</v>
      </c>
      <c r="CR65">
        <f t="shared" si="157"/>
        <v>0</v>
      </c>
      <c r="CS65">
        <f t="shared" si="158"/>
        <v>0</v>
      </c>
      <c r="CT65">
        <f t="shared" si="159"/>
        <v>0.41945921506217543</v>
      </c>
      <c r="CU65">
        <f t="shared" si="160"/>
        <v>0</v>
      </c>
      <c r="CV65">
        <f t="shared" si="161"/>
        <v>0</v>
      </c>
      <c r="CW65">
        <f t="shared" si="162"/>
        <v>0</v>
      </c>
      <c r="CX65">
        <f t="shared" si="163"/>
        <v>0</v>
      </c>
      <c r="CY65">
        <f t="shared" si="164"/>
        <v>0.3349060910015334</v>
      </c>
      <c r="CZ65">
        <f t="shared" si="165"/>
        <v>0.51032782479371619</v>
      </c>
      <c r="DA65">
        <f t="shared" si="166"/>
        <v>0</v>
      </c>
      <c r="DB65">
        <f t="shared" si="167"/>
        <v>0</v>
      </c>
      <c r="DC65">
        <f t="shared" si="168"/>
        <v>0</v>
      </c>
      <c r="DD65">
        <f t="shared" si="169"/>
        <v>0</v>
      </c>
      <c r="DE65">
        <f t="shared" si="170"/>
        <v>0</v>
      </c>
      <c r="DF65">
        <f t="shared" si="171"/>
        <v>0</v>
      </c>
      <c r="DG65">
        <f t="shared" si="172"/>
        <v>0</v>
      </c>
      <c r="DH65">
        <f t="shared" si="173"/>
        <v>0</v>
      </c>
      <c r="DI65">
        <f t="shared" si="174"/>
        <v>0</v>
      </c>
      <c r="DJ65">
        <f t="shared" si="175"/>
        <v>0</v>
      </c>
      <c r="DK65">
        <f t="shared" si="176"/>
        <v>0</v>
      </c>
      <c r="DM65">
        <f t="shared" si="76"/>
        <v>2.7451667281272449</v>
      </c>
    </row>
    <row r="66" spans="2:117">
      <c r="B66" s="93" t="s">
        <v>208</v>
      </c>
      <c r="C66" s="92">
        <v>2.8420000000000001</v>
      </c>
      <c r="D66" s="43"/>
      <c r="E66" s="43"/>
      <c r="F66" s="92">
        <v>6721</v>
      </c>
      <c r="G66" s="92">
        <v>3757</v>
      </c>
      <c r="H66" s="43">
        <f t="shared" si="109"/>
        <v>3.0277928035007032E+22</v>
      </c>
      <c r="I66" s="43">
        <f t="shared" si="110"/>
        <v>7.9189258956013729E+22</v>
      </c>
      <c r="J66" s="42">
        <f t="shared" si="82"/>
        <v>128.378372122</v>
      </c>
      <c r="K66" s="42">
        <f t="shared" si="6"/>
        <v>40.114969258000002</v>
      </c>
      <c r="L66" s="42">
        <f t="shared" si="7"/>
        <v>117.87852150124735</v>
      </c>
      <c r="M66" s="79">
        <f t="shared" si="107"/>
        <v>113.89428807388668</v>
      </c>
      <c r="N66" s="79"/>
      <c r="O66" s="52" t="str">
        <f t="shared" si="83"/>
        <v>P08</v>
      </c>
      <c r="P66" s="94">
        <v>53.51</v>
      </c>
      <c r="Q66" s="91"/>
      <c r="R66" s="43"/>
      <c r="S66" s="91"/>
      <c r="T66" s="94">
        <v>7.25</v>
      </c>
      <c r="U66" s="91"/>
      <c r="V66" s="91"/>
      <c r="W66" s="43"/>
      <c r="X66" s="43"/>
      <c r="Y66" s="94">
        <v>15.4</v>
      </c>
      <c r="Z66" s="94">
        <v>25.24</v>
      </c>
      <c r="AA66" s="43"/>
      <c r="AB66" s="91"/>
      <c r="AC66" s="43"/>
      <c r="AD66" s="43"/>
      <c r="AE66" s="91"/>
      <c r="AF66" s="91"/>
      <c r="AG66" s="91"/>
      <c r="AH66" s="91"/>
      <c r="AI66" s="87"/>
      <c r="AJ66" s="87"/>
      <c r="AK66" s="87"/>
      <c r="AL66" s="87"/>
      <c r="AM66" s="86">
        <f t="shared" si="108"/>
        <v>101.39999999999999</v>
      </c>
      <c r="AO66" s="71">
        <f t="shared" si="8"/>
        <v>1.793862644700376</v>
      </c>
      <c r="AQ66" s="97" t="str">
        <f t="shared" si="9"/>
        <v>P08</v>
      </c>
      <c r="AR66" s="73">
        <f t="shared" si="85"/>
        <v>49.649609919900271</v>
      </c>
      <c r="AS66" s="73">
        <f t="shared" si="111"/>
        <v>0</v>
      </c>
      <c r="AT66" s="73">
        <f t="shared" si="112"/>
        <v>0</v>
      </c>
      <c r="AU66" s="73">
        <f t="shared" si="113"/>
        <v>0</v>
      </c>
      <c r="AV66" s="73">
        <f t="shared" si="114"/>
        <v>3.9638662643710396</v>
      </c>
      <c r="AW66" s="73">
        <f t="shared" si="115"/>
        <v>0</v>
      </c>
      <c r="AX66" s="73">
        <f t="shared" si="116"/>
        <v>0</v>
      </c>
      <c r="AY66" s="73">
        <f t="shared" si="117"/>
        <v>0</v>
      </c>
      <c r="AZ66" s="73">
        <f t="shared" si="118"/>
        <v>0</v>
      </c>
      <c r="BA66" s="73">
        <f t="shared" si="119"/>
        <v>21.297014983721592</v>
      </c>
      <c r="BB66" s="73">
        <f t="shared" si="120"/>
        <v>25.089508832007095</v>
      </c>
      <c r="BC66" s="73">
        <f t="shared" si="121"/>
        <v>0</v>
      </c>
      <c r="BD66" s="73">
        <f t="shared" si="122"/>
        <v>0</v>
      </c>
      <c r="BE66" s="73">
        <f t="shared" si="123"/>
        <v>0</v>
      </c>
      <c r="BF66" s="73">
        <f t="shared" si="124"/>
        <v>0</v>
      </c>
      <c r="BG66" s="73">
        <f t="shared" si="125"/>
        <v>0</v>
      </c>
      <c r="BH66" s="73">
        <f t="shared" si="126"/>
        <v>0</v>
      </c>
      <c r="BI66" s="73">
        <f t="shared" si="127"/>
        <v>0</v>
      </c>
      <c r="BJ66" s="73">
        <f t="shared" si="128"/>
        <v>0</v>
      </c>
      <c r="BK66" s="73">
        <f t="shared" si="129"/>
        <v>0</v>
      </c>
      <c r="BL66" s="73">
        <f t="shared" si="130"/>
        <v>0</v>
      </c>
      <c r="BM66" s="73">
        <f t="shared" si="31"/>
        <v>0</v>
      </c>
      <c r="BN66" s="73">
        <f t="shared" si="131"/>
        <v>0</v>
      </c>
      <c r="BQ66">
        <f t="shared" si="132"/>
        <v>29.829485639876083</v>
      </c>
      <c r="BR66">
        <f t="shared" si="133"/>
        <v>0</v>
      </c>
      <c r="BS66">
        <f t="shared" si="134"/>
        <v>0</v>
      </c>
      <c r="BT66">
        <f t="shared" si="135"/>
        <v>0</v>
      </c>
      <c r="BU66">
        <f t="shared" si="136"/>
        <v>4.0415580431527118</v>
      </c>
      <c r="BV66">
        <f t="shared" si="137"/>
        <v>0</v>
      </c>
      <c r="BW66">
        <f t="shared" si="138"/>
        <v>0</v>
      </c>
      <c r="BX66">
        <f t="shared" si="139"/>
        <v>0</v>
      </c>
      <c r="BY66">
        <f t="shared" si="140"/>
        <v>0</v>
      </c>
      <c r="BZ66">
        <f t="shared" si="141"/>
        <v>8.5848267399381744</v>
      </c>
      <c r="CA66">
        <f t="shared" si="142"/>
        <v>14.070196552989579</v>
      </c>
      <c r="CB66">
        <f t="shared" si="143"/>
        <v>0</v>
      </c>
      <c r="CC66">
        <f t="shared" si="144"/>
        <v>0</v>
      </c>
      <c r="CD66">
        <f t="shared" si="145"/>
        <v>0</v>
      </c>
      <c r="CE66">
        <f t="shared" si="146"/>
        <v>0</v>
      </c>
      <c r="CF66">
        <f t="shared" si="147"/>
        <v>0</v>
      </c>
      <c r="CG66">
        <f t="shared" si="148"/>
        <v>0</v>
      </c>
      <c r="CH66">
        <f t="shared" si="149"/>
        <v>0</v>
      </c>
      <c r="CI66">
        <f t="shared" si="150"/>
        <v>0</v>
      </c>
      <c r="CJ66">
        <f t="shared" si="151"/>
        <v>0</v>
      </c>
      <c r="CK66">
        <f t="shared" si="152"/>
        <v>0</v>
      </c>
      <c r="CL66">
        <f t="shared" si="153"/>
        <v>0</v>
      </c>
      <c r="CN66">
        <f t="shared" si="154"/>
        <v>56.526066975956546</v>
      </c>
      <c r="CP66">
        <f t="shared" si="155"/>
        <v>1.4894882975970081</v>
      </c>
      <c r="CQ66">
        <f t="shared" si="156"/>
        <v>0</v>
      </c>
      <c r="CR66">
        <f t="shared" si="157"/>
        <v>0</v>
      </c>
      <c r="CS66">
        <f t="shared" si="158"/>
        <v>0</v>
      </c>
      <c r="CT66">
        <f t="shared" si="159"/>
        <v>0.19819331321855199</v>
      </c>
      <c r="CU66">
        <f t="shared" si="160"/>
        <v>0</v>
      </c>
      <c r="CV66">
        <f t="shared" si="161"/>
        <v>0</v>
      </c>
      <c r="CW66">
        <f t="shared" si="162"/>
        <v>0</v>
      </c>
      <c r="CX66">
        <f t="shared" si="163"/>
        <v>0</v>
      </c>
      <c r="CY66">
        <f t="shared" si="164"/>
        <v>0.42594029967443187</v>
      </c>
      <c r="CZ66">
        <f t="shared" si="165"/>
        <v>0.50179017664014192</v>
      </c>
      <c r="DA66">
        <f t="shared" si="166"/>
        <v>0</v>
      </c>
      <c r="DB66">
        <f t="shared" si="167"/>
        <v>0</v>
      </c>
      <c r="DC66">
        <f t="shared" si="168"/>
        <v>0</v>
      </c>
      <c r="DD66">
        <f t="shared" si="169"/>
        <v>0</v>
      </c>
      <c r="DE66">
        <f t="shared" si="170"/>
        <v>0</v>
      </c>
      <c r="DF66">
        <f t="shared" si="171"/>
        <v>0</v>
      </c>
      <c r="DG66">
        <f t="shared" si="172"/>
        <v>0</v>
      </c>
      <c r="DH66">
        <f t="shared" si="173"/>
        <v>0</v>
      </c>
      <c r="DI66">
        <f t="shared" si="174"/>
        <v>0</v>
      </c>
      <c r="DJ66">
        <f t="shared" si="175"/>
        <v>0</v>
      </c>
      <c r="DK66">
        <f t="shared" si="176"/>
        <v>0</v>
      </c>
      <c r="DM66">
        <f t="shared" si="76"/>
        <v>2.6154120871301338</v>
      </c>
    </row>
    <row r="67" spans="2:117">
      <c r="B67" s="93" t="s">
        <v>209</v>
      </c>
      <c r="C67" s="92">
        <v>2.8610000000000002</v>
      </c>
      <c r="D67" s="43"/>
      <c r="E67" s="43"/>
      <c r="F67" s="92">
        <v>6739</v>
      </c>
      <c r="G67" s="92">
        <v>3751</v>
      </c>
      <c r="H67" s="43">
        <f t="shared" si="109"/>
        <v>3.177138580648989E+22</v>
      </c>
      <c r="I67" s="43">
        <f t="shared" si="110"/>
        <v>7.957756637912036E+22</v>
      </c>
      <c r="J67" s="42">
        <f t="shared" si="82"/>
        <v>129.92980018100002</v>
      </c>
      <c r="K67" s="42">
        <f t="shared" si="6"/>
        <v>40.254272861000004</v>
      </c>
      <c r="L67" s="42">
        <f t="shared" si="7"/>
        <v>118.17477779250169</v>
      </c>
      <c r="M67" s="79">
        <f t="shared" si="107"/>
        <v>114.28056802381781</v>
      </c>
      <c r="N67" s="79"/>
      <c r="O67" s="52" t="str">
        <f t="shared" si="83"/>
        <v>P1</v>
      </c>
      <c r="P67" s="94">
        <v>55.21</v>
      </c>
      <c r="Q67" s="91"/>
      <c r="R67" s="43"/>
      <c r="S67" s="91"/>
      <c r="T67" s="94">
        <v>0</v>
      </c>
      <c r="U67" s="91"/>
      <c r="V67" s="91"/>
      <c r="W67" s="43"/>
      <c r="X67" s="43"/>
      <c r="Y67" s="94">
        <v>18.010000000000002</v>
      </c>
      <c r="Z67" s="94">
        <v>25.52</v>
      </c>
      <c r="AA67" s="43"/>
      <c r="AB67" s="91"/>
      <c r="AC67" s="43"/>
      <c r="AD67" s="43"/>
      <c r="AE67" s="91"/>
      <c r="AF67" s="91"/>
      <c r="AG67" s="91"/>
      <c r="AH67" s="91"/>
      <c r="AI67" s="87"/>
      <c r="AJ67" s="87"/>
      <c r="AK67" s="87"/>
      <c r="AL67" s="87"/>
      <c r="AM67" s="86">
        <f t="shared" si="108"/>
        <v>98.74</v>
      </c>
      <c r="AO67" s="71">
        <f t="shared" si="8"/>
        <v>1.8207930031280297</v>
      </c>
      <c r="AQ67" s="97" t="str">
        <f t="shared" si="9"/>
        <v>P1</v>
      </c>
      <c r="AR67" s="73">
        <f t="shared" si="85"/>
        <v>50.469296063457158</v>
      </c>
      <c r="AS67" s="73">
        <f t="shared" si="111"/>
        <v>0</v>
      </c>
      <c r="AT67" s="73">
        <f t="shared" si="112"/>
        <v>0</v>
      </c>
      <c r="AU67" s="73">
        <f t="shared" si="113"/>
        <v>0</v>
      </c>
      <c r="AV67" s="73">
        <f t="shared" si="114"/>
        <v>0</v>
      </c>
      <c r="AW67" s="73">
        <f t="shared" si="115"/>
        <v>0</v>
      </c>
      <c r="AX67" s="73">
        <f t="shared" si="116"/>
        <v>0</v>
      </c>
      <c r="AY67" s="73">
        <f t="shared" si="117"/>
        <v>0</v>
      </c>
      <c r="AZ67" s="73">
        <f t="shared" si="118"/>
        <v>0</v>
      </c>
      <c r="BA67" s="73">
        <f t="shared" si="119"/>
        <v>24.538066485345368</v>
      </c>
      <c r="BB67" s="73">
        <f t="shared" si="120"/>
        <v>24.992637451197474</v>
      </c>
      <c r="BC67" s="73">
        <f t="shared" si="121"/>
        <v>0</v>
      </c>
      <c r="BD67" s="73">
        <f t="shared" si="122"/>
        <v>0</v>
      </c>
      <c r="BE67" s="73">
        <f t="shared" si="123"/>
        <v>0</v>
      </c>
      <c r="BF67" s="73">
        <f t="shared" si="124"/>
        <v>0</v>
      </c>
      <c r="BG67" s="73">
        <f t="shared" si="125"/>
        <v>0</v>
      </c>
      <c r="BH67" s="73">
        <f t="shared" si="126"/>
        <v>0</v>
      </c>
      <c r="BI67" s="73">
        <f t="shared" si="127"/>
        <v>0</v>
      </c>
      <c r="BJ67" s="73">
        <f t="shared" si="128"/>
        <v>0</v>
      </c>
      <c r="BK67" s="73">
        <f t="shared" si="129"/>
        <v>0</v>
      </c>
      <c r="BL67" s="73">
        <f t="shared" si="130"/>
        <v>0</v>
      </c>
      <c r="BM67" s="73">
        <f t="shared" si="31"/>
        <v>0</v>
      </c>
      <c r="BN67" s="73">
        <f t="shared" si="131"/>
        <v>0</v>
      </c>
      <c r="BQ67">
        <f t="shared" si="132"/>
        <v>30.321953074925059</v>
      </c>
      <c r="BR67">
        <f t="shared" si="133"/>
        <v>0</v>
      </c>
      <c r="BS67">
        <f t="shared" si="134"/>
        <v>0</v>
      </c>
      <c r="BT67">
        <f t="shared" si="135"/>
        <v>0</v>
      </c>
      <c r="BU67">
        <f t="shared" si="136"/>
        <v>0</v>
      </c>
      <c r="BV67">
        <f t="shared" si="137"/>
        <v>0</v>
      </c>
      <c r="BW67">
        <f t="shared" si="138"/>
        <v>0</v>
      </c>
      <c r="BX67">
        <f t="shared" si="139"/>
        <v>0</v>
      </c>
      <c r="BY67">
        <f t="shared" si="140"/>
        <v>0</v>
      </c>
      <c r="BZ67">
        <f t="shared" si="141"/>
        <v>9.891294600242718</v>
      </c>
      <c r="CA67">
        <f t="shared" si="142"/>
        <v>14.015871082631543</v>
      </c>
      <c r="CB67">
        <f t="shared" si="143"/>
        <v>0</v>
      </c>
      <c r="CC67">
        <f t="shared" si="144"/>
        <v>0</v>
      </c>
      <c r="CD67">
        <f t="shared" si="145"/>
        <v>0</v>
      </c>
      <c r="CE67">
        <f t="shared" si="146"/>
        <v>0</v>
      </c>
      <c r="CF67">
        <f t="shared" si="147"/>
        <v>0</v>
      </c>
      <c r="CG67">
        <f t="shared" si="148"/>
        <v>0</v>
      </c>
      <c r="CH67">
        <f t="shared" si="149"/>
        <v>0</v>
      </c>
      <c r="CI67">
        <f t="shared" si="150"/>
        <v>0</v>
      </c>
      <c r="CJ67">
        <f t="shared" si="151"/>
        <v>0</v>
      </c>
      <c r="CK67">
        <f t="shared" si="152"/>
        <v>0</v>
      </c>
      <c r="CL67">
        <f t="shared" si="153"/>
        <v>0</v>
      </c>
      <c r="CN67">
        <f t="shared" si="154"/>
        <v>54.22911875779932</v>
      </c>
      <c r="CP67">
        <f t="shared" si="155"/>
        <v>1.5140788819037148</v>
      </c>
      <c r="CQ67">
        <f t="shared" si="156"/>
        <v>0</v>
      </c>
      <c r="CR67">
        <f t="shared" si="157"/>
        <v>0</v>
      </c>
      <c r="CS67">
        <f t="shared" si="158"/>
        <v>0</v>
      </c>
      <c r="CT67">
        <f t="shared" si="159"/>
        <v>0</v>
      </c>
      <c r="CU67">
        <f t="shared" si="160"/>
        <v>0</v>
      </c>
      <c r="CV67">
        <f t="shared" si="161"/>
        <v>0</v>
      </c>
      <c r="CW67">
        <f t="shared" si="162"/>
        <v>0</v>
      </c>
      <c r="CX67">
        <f t="shared" si="163"/>
        <v>0</v>
      </c>
      <c r="CY67">
        <f t="shared" si="164"/>
        <v>0.49076132970690733</v>
      </c>
      <c r="CZ67">
        <f t="shared" si="165"/>
        <v>0.49985274902394949</v>
      </c>
      <c r="DA67">
        <f t="shared" si="166"/>
        <v>0</v>
      </c>
      <c r="DB67">
        <f t="shared" si="167"/>
        <v>0</v>
      </c>
      <c r="DC67">
        <f t="shared" si="168"/>
        <v>0</v>
      </c>
      <c r="DD67">
        <f t="shared" si="169"/>
        <v>0</v>
      </c>
      <c r="DE67">
        <f t="shared" si="170"/>
        <v>0</v>
      </c>
      <c r="DF67">
        <f t="shared" si="171"/>
        <v>0</v>
      </c>
      <c r="DG67">
        <f t="shared" si="172"/>
        <v>0</v>
      </c>
      <c r="DH67">
        <f t="shared" si="173"/>
        <v>0</v>
      </c>
      <c r="DI67">
        <f t="shared" si="174"/>
        <v>0</v>
      </c>
      <c r="DJ67">
        <f t="shared" si="175"/>
        <v>0</v>
      </c>
      <c r="DK67">
        <f t="shared" si="176"/>
        <v>0</v>
      </c>
      <c r="DM67">
        <f t="shared" si="76"/>
        <v>2.5046929606345714</v>
      </c>
    </row>
    <row r="68" spans="2:117">
      <c r="B68" s="93" t="s">
        <v>210</v>
      </c>
      <c r="C68" s="92">
        <v>2.778</v>
      </c>
      <c r="D68" s="43"/>
      <c r="E68" s="43"/>
      <c r="F68" s="92">
        <v>6787</v>
      </c>
      <c r="G68" s="92">
        <v>3800</v>
      </c>
      <c r="H68" s="43">
        <f t="shared" si="109"/>
        <v>2.6535544014911048E+22</v>
      </c>
      <c r="I68" s="43">
        <f t="shared" si="110"/>
        <v>7.854967937323565E+22</v>
      </c>
      <c r="J68" s="42">
        <f t="shared" si="82"/>
        <v>127.964039082</v>
      </c>
      <c r="K68" s="42">
        <f t="shared" si="6"/>
        <v>40.114319999999999</v>
      </c>
      <c r="L68" s="42">
        <f t="shared" si="7"/>
        <v>118.18142193379008</v>
      </c>
      <c r="M68" s="79">
        <f t="shared" si="107"/>
        <v>113.94443935965828</v>
      </c>
      <c r="N68" s="79"/>
      <c r="O68" s="52" t="str">
        <f t="shared" si="83"/>
        <v>P4</v>
      </c>
      <c r="P68" s="94">
        <v>44.7</v>
      </c>
      <c r="Q68" s="91"/>
      <c r="R68" s="43"/>
      <c r="S68" s="91"/>
      <c r="T68" s="94">
        <v>26.05</v>
      </c>
      <c r="U68" s="91"/>
      <c r="V68" s="91"/>
      <c r="W68" s="43"/>
      <c r="X68" s="43"/>
      <c r="Y68" s="94">
        <v>9.56</v>
      </c>
      <c r="Z68" s="94">
        <v>18.87</v>
      </c>
      <c r="AA68" s="43"/>
      <c r="AB68" s="91"/>
      <c r="AC68" s="43"/>
      <c r="AD68" s="43"/>
      <c r="AE68" s="91"/>
      <c r="AF68" s="91"/>
      <c r="AG68" s="91"/>
      <c r="AH68" s="91"/>
      <c r="AI68" s="87"/>
      <c r="AJ68" s="87"/>
      <c r="AK68" s="87"/>
      <c r="AL68" s="87"/>
      <c r="AM68" s="86">
        <f t="shared" si="108"/>
        <v>99.18</v>
      </c>
      <c r="AO68" s="71">
        <f t="shared" si="8"/>
        <v>1.5731459286954665</v>
      </c>
      <c r="AQ68" s="97" t="str">
        <f t="shared" si="9"/>
        <v>P4</v>
      </c>
      <c r="AR68" s="73">
        <f t="shared" si="85"/>
        <v>47.294276759467976</v>
      </c>
      <c r="AS68" s="73">
        <f t="shared" si="111"/>
        <v>0</v>
      </c>
      <c r="AT68" s="73">
        <f t="shared" si="112"/>
        <v>0</v>
      </c>
      <c r="AU68" s="73">
        <f t="shared" si="113"/>
        <v>0</v>
      </c>
      <c r="AV68" s="73">
        <f t="shared" si="114"/>
        <v>16.24085504597916</v>
      </c>
      <c r="AW68" s="73">
        <f t="shared" si="115"/>
        <v>0</v>
      </c>
      <c r="AX68" s="73">
        <f t="shared" si="116"/>
        <v>0</v>
      </c>
      <c r="AY68" s="73">
        <f t="shared" si="117"/>
        <v>0</v>
      </c>
      <c r="AZ68" s="73">
        <f t="shared" si="118"/>
        <v>0</v>
      </c>
      <c r="BA68" s="73">
        <f t="shared" si="119"/>
        <v>15.075651293136175</v>
      </c>
      <c r="BB68" s="73">
        <f t="shared" si="120"/>
        <v>21.389216901416692</v>
      </c>
      <c r="BC68" s="73">
        <f t="shared" si="121"/>
        <v>0</v>
      </c>
      <c r="BD68" s="73">
        <f t="shared" si="122"/>
        <v>0</v>
      </c>
      <c r="BE68" s="73">
        <f t="shared" si="123"/>
        <v>0</v>
      </c>
      <c r="BF68" s="73">
        <f t="shared" si="124"/>
        <v>0</v>
      </c>
      <c r="BG68" s="73">
        <f t="shared" si="125"/>
        <v>0</v>
      </c>
      <c r="BH68" s="73">
        <f t="shared" si="126"/>
        <v>0</v>
      </c>
      <c r="BI68" s="73">
        <f t="shared" si="127"/>
        <v>0</v>
      </c>
      <c r="BJ68" s="73">
        <f t="shared" si="128"/>
        <v>0</v>
      </c>
      <c r="BK68" s="73">
        <f t="shared" si="129"/>
        <v>0</v>
      </c>
      <c r="BL68" s="73">
        <f t="shared" si="130"/>
        <v>0</v>
      </c>
      <c r="BM68" s="73">
        <f t="shared" si="31"/>
        <v>0</v>
      </c>
      <c r="BN68" s="73">
        <f t="shared" si="131"/>
        <v>0</v>
      </c>
      <c r="BQ68">
        <f t="shared" si="132"/>
        <v>28.414401477088362</v>
      </c>
      <c r="BR68">
        <f t="shared" si="133"/>
        <v>0</v>
      </c>
      <c r="BS68">
        <f t="shared" si="134"/>
        <v>0</v>
      </c>
      <c r="BT68">
        <f t="shared" si="135"/>
        <v>0</v>
      </c>
      <c r="BU68">
        <f t="shared" si="136"/>
        <v>16.559175804880351</v>
      </c>
      <c r="BV68">
        <f t="shared" si="137"/>
        <v>0</v>
      </c>
      <c r="BW68">
        <f t="shared" si="138"/>
        <v>0</v>
      </c>
      <c r="BX68">
        <f t="shared" si="139"/>
        <v>0</v>
      </c>
      <c r="BY68">
        <f t="shared" si="140"/>
        <v>0</v>
      </c>
      <c r="BZ68">
        <f t="shared" si="141"/>
        <v>6.0769950362631926</v>
      </c>
      <c r="CA68">
        <f t="shared" si="142"/>
        <v>11.99507283831448</v>
      </c>
      <c r="CB68">
        <f t="shared" si="143"/>
        <v>0</v>
      </c>
      <c r="CC68">
        <f t="shared" si="144"/>
        <v>0</v>
      </c>
      <c r="CD68">
        <f t="shared" si="145"/>
        <v>0</v>
      </c>
      <c r="CE68">
        <f t="shared" si="146"/>
        <v>0</v>
      </c>
      <c r="CF68">
        <f t="shared" si="147"/>
        <v>0</v>
      </c>
      <c r="CG68">
        <f t="shared" si="148"/>
        <v>0</v>
      </c>
      <c r="CH68">
        <f t="shared" si="149"/>
        <v>0</v>
      </c>
      <c r="CI68">
        <f t="shared" si="150"/>
        <v>0</v>
      </c>
      <c r="CJ68">
        <f t="shared" si="151"/>
        <v>0</v>
      </c>
      <c r="CK68">
        <f t="shared" si="152"/>
        <v>0</v>
      </c>
      <c r="CL68">
        <f t="shared" si="153"/>
        <v>0</v>
      </c>
      <c r="CN68">
        <f t="shared" si="154"/>
        <v>63.045645156546385</v>
      </c>
      <c r="CP68">
        <f t="shared" si="155"/>
        <v>1.4188283027840394</v>
      </c>
      <c r="CQ68">
        <f t="shared" si="156"/>
        <v>0</v>
      </c>
      <c r="CR68">
        <f t="shared" si="157"/>
        <v>0</v>
      </c>
      <c r="CS68">
        <f t="shared" si="158"/>
        <v>0</v>
      </c>
      <c r="CT68">
        <f t="shared" si="159"/>
        <v>0.81204275229895806</v>
      </c>
      <c r="CU68">
        <f t="shared" si="160"/>
        <v>0</v>
      </c>
      <c r="CV68">
        <f t="shared" si="161"/>
        <v>0</v>
      </c>
      <c r="CW68">
        <f t="shared" si="162"/>
        <v>0</v>
      </c>
      <c r="CX68">
        <f t="shared" si="163"/>
        <v>0</v>
      </c>
      <c r="CY68">
        <f t="shared" si="164"/>
        <v>0.30151302586272349</v>
      </c>
      <c r="CZ68">
        <f t="shared" si="165"/>
        <v>0.42778433802833382</v>
      </c>
      <c r="DA68">
        <f t="shared" si="166"/>
        <v>0</v>
      </c>
      <c r="DB68">
        <f t="shared" si="167"/>
        <v>0</v>
      </c>
      <c r="DC68">
        <f t="shared" si="168"/>
        <v>0</v>
      </c>
      <c r="DD68">
        <f t="shared" si="169"/>
        <v>0</v>
      </c>
      <c r="DE68">
        <f t="shared" si="170"/>
        <v>0</v>
      </c>
      <c r="DF68">
        <f t="shared" si="171"/>
        <v>0</v>
      </c>
      <c r="DG68">
        <f t="shared" si="172"/>
        <v>0</v>
      </c>
      <c r="DH68">
        <f t="shared" si="173"/>
        <v>0</v>
      </c>
      <c r="DI68">
        <f t="shared" si="174"/>
        <v>0</v>
      </c>
      <c r="DJ68">
        <f t="shared" si="175"/>
        <v>0</v>
      </c>
      <c r="DK68">
        <f t="shared" si="176"/>
        <v>0</v>
      </c>
      <c r="DM68">
        <f t="shared" si="76"/>
        <v>2.9601684189740545</v>
      </c>
    </row>
    <row r="69" spans="2:117">
      <c r="B69" s="93" t="s">
        <v>211</v>
      </c>
      <c r="C69" s="92">
        <v>2.8069999999999999</v>
      </c>
      <c r="D69" s="43"/>
      <c r="E69" s="43"/>
      <c r="F69" s="92">
        <v>6808</v>
      </c>
      <c r="G69" s="92">
        <v>3801</v>
      </c>
      <c r="H69" s="43">
        <f t="shared" si="109"/>
        <v>2.8117614690174824E+22</v>
      </c>
      <c r="I69" s="43">
        <f t="shared" si="110"/>
        <v>7.9197130314111525E+22</v>
      </c>
      <c r="J69" s="42">
        <f t="shared" si="82"/>
        <v>130.10126124799999</v>
      </c>
      <c r="K69" s="42">
        <f t="shared" si="6"/>
        <v>40.554416007</v>
      </c>
      <c r="L69" s="42">
        <f t="shared" si="7"/>
        <v>119.37283718134186</v>
      </c>
      <c r="M69" s="79">
        <f t="shared" si="107"/>
        <v>115.21198713350819</v>
      </c>
      <c r="N69" s="79"/>
      <c r="O69" s="52" t="str">
        <f t="shared" ref="O69:O80" si="177">B69</f>
        <v>P5</v>
      </c>
      <c r="P69" s="94">
        <v>46.75</v>
      </c>
      <c r="Q69" s="91"/>
      <c r="R69" s="43"/>
      <c r="S69" s="91"/>
      <c r="T69" s="94">
        <v>19.420000000000002</v>
      </c>
      <c r="U69" s="91"/>
      <c r="V69" s="91"/>
      <c r="W69" s="43"/>
      <c r="X69" s="43"/>
      <c r="Y69" s="94">
        <v>13.23</v>
      </c>
      <c r="Z69" s="94">
        <v>19.95</v>
      </c>
      <c r="AA69" s="43"/>
      <c r="AB69" s="91"/>
      <c r="AC69" s="43"/>
      <c r="AD69" s="43"/>
      <c r="AE69" s="91"/>
      <c r="AF69" s="91"/>
      <c r="AG69" s="91"/>
      <c r="AH69" s="91"/>
      <c r="AI69" s="87"/>
      <c r="AJ69" s="87"/>
      <c r="AK69" s="87"/>
      <c r="AL69" s="87"/>
      <c r="AM69" s="86">
        <f t="shared" si="108"/>
        <v>99.350000000000009</v>
      </c>
      <c r="AO69" s="71">
        <f t="shared" si="8"/>
        <v>1.6525442086926703</v>
      </c>
      <c r="AQ69" s="97" t="str">
        <f t="shared" si="9"/>
        <v>P5</v>
      </c>
      <c r="AR69" s="73">
        <f t="shared" si="85"/>
        <v>47.086737953841947</v>
      </c>
      <c r="AS69" s="73">
        <f t="shared" si="111"/>
        <v>0</v>
      </c>
      <c r="AT69" s="73">
        <f t="shared" si="112"/>
        <v>0</v>
      </c>
      <c r="AU69" s="73">
        <f t="shared" si="113"/>
        <v>0</v>
      </c>
      <c r="AV69" s="73">
        <f t="shared" si="114"/>
        <v>11.525673488376849</v>
      </c>
      <c r="AW69" s="73">
        <f t="shared" si="115"/>
        <v>0</v>
      </c>
      <c r="AX69" s="73">
        <f t="shared" si="116"/>
        <v>0</v>
      </c>
      <c r="AY69" s="73">
        <f t="shared" si="117"/>
        <v>0</v>
      </c>
      <c r="AZ69" s="73">
        <f t="shared" si="118"/>
        <v>0</v>
      </c>
      <c r="BA69" s="73">
        <f t="shared" si="119"/>
        <v>19.860672935132449</v>
      </c>
      <c r="BB69" s="73">
        <f t="shared" si="120"/>
        <v>21.526915622648755</v>
      </c>
      <c r="BC69" s="73">
        <f t="shared" si="121"/>
        <v>0</v>
      </c>
      <c r="BD69" s="73">
        <f t="shared" si="122"/>
        <v>0</v>
      </c>
      <c r="BE69" s="73">
        <f t="shared" si="123"/>
        <v>0</v>
      </c>
      <c r="BF69" s="73">
        <f t="shared" si="124"/>
        <v>0</v>
      </c>
      <c r="BG69" s="73">
        <f t="shared" si="125"/>
        <v>0</v>
      </c>
      <c r="BH69" s="73">
        <f t="shared" si="126"/>
        <v>0</v>
      </c>
      <c r="BI69" s="73">
        <f t="shared" si="127"/>
        <v>0</v>
      </c>
      <c r="BJ69" s="73">
        <f t="shared" si="128"/>
        <v>0</v>
      </c>
      <c r="BK69" s="73">
        <f t="shared" si="129"/>
        <v>0</v>
      </c>
      <c r="BL69" s="73">
        <f t="shared" si="130"/>
        <v>0</v>
      </c>
      <c r="BM69" s="73">
        <f t="shared" si="31"/>
        <v>0</v>
      </c>
      <c r="BN69" s="73">
        <f t="shared" si="131"/>
        <v>0</v>
      </c>
      <c r="BQ69">
        <f t="shared" si="132"/>
        <v>28.289712162668241</v>
      </c>
      <c r="BR69">
        <f t="shared" si="133"/>
        <v>0</v>
      </c>
      <c r="BS69">
        <f t="shared" si="134"/>
        <v>0</v>
      </c>
      <c r="BT69">
        <f t="shared" si="135"/>
        <v>0</v>
      </c>
      <c r="BU69">
        <f t="shared" si="136"/>
        <v>11.751576688749035</v>
      </c>
      <c r="BV69">
        <f t="shared" si="137"/>
        <v>0</v>
      </c>
      <c r="BW69">
        <f t="shared" si="138"/>
        <v>0</v>
      </c>
      <c r="BX69">
        <f t="shared" si="139"/>
        <v>0</v>
      </c>
      <c r="BY69">
        <f t="shared" si="140"/>
        <v>0</v>
      </c>
      <c r="BZ69">
        <f t="shared" si="141"/>
        <v>8.0058372601518908</v>
      </c>
      <c r="CA69">
        <f t="shared" si="142"/>
        <v>12.072294281181421</v>
      </c>
      <c r="CB69">
        <f t="shared" si="143"/>
        <v>0</v>
      </c>
      <c r="CC69">
        <f t="shared" si="144"/>
        <v>0</v>
      </c>
      <c r="CD69">
        <f t="shared" si="145"/>
        <v>0</v>
      </c>
      <c r="CE69">
        <f t="shared" si="146"/>
        <v>0</v>
      </c>
      <c r="CF69">
        <f t="shared" si="147"/>
        <v>0</v>
      </c>
      <c r="CG69">
        <f t="shared" si="148"/>
        <v>0</v>
      </c>
      <c r="CH69">
        <f t="shared" si="149"/>
        <v>0</v>
      </c>
      <c r="CI69">
        <f t="shared" si="150"/>
        <v>0</v>
      </c>
      <c r="CJ69">
        <f t="shared" si="151"/>
        <v>0</v>
      </c>
      <c r="CK69">
        <f t="shared" si="152"/>
        <v>0</v>
      </c>
      <c r="CL69">
        <f t="shared" si="153"/>
        <v>0</v>
      </c>
      <c r="CN69">
        <f t="shared" si="154"/>
        <v>60.119420392750591</v>
      </c>
      <c r="CP69">
        <f t="shared" si="155"/>
        <v>1.4126021386152583</v>
      </c>
      <c r="CQ69">
        <f t="shared" si="156"/>
        <v>0</v>
      </c>
      <c r="CR69">
        <f t="shared" si="157"/>
        <v>0</v>
      </c>
      <c r="CS69">
        <f t="shared" si="158"/>
        <v>0</v>
      </c>
      <c r="CT69">
        <f t="shared" si="159"/>
        <v>0.57628367441884243</v>
      </c>
      <c r="CU69">
        <f t="shared" si="160"/>
        <v>0</v>
      </c>
      <c r="CV69">
        <f t="shared" si="161"/>
        <v>0</v>
      </c>
      <c r="CW69">
        <f t="shared" si="162"/>
        <v>0</v>
      </c>
      <c r="CX69">
        <f t="shared" si="163"/>
        <v>0</v>
      </c>
      <c r="CY69">
        <f t="shared" si="164"/>
        <v>0.39721345870264896</v>
      </c>
      <c r="CZ69">
        <f t="shared" si="165"/>
        <v>0.43053831245297508</v>
      </c>
      <c r="DA69">
        <f t="shared" si="166"/>
        <v>0</v>
      </c>
      <c r="DB69">
        <f t="shared" si="167"/>
        <v>0</v>
      </c>
      <c r="DC69">
        <f t="shared" si="168"/>
        <v>0</v>
      </c>
      <c r="DD69">
        <f t="shared" si="169"/>
        <v>0</v>
      </c>
      <c r="DE69">
        <f t="shared" si="170"/>
        <v>0</v>
      </c>
      <c r="DF69">
        <f t="shared" si="171"/>
        <v>0</v>
      </c>
      <c r="DG69">
        <f t="shared" si="172"/>
        <v>0</v>
      </c>
      <c r="DH69">
        <f t="shared" si="173"/>
        <v>0</v>
      </c>
      <c r="DI69">
        <f t="shared" si="174"/>
        <v>0</v>
      </c>
      <c r="DJ69">
        <f t="shared" si="175"/>
        <v>0</v>
      </c>
      <c r="DK69">
        <f t="shared" si="176"/>
        <v>0</v>
      </c>
      <c r="DM69">
        <f t="shared" si="76"/>
        <v>2.8166375841897247</v>
      </c>
    </row>
    <row r="70" spans="2:117">
      <c r="B70" s="93" t="s">
        <v>212</v>
      </c>
      <c r="C70" s="92">
        <v>2.82</v>
      </c>
      <c r="D70" s="43"/>
      <c r="E70" s="43"/>
      <c r="F70" s="92">
        <v>6783</v>
      </c>
      <c r="G70" s="92">
        <v>3780</v>
      </c>
      <c r="H70" s="43">
        <f t="shared" si="109"/>
        <v>2.9441260084444778E+22</v>
      </c>
      <c r="I70" s="43">
        <f t="shared" si="110"/>
        <v>7.9473880754592527E+22</v>
      </c>
      <c r="J70" s="42">
        <f t="shared" si="82"/>
        <v>129.74563097999999</v>
      </c>
      <c r="K70" s="42">
        <f t="shared" si="6"/>
        <v>40.293287999999997</v>
      </c>
      <c r="L70" s="42">
        <f t="shared" si="7"/>
        <v>118.48163126863462</v>
      </c>
      <c r="M70" s="79">
        <f t="shared" si="107"/>
        <v>114.40605949459309</v>
      </c>
      <c r="N70" s="79"/>
      <c r="O70" s="52" t="str">
        <f t="shared" si="177"/>
        <v>P6</v>
      </c>
      <c r="P70" s="94">
        <v>49.23</v>
      </c>
      <c r="Q70" s="91"/>
      <c r="R70" s="43"/>
      <c r="S70" s="91"/>
      <c r="T70" s="94">
        <v>13.08</v>
      </c>
      <c r="U70" s="91"/>
      <c r="V70" s="91"/>
      <c r="W70" s="43"/>
      <c r="X70" s="43"/>
      <c r="Y70" s="94">
        <v>16.37</v>
      </c>
      <c r="Z70" s="94">
        <v>20.64</v>
      </c>
      <c r="AA70" s="43"/>
      <c r="AB70" s="91"/>
      <c r="AC70" s="43"/>
      <c r="AD70" s="43"/>
      <c r="AE70" s="91"/>
      <c r="AF70" s="91"/>
      <c r="AG70" s="91"/>
      <c r="AH70" s="91"/>
      <c r="AI70" s="87"/>
      <c r="AJ70" s="87"/>
      <c r="AK70" s="87"/>
      <c r="AL70" s="87"/>
      <c r="AM70" s="86">
        <f t="shared" si="108"/>
        <v>99.32</v>
      </c>
      <c r="AO70" s="71">
        <f t="shared" ref="AO70:AO133" si="178">(P70/$AR$3+Q70/$AS$3+R70/$AT$3+S70/$AU$3+T70/$AV$3+U70/$AW$3+V70/$AX$3+W70/$AY$3+X70/$AZ$3+Y70/$BA$3+Z70/$BB$3+AA70/$BC$3+AB70/$BD$3+AC70/$BE$3+AD70/$BF$3+AE70/$BG$3+AF70/$BH$3+AG70/$BI$3+AH70/$BJ$3+AI70/$BK$3+AJ70/$BL$3+AL70/$BN$3+AK70/$BM$3)</f>
        <v>1.7218414120377223</v>
      </c>
      <c r="AQ70" s="97" t="str">
        <f t="shared" ref="AQ70:AQ85" si="179">O70</f>
        <v>P6</v>
      </c>
      <c r="AR70" s="73">
        <f t="shared" si="85"/>
        <v>47.589020161539466</v>
      </c>
      <c r="AS70" s="73">
        <f t="shared" si="111"/>
        <v>0</v>
      </c>
      <c r="AT70" s="73">
        <f t="shared" si="112"/>
        <v>0</v>
      </c>
      <c r="AU70" s="73">
        <f t="shared" si="113"/>
        <v>0</v>
      </c>
      <c r="AV70" s="73">
        <f t="shared" si="114"/>
        <v>7.4504888371292974</v>
      </c>
      <c r="AW70" s="73">
        <f t="shared" si="115"/>
        <v>0</v>
      </c>
      <c r="AX70" s="73">
        <f t="shared" si="116"/>
        <v>0</v>
      </c>
      <c r="AY70" s="73">
        <f t="shared" si="117"/>
        <v>0</v>
      </c>
      <c r="AZ70" s="73">
        <f t="shared" si="118"/>
        <v>0</v>
      </c>
      <c r="BA70" s="73">
        <f t="shared" si="119"/>
        <v>23.585372102478196</v>
      </c>
      <c r="BB70" s="73">
        <f t="shared" si="120"/>
        <v>21.375118898853039</v>
      </c>
      <c r="BC70" s="73">
        <f t="shared" si="121"/>
        <v>0</v>
      </c>
      <c r="BD70" s="73">
        <f t="shared" si="122"/>
        <v>0</v>
      </c>
      <c r="BE70" s="73">
        <f t="shared" si="123"/>
        <v>0</v>
      </c>
      <c r="BF70" s="73">
        <f t="shared" si="124"/>
        <v>0</v>
      </c>
      <c r="BG70" s="73">
        <f t="shared" si="125"/>
        <v>0</v>
      </c>
      <c r="BH70" s="73">
        <f t="shared" si="126"/>
        <v>0</v>
      </c>
      <c r="BI70" s="73">
        <f t="shared" si="127"/>
        <v>0</v>
      </c>
      <c r="BJ70" s="73">
        <f t="shared" si="128"/>
        <v>0</v>
      </c>
      <c r="BK70" s="73">
        <f t="shared" si="129"/>
        <v>0</v>
      </c>
      <c r="BL70" s="73">
        <f t="shared" si="130"/>
        <v>0</v>
      </c>
      <c r="BM70" s="73">
        <f t="shared" ref="BM70:BM85" si="180">100*AK70/$BM$3/$AO70</f>
        <v>0</v>
      </c>
      <c r="BN70" s="73">
        <f t="shared" si="131"/>
        <v>0</v>
      </c>
      <c r="BQ70">
        <f t="shared" si="132"/>
        <v>28.591483313052908</v>
      </c>
      <c r="BR70">
        <f t="shared" si="133"/>
        <v>0</v>
      </c>
      <c r="BS70">
        <f t="shared" si="134"/>
        <v>0</v>
      </c>
      <c r="BT70">
        <f t="shared" si="135"/>
        <v>0</v>
      </c>
      <c r="BU70">
        <f t="shared" si="136"/>
        <v>7.5965184183370313</v>
      </c>
      <c r="BV70">
        <f t="shared" si="137"/>
        <v>0</v>
      </c>
      <c r="BW70">
        <f t="shared" si="138"/>
        <v>0</v>
      </c>
      <c r="BX70">
        <f t="shared" si="139"/>
        <v>0</v>
      </c>
      <c r="BY70">
        <f t="shared" si="140"/>
        <v>0</v>
      </c>
      <c r="BZ70">
        <f t="shared" si="141"/>
        <v>9.5072634945089618</v>
      </c>
      <c r="CA70">
        <f t="shared" si="142"/>
        <v>11.987166678476783</v>
      </c>
      <c r="CB70">
        <f t="shared" si="143"/>
        <v>0</v>
      </c>
      <c r="CC70">
        <f t="shared" si="144"/>
        <v>0</v>
      </c>
      <c r="CD70">
        <f t="shared" si="145"/>
        <v>0</v>
      </c>
      <c r="CE70">
        <f t="shared" si="146"/>
        <v>0</v>
      </c>
      <c r="CF70">
        <f t="shared" si="147"/>
        <v>0</v>
      </c>
      <c r="CG70">
        <f t="shared" si="148"/>
        <v>0</v>
      </c>
      <c r="CH70">
        <f t="shared" si="149"/>
        <v>0</v>
      </c>
      <c r="CI70">
        <f t="shared" si="150"/>
        <v>0</v>
      </c>
      <c r="CJ70">
        <f t="shared" si="151"/>
        <v>0</v>
      </c>
      <c r="CK70">
        <f t="shared" si="152"/>
        <v>0</v>
      </c>
      <c r="CL70">
        <f t="shared" si="153"/>
        <v>0</v>
      </c>
      <c r="CN70">
        <f t="shared" si="154"/>
        <v>57.682431904375683</v>
      </c>
      <c r="CP70">
        <f t="shared" si="155"/>
        <v>1.4276706048461838</v>
      </c>
      <c r="CQ70">
        <f t="shared" si="156"/>
        <v>0</v>
      </c>
      <c r="CR70">
        <f t="shared" si="157"/>
        <v>0</v>
      </c>
      <c r="CS70">
        <f t="shared" si="158"/>
        <v>0</v>
      </c>
      <c r="CT70">
        <f t="shared" si="159"/>
        <v>0.37252444185646488</v>
      </c>
      <c r="CU70">
        <f t="shared" si="160"/>
        <v>0</v>
      </c>
      <c r="CV70">
        <f t="shared" si="161"/>
        <v>0</v>
      </c>
      <c r="CW70">
        <f t="shared" si="162"/>
        <v>0</v>
      </c>
      <c r="CX70">
        <f t="shared" si="163"/>
        <v>0</v>
      </c>
      <c r="CY70">
        <f t="shared" si="164"/>
        <v>0.47170744204956394</v>
      </c>
      <c r="CZ70">
        <f t="shared" si="165"/>
        <v>0.42750237797706075</v>
      </c>
      <c r="DA70">
        <f t="shared" si="166"/>
        <v>0</v>
      </c>
      <c r="DB70">
        <f t="shared" si="167"/>
        <v>0</v>
      </c>
      <c r="DC70">
        <f t="shared" si="168"/>
        <v>0</v>
      </c>
      <c r="DD70">
        <f t="shared" si="169"/>
        <v>0</v>
      </c>
      <c r="DE70">
        <f t="shared" si="170"/>
        <v>0</v>
      </c>
      <c r="DF70">
        <f t="shared" si="171"/>
        <v>0</v>
      </c>
      <c r="DG70">
        <f t="shared" si="172"/>
        <v>0</v>
      </c>
      <c r="DH70">
        <f t="shared" si="173"/>
        <v>0</v>
      </c>
      <c r="DI70">
        <f t="shared" si="174"/>
        <v>0</v>
      </c>
      <c r="DJ70">
        <f t="shared" si="175"/>
        <v>0</v>
      </c>
      <c r="DK70">
        <f t="shared" si="176"/>
        <v>0</v>
      </c>
      <c r="DM70">
        <f t="shared" si="76"/>
        <v>2.6994048667292736</v>
      </c>
    </row>
    <row r="71" spans="2:117">
      <c r="B71" s="93" t="s">
        <v>213</v>
      </c>
      <c r="C71" s="92">
        <v>2.827</v>
      </c>
      <c r="D71" s="43"/>
      <c r="E71" s="43"/>
      <c r="F71" s="92">
        <v>6787</v>
      </c>
      <c r="G71" s="92">
        <v>3781</v>
      </c>
      <c r="H71" s="43">
        <f t="shared" si="109"/>
        <v>3.0723569002178486E+22</v>
      </c>
      <c r="I71" s="43">
        <f t="shared" si="110"/>
        <v>7.9427163968302934E+22</v>
      </c>
      <c r="J71" s="42">
        <f t="shared" si="82"/>
        <v>130.22114416299999</v>
      </c>
      <c r="K71" s="42">
        <f t="shared" si="6"/>
        <v>40.414681747000003</v>
      </c>
      <c r="L71" s="42">
        <f t="shared" si="7"/>
        <v>118.74135781666197</v>
      </c>
      <c r="M71" s="79">
        <f t="shared" si="107"/>
        <v>114.77404620516528</v>
      </c>
      <c r="N71" s="79"/>
      <c r="O71" s="52" t="str">
        <f t="shared" si="177"/>
        <v>P7</v>
      </c>
      <c r="P71" s="94">
        <v>51.65</v>
      </c>
      <c r="Q71" s="91"/>
      <c r="R71" s="43"/>
      <c r="S71" s="91"/>
      <c r="T71" s="94">
        <v>6.45</v>
      </c>
      <c r="U71" s="91"/>
      <c r="V71" s="91"/>
      <c r="W71" s="43"/>
      <c r="X71" s="43"/>
      <c r="Y71" s="94">
        <v>19.27</v>
      </c>
      <c r="Z71" s="94">
        <v>22</v>
      </c>
      <c r="AA71" s="43"/>
      <c r="AB71" s="91"/>
      <c r="AC71" s="43"/>
      <c r="AD71" s="43"/>
      <c r="AE71" s="91"/>
      <c r="AF71" s="91"/>
      <c r="AG71" s="91"/>
      <c r="AH71" s="91"/>
      <c r="AI71" s="87"/>
      <c r="AJ71" s="87"/>
      <c r="AK71" s="87"/>
      <c r="AL71" s="87"/>
      <c r="AM71" s="86">
        <f t="shared" si="108"/>
        <v>99.37</v>
      </c>
      <c r="AO71" s="71">
        <f t="shared" si="178"/>
        <v>1.7932890549486566</v>
      </c>
      <c r="AQ71" s="97" t="str">
        <f t="shared" si="179"/>
        <v>P7</v>
      </c>
      <c r="AR71" s="73">
        <f t="shared" si="85"/>
        <v>47.939125124073357</v>
      </c>
      <c r="AS71" s="73">
        <f t="shared" si="111"/>
        <v>0</v>
      </c>
      <c r="AT71" s="73">
        <f t="shared" si="112"/>
        <v>0</v>
      </c>
      <c r="AU71" s="73">
        <f t="shared" si="113"/>
        <v>0</v>
      </c>
      <c r="AV71" s="73">
        <f t="shared" si="114"/>
        <v>3.5276020798886667</v>
      </c>
      <c r="AW71" s="73">
        <f t="shared" si="115"/>
        <v>0</v>
      </c>
      <c r="AX71" s="73">
        <f t="shared" si="116"/>
        <v>0</v>
      </c>
      <c r="AY71" s="73">
        <f t="shared" si="117"/>
        <v>0</v>
      </c>
      <c r="AZ71" s="73">
        <f t="shared" si="118"/>
        <v>0</v>
      </c>
      <c r="BA71" s="73">
        <f t="shared" si="119"/>
        <v>26.657450942871776</v>
      </c>
      <c r="BB71" s="73">
        <f t="shared" si="120"/>
        <v>21.875821853166201</v>
      </c>
      <c r="BC71" s="73">
        <f t="shared" si="121"/>
        <v>0</v>
      </c>
      <c r="BD71" s="73">
        <f t="shared" si="122"/>
        <v>0</v>
      </c>
      <c r="BE71" s="73">
        <f t="shared" si="123"/>
        <v>0</v>
      </c>
      <c r="BF71" s="73">
        <f t="shared" si="124"/>
        <v>0</v>
      </c>
      <c r="BG71" s="73">
        <f t="shared" si="125"/>
        <v>0</v>
      </c>
      <c r="BH71" s="73">
        <f t="shared" si="126"/>
        <v>0</v>
      </c>
      <c r="BI71" s="73">
        <f t="shared" si="127"/>
        <v>0</v>
      </c>
      <c r="BJ71" s="73">
        <f t="shared" si="128"/>
        <v>0</v>
      </c>
      <c r="BK71" s="73">
        <f t="shared" si="129"/>
        <v>0</v>
      </c>
      <c r="BL71" s="73">
        <f t="shared" si="130"/>
        <v>0</v>
      </c>
      <c r="BM71" s="73">
        <f t="shared" si="180"/>
        <v>0</v>
      </c>
      <c r="BN71" s="73">
        <f t="shared" si="131"/>
        <v>0</v>
      </c>
      <c r="BQ71">
        <f t="shared" si="132"/>
        <v>28.801826374543271</v>
      </c>
      <c r="BR71">
        <f t="shared" si="133"/>
        <v>0</v>
      </c>
      <c r="BS71">
        <f t="shared" si="134"/>
        <v>0</v>
      </c>
      <c r="BT71">
        <f t="shared" si="135"/>
        <v>0</v>
      </c>
      <c r="BU71">
        <f t="shared" si="136"/>
        <v>3.5967430806544849</v>
      </c>
      <c r="BV71">
        <f t="shared" si="137"/>
        <v>0</v>
      </c>
      <c r="BW71">
        <f t="shared" si="138"/>
        <v>0</v>
      </c>
      <c r="BX71">
        <f t="shared" si="139"/>
        <v>0</v>
      </c>
      <c r="BY71">
        <f t="shared" si="140"/>
        <v>0</v>
      </c>
      <c r="BZ71">
        <f t="shared" si="141"/>
        <v>10.745618475071613</v>
      </c>
      <c r="CA71">
        <f t="shared" si="142"/>
        <v>12.267960895255605</v>
      </c>
      <c r="CB71">
        <f t="shared" si="143"/>
        <v>0</v>
      </c>
      <c r="CC71">
        <f t="shared" si="144"/>
        <v>0</v>
      </c>
      <c r="CD71">
        <f t="shared" si="145"/>
        <v>0</v>
      </c>
      <c r="CE71">
        <f t="shared" si="146"/>
        <v>0</v>
      </c>
      <c r="CF71">
        <f t="shared" si="147"/>
        <v>0</v>
      </c>
      <c r="CG71">
        <f t="shared" si="148"/>
        <v>0</v>
      </c>
      <c r="CH71">
        <f t="shared" si="149"/>
        <v>0</v>
      </c>
      <c r="CI71">
        <f t="shared" si="150"/>
        <v>0</v>
      </c>
      <c r="CJ71">
        <f t="shared" si="151"/>
        <v>0</v>
      </c>
      <c r="CK71">
        <f t="shared" si="152"/>
        <v>0</v>
      </c>
      <c r="CL71">
        <f t="shared" si="153"/>
        <v>0</v>
      </c>
      <c r="CN71">
        <f t="shared" si="154"/>
        <v>55.412148825524973</v>
      </c>
      <c r="CP71">
        <f t="shared" si="155"/>
        <v>1.4381737537222006</v>
      </c>
      <c r="CQ71">
        <f t="shared" si="156"/>
        <v>0</v>
      </c>
      <c r="CR71">
        <f t="shared" si="157"/>
        <v>0</v>
      </c>
      <c r="CS71">
        <f t="shared" si="158"/>
        <v>0</v>
      </c>
      <c r="CT71">
        <f t="shared" si="159"/>
        <v>0.17638010399443335</v>
      </c>
      <c r="CU71">
        <f t="shared" si="160"/>
        <v>0</v>
      </c>
      <c r="CV71">
        <f t="shared" si="161"/>
        <v>0</v>
      </c>
      <c r="CW71">
        <f t="shared" si="162"/>
        <v>0</v>
      </c>
      <c r="CX71">
        <f t="shared" si="163"/>
        <v>0</v>
      </c>
      <c r="CY71">
        <f t="shared" si="164"/>
        <v>0.53314901885743549</v>
      </c>
      <c r="CZ71">
        <f t="shared" si="165"/>
        <v>0.43751643706332399</v>
      </c>
      <c r="DA71">
        <f t="shared" si="166"/>
        <v>0</v>
      </c>
      <c r="DB71">
        <f t="shared" si="167"/>
        <v>0</v>
      </c>
      <c r="DC71">
        <f t="shared" si="168"/>
        <v>0</v>
      </c>
      <c r="DD71">
        <f t="shared" si="169"/>
        <v>0</v>
      </c>
      <c r="DE71">
        <f t="shared" si="170"/>
        <v>0</v>
      </c>
      <c r="DF71">
        <f t="shared" si="171"/>
        <v>0</v>
      </c>
      <c r="DG71">
        <f t="shared" si="172"/>
        <v>0</v>
      </c>
      <c r="DH71">
        <f t="shared" si="173"/>
        <v>0</v>
      </c>
      <c r="DI71">
        <f t="shared" si="174"/>
        <v>0</v>
      </c>
      <c r="DJ71">
        <f t="shared" si="175"/>
        <v>0</v>
      </c>
      <c r="DK71">
        <f t="shared" si="176"/>
        <v>0</v>
      </c>
      <c r="DM71">
        <f t="shared" si="76"/>
        <v>2.5852193136373929</v>
      </c>
    </row>
    <row r="72" spans="2:117">
      <c r="B72" s="93" t="s">
        <v>214</v>
      </c>
      <c r="C72" s="92">
        <v>2.7850000000000001</v>
      </c>
      <c r="D72" s="43"/>
      <c r="E72" s="43"/>
      <c r="F72" s="92">
        <v>6898</v>
      </c>
      <c r="G72" s="92">
        <v>3850</v>
      </c>
      <c r="H72" s="43">
        <f t="shared" si="109"/>
        <v>2.7574205144081631E+22</v>
      </c>
      <c r="I72" s="43">
        <f t="shared" si="110"/>
        <v>7.9077623235312374E+22</v>
      </c>
      <c r="J72" s="42">
        <f t="shared" si="82"/>
        <v>132.51699514000001</v>
      </c>
      <c r="K72" s="42">
        <f t="shared" si="6"/>
        <v>41.280662499999998</v>
      </c>
      <c r="L72" s="42">
        <f t="shared" si="7"/>
        <v>121.5958418732797</v>
      </c>
      <c r="M72" s="79">
        <f t="shared" si="107"/>
        <v>117.40046145490955</v>
      </c>
      <c r="N72" s="79"/>
      <c r="O72" s="52" t="str">
        <f t="shared" si="177"/>
        <v>P8</v>
      </c>
      <c r="P72" s="94">
        <v>44.49</v>
      </c>
      <c r="Q72" s="91"/>
      <c r="R72" s="43"/>
      <c r="S72" s="91"/>
      <c r="T72" s="94">
        <v>22.63</v>
      </c>
      <c r="U72" s="91"/>
      <c r="V72" s="91"/>
      <c r="W72" s="43"/>
      <c r="X72" s="43"/>
      <c r="Y72" s="94">
        <v>13.95</v>
      </c>
      <c r="Z72" s="94">
        <v>17.5</v>
      </c>
      <c r="AA72" s="43"/>
      <c r="AB72" s="91"/>
      <c r="AC72" s="43"/>
      <c r="AD72" s="43"/>
      <c r="AE72" s="91"/>
      <c r="AF72" s="91"/>
      <c r="AG72" s="91"/>
      <c r="AH72" s="91"/>
      <c r="AI72" s="87"/>
      <c r="AJ72" s="87"/>
      <c r="AK72" s="87"/>
      <c r="AL72" s="87"/>
      <c r="AM72" s="86">
        <f t="shared" si="108"/>
        <v>98.570000000000007</v>
      </c>
      <c r="AO72" s="71">
        <f t="shared" si="178"/>
        <v>1.6205846155109109</v>
      </c>
      <c r="AQ72" s="97" t="str">
        <f t="shared" si="179"/>
        <v>P8</v>
      </c>
      <c r="AR72" s="73">
        <f t="shared" si="85"/>
        <v>45.694167568461694</v>
      </c>
      <c r="AS72" s="73">
        <f t="shared" si="111"/>
        <v>0</v>
      </c>
      <c r="AT72" s="73">
        <f t="shared" si="112"/>
        <v>0</v>
      </c>
      <c r="AU72" s="73">
        <f t="shared" si="113"/>
        <v>0</v>
      </c>
      <c r="AV72" s="73">
        <f t="shared" si="114"/>
        <v>13.695661559710464</v>
      </c>
      <c r="AW72" s="73">
        <f t="shared" si="115"/>
        <v>0</v>
      </c>
      <c r="AX72" s="73">
        <f t="shared" si="116"/>
        <v>0</v>
      </c>
      <c r="AY72" s="73">
        <f t="shared" si="117"/>
        <v>0</v>
      </c>
      <c r="AZ72" s="73">
        <f t="shared" si="118"/>
        <v>0</v>
      </c>
      <c r="BA72" s="73">
        <f t="shared" si="119"/>
        <v>21.354514284250328</v>
      </c>
      <c r="BB72" s="73">
        <f t="shared" si="120"/>
        <v>19.255656587577516</v>
      </c>
      <c r="BC72" s="73">
        <f t="shared" si="121"/>
        <v>0</v>
      </c>
      <c r="BD72" s="73">
        <f t="shared" si="122"/>
        <v>0</v>
      </c>
      <c r="BE72" s="73">
        <f t="shared" si="123"/>
        <v>0</v>
      </c>
      <c r="BF72" s="73">
        <f t="shared" si="124"/>
        <v>0</v>
      </c>
      <c r="BG72" s="73">
        <f t="shared" si="125"/>
        <v>0</v>
      </c>
      <c r="BH72" s="73">
        <f t="shared" si="126"/>
        <v>0</v>
      </c>
      <c r="BI72" s="73">
        <f t="shared" si="127"/>
        <v>0</v>
      </c>
      <c r="BJ72" s="73">
        <f t="shared" si="128"/>
        <v>0</v>
      </c>
      <c r="BK72" s="73">
        <f t="shared" si="129"/>
        <v>0</v>
      </c>
      <c r="BL72" s="73">
        <f t="shared" si="130"/>
        <v>0</v>
      </c>
      <c r="BM72" s="73">
        <f t="shared" si="180"/>
        <v>0</v>
      </c>
      <c r="BN72" s="73">
        <f t="shared" si="131"/>
        <v>0</v>
      </c>
      <c r="BQ72">
        <f t="shared" si="132"/>
        <v>27.453055875131785</v>
      </c>
      <c r="BR72">
        <f t="shared" si="133"/>
        <v>0</v>
      </c>
      <c r="BS72">
        <f t="shared" si="134"/>
        <v>0</v>
      </c>
      <c r="BT72">
        <f t="shared" si="135"/>
        <v>0</v>
      </c>
      <c r="BU72">
        <f t="shared" si="136"/>
        <v>13.964096526280789</v>
      </c>
      <c r="BV72">
        <f t="shared" si="137"/>
        <v>0</v>
      </c>
      <c r="BW72">
        <f t="shared" si="138"/>
        <v>0</v>
      </c>
      <c r="BX72">
        <f t="shared" si="139"/>
        <v>0</v>
      </c>
      <c r="BY72">
        <f t="shared" si="140"/>
        <v>0</v>
      </c>
      <c r="BZ72">
        <f t="shared" si="141"/>
        <v>8.6080047079813085</v>
      </c>
      <c r="CA72">
        <f t="shared" si="142"/>
        <v>10.79857221431347</v>
      </c>
      <c r="CB72">
        <f t="shared" si="143"/>
        <v>0</v>
      </c>
      <c r="CC72">
        <f t="shared" si="144"/>
        <v>0</v>
      </c>
      <c r="CD72">
        <f t="shared" si="145"/>
        <v>0</v>
      </c>
      <c r="CE72">
        <f t="shared" si="146"/>
        <v>0</v>
      </c>
      <c r="CF72">
        <f t="shared" si="147"/>
        <v>0</v>
      </c>
      <c r="CG72">
        <f t="shared" si="148"/>
        <v>0</v>
      </c>
      <c r="CH72">
        <f t="shared" si="149"/>
        <v>0</v>
      </c>
      <c r="CI72">
        <f t="shared" si="150"/>
        <v>0</v>
      </c>
      <c r="CJ72">
        <f t="shared" si="151"/>
        <v>0</v>
      </c>
      <c r="CK72">
        <f t="shared" si="152"/>
        <v>0</v>
      </c>
      <c r="CL72">
        <f t="shared" si="153"/>
        <v>0</v>
      </c>
      <c r="CN72">
        <f t="shared" si="154"/>
        <v>60.823729323707354</v>
      </c>
      <c r="CP72">
        <f t="shared" si="155"/>
        <v>1.3708250270538509</v>
      </c>
      <c r="CQ72">
        <f t="shared" si="156"/>
        <v>0</v>
      </c>
      <c r="CR72">
        <f t="shared" si="157"/>
        <v>0</v>
      </c>
      <c r="CS72">
        <f t="shared" si="158"/>
        <v>0</v>
      </c>
      <c r="CT72">
        <f t="shared" si="159"/>
        <v>0.68478307798552329</v>
      </c>
      <c r="CU72">
        <f t="shared" si="160"/>
        <v>0</v>
      </c>
      <c r="CV72">
        <f t="shared" si="161"/>
        <v>0</v>
      </c>
      <c r="CW72">
        <f t="shared" si="162"/>
        <v>0</v>
      </c>
      <c r="CX72">
        <f t="shared" si="163"/>
        <v>0</v>
      </c>
      <c r="CY72">
        <f t="shared" si="164"/>
        <v>0.42709028568500657</v>
      </c>
      <c r="CZ72">
        <f t="shared" si="165"/>
        <v>0.38511313175155032</v>
      </c>
      <c r="DA72">
        <f t="shared" si="166"/>
        <v>0</v>
      </c>
      <c r="DB72">
        <f t="shared" si="167"/>
        <v>0</v>
      </c>
      <c r="DC72">
        <f t="shared" si="168"/>
        <v>0</v>
      </c>
      <c r="DD72">
        <f t="shared" si="169"/>
        <v>0</v>
      </c>
      <c r="DE72">
        <f t="shared" si="170"/>
        <v>0</v>
      </c>
      <c r="DF72">
        <f t="shared" si="171"/>
        <v>0</v>
      </c>
      <c r="DG72">
        <f t="shared" si="172"/>
        <v>0</v>
      </c>
      <c r="DH72">
        <f t="shared" si="173"/>
        <v>0</v>
      </c>
      <c r="DI72">
        <f t="shared" si="174"/>
        <v>0</v>
      </c>
      <c r="DJ72">
        <f t="shared" si="175"/>
        <v>0</v>
      </c>
      <c r="DK72">
        <f t="shared" si="176"/>
        <v>0</v>
      </c>
      <c r="DM72">
        <f t="shared" si="76"/>
        <v>2.8678115224759306</v>
      </c>
    </row>
    <row r="73" spans="2:117">
      <c r="B73" s="93" t="s">
        <v>215</v>
      </c>
      <c r="C73" s="92">
        <v>2.83</v>
      </c>
      <c r="D73" s="43"/>
      <c r="E73" s="43"/>
      <c r="F73" s="92">
        <v>6886</v>
      </c>
      <c r="G73" s="92">
        <v>3835</v>
      </c>
      <c r="H73" s="43">
        <f t="shared" si="109"/>
        <v>2.9105500138484873E+22</v>
      </c>
      <c r="I73" s="43">
        <f t="shared" si="110"/>
        <v>8.0175977519285405E+22</v>
      </c>
      <c r="J73" s="42">
        <f t="shared" si="82"/>
        <v>134.19009868000001</v>
      </c>
      <c r="K73" s="42">
        <f t="shared" si="6"/>
        <v>41.621446749999997</v>
      </c>
      <c r="L73" s="42">
        <f t="shared" si="7"/>
        <v>122.49345795001875</v>
      </c>
      <c r="M73" s="79">
        <f t="shared" si="107"/>
        <v>118.33334414202459</v>
      </c>
      <c r="N73" s="79"/>
      <c r="O73" s="52" t="str">
        <f t="shared" si="177"/>
        <v>P9</v>
      </c>
      <c r="P73" s="94">
        <v>46.42</v>
      </c>
      <c r="Q73" s="91"/>
      <c r="R73" s="43"/>
      <c r="S73" s="91"/>
      <c r="T73" s="94">
        <v>17.25</v>
      </c>
      <c r="U73" s="91"/>
      <c r="V73" s="91"/>
      <c r="W73" s="43"/>
      <c r="X73" s="43"/>
      <c r="Y73" s="94">
        <v>17.010000000000002</v>
      </c>
      <c r="Z73" s="94">
        <v>18.649999999999999</v>
      </c>
      <c r="AA73" s="43"/>
      <c r="AB73" s="91"/>
      <c r="AC73" s="43"/>
      <c r="AD73" s="43"/>
      <c r="AE73" s="91"/>
      <c r="AF73" s="91"/>
      <c r="AG73" s="91"/>
      <c r="AH73" s="91"/>
      <c r="AI73" s="87"/>
      <c r="AJ73" s="87"/>
      <c r="AK73" s="87"/>
      <c r="AL73" s="87"/>
      <c r="AM73" s="86">
        <f t="shared" si="108"/>
        <v>99.330000000000013</v>
      </c>
      <c r="AO73" s="71">
        <f t="shared" si="178"/>
        <v>1.6963607637380507</v>
      </c>
      <c r="AQ73" s="97" t="str">
        <f t="shared" si="179"/>
        <v>P9</v>
      </c>
      <c r="AR73" s="73">
        <f t="shared" si="85"/>
        <v>45.546708058993595</v>
      </c>
      <c r="AS73" s="73">
        <f t="shared" si="111"/>
        <v>0</v>
      </c>
      <c r="AT73" s="73">
        <f t="shared" si="112"/>
        <v>0</v>
      </c>
      <c r="AU73" s="73">
        <f t="shared" si="113"/>
        <v>0</v>
      </c>
      <c r="AV73" s="73">
        <f t="shared" si="114"/>
        <v>9.9733498521988793</v>
      </c>
      <c r="AW73" s="73">
        <f t="shared" si="115"/>
        <v>0</v>
      </c>
      <c r="AX73" s="73">
        <f t="shared" si="116"/>
        <v>0</v>
      </c>
      <c r="AY73" s="73">
        <f t="shared" si="117"/>
        <v>0</v>
      </c>
      <c r="AZ73" s="73">
        <f t="shared" si="118"/>
        <v>0</v>
      </c>
      <c r="BA73" s="73">
        <f t="shared" si="119"/>
        <v>24.875584644113431</v>
      </c>
      <c r="BB73" s="73">
        <f t="shared" si="120"/>
        <v>19.604357444694102</v>
      </c>
      <c r="BC73" s="73">
        <f t="shared" si="121"/>
        <v>0</v>
      </c>
      <c r="BD73" s="73">
        <f t="shared" si="122"/>
        <v>0</v>
      </c>
      <c r="BE73" s="73">
        <f t="shared" si="123"/>
        <v>0</v>
      </c>
      <c r="BF73" s="73">
        <f t="shared" si="124"/>
        <v>0</v>
      </c>
      <c r="BG73" s="73">
        <f t="shared" si="125"/>
        <v>0</v>
      </c>
      <c r="BH73" s="73">
        <f t="shared" si="126"/>
        <v>0</v>
      </c>
      <c r="BI73" s="73">
        <f t="shared" si="127"/>
        <v>0</v>
      </c>
      <c r="BJ73" s="73">
        <f t="shared" si="128"/>
        <v>0</v>
      </c>
      <c r="BK73" s="73">
        <f t="shared" si="129"/>
        <v>0</v>
      </c>
      <c r="BL73" s="73">
        <f t="shared" si="130"/>
        <v>0</v>
      </c>
      <c r="BM73" s="73">
        <f t="shared" si="180"/>
        <v>0</v>
      </c>
      <c r="BN73" s="73">
        <f t="shared" si="131"/>
        <v>0</v>
      </c>
      <c r="BQ73">
        <f t="shared" si="132"/>
        <v>27.364462201843352</v>
      </c>
      <c r="BR73">
        <f t="shared" si="133"/>
        <v>0</v>
      </c>
      <c r="BS73">
        <f t="shared" si="134"/>
        <v>0</v>
      </c>
      <c r="BT73">
        <f t="shared" si="135"/>
        <v>0</v>
      </c>
      <c r="BU73">
        <f t="shared" si="136"/>
        <v>10.168827509301977</v>
      </c>
      <c r="BV73">
        <f t="shared" si="137"/>
        <v>0</v>
      </c>
      <c r="BW73">
        <f t="shared" si="138"/>
        <v>0</v>
      </c>
      <c r="BX73">
        <f t="shared" si="139"/>
        <v>0</v>
      </c>
      <c r="BY73">
        <f t="shared" si="140"/>
        <v>0</v>
      </c>
      <c r="BZ73">
        <f t="shared" si="141"/>
        <v>10.027348170042124</v>
      </c>
      <c r="CA73">
        <f t="shared" si="142"/>
        <v>10.994123654984451</v>
      </c>
      <c r="CB73">
        <f t="shared" si="143"/>
        <v>0</v>
      </c>
      <c r="CC73">
        <f t="shared" si="144"/>
        <v>0</v>
      </c>
      <c r="CD73">
        <f t="shared" si="145"/>
        <v>0</v>
      </c>
      <c r="CE73">
        <f t="shared" si="146"/>
        <v>0</v>
      </c>
      <c r="CF73">
        <f t="shared" si="147"/>
        <v>0</v>
      </c>
      <c r="CG73">
        <f t="shared" si="148"/>
        <v>0</v>
      </c>
      <c r="CH73">
        <f t="shared" si="149"/>
        <v>0</v>
      </c>
      <c r="CI73">
        <f t="shared" si="150"/>
        <v>0</v>
      </c>
      <c r="CJ73">
        <f t="shared" si="151"/>
        <v>0</v>
      </c>
      <c r="CK73">
        <f t="shared" si="152"/>
        <v>0</v>
      </c>
      <c r="CL73">
        <f t="shared" si="153"/>
        <v>0</v>
      </c>
      <c r="CN73">
        <f t="shared" si="154"/>
        <v>58.554761536171902</v>
      </c>
      <c r="CP73">
        <f t="shared" si="155"/>
        <v>1.3664012417698079</v>
      </c>
      <c r="CQ73">
        <f t="shared" si="156"/>
        <v>0</v>
      </c>
      <c r="CR73">
        <f t="shared" si="157"/>
        <v>0</v>
      </c>
      <c r="CS73">
        <f t="shared" si="158"/>
        <v>0</v>
      </c>
      <c r="CT73">
        <f t="shared" si="159"/>
        <v>0.49866749260994392</v>
      </c>
      <c r="CU73">
        <f t="shared" si="160"/>
        <v>0</v>
      </c>
      <c r="CV73">
        <f t="shared" si="161"/>
        <v>0</v>
      </c>
      <c r="CW73">
        <f t="shared" si="162"/>
        <v>0</v>
      </c>
      <c r="CX73">
        <f t="shared" si="163"/>
        <v>0</v>
      </c>
      <c r="CY73">
        <f t="shared" si="164"/>
        <v>0.4975116928822686</v>
      </c>
      <c r="CZ73">
        <f t="shared" si="165"/>
        <v>0.39208714889388202</v>
      </c>
      <c r="DA73">
        <f t="shared" si="166"/>
        <v>0</v>
      </c>
      <c r="DB73">
        <f t="shared" si="167"/>
        <v>0</v>
      </c>
      <c r="DC73">
        <f t="shared" si="168"/>
        <v>0</v>
      </c>
      <c r="DD73">
        <f t="shared" si="169"/>
        <v>0</v>
      </c>
      <c r="DE73">
        <f t="shared" si="170"/>
        <v>0</v>
      </c>
      <c r="DF73">
        <f t="shared" si="171"/>
        <v>0</v>
      </c>
      <c r="DG73">
        <f t="shared" si="172"/>
        <v>0</v>
      </c>
      <c r="DH73">
        <f t="shared" si="173"/>
        <v>0</v>
      </c>
      <c r="DI73">
        <f t="shared" si="174"/>
        <v>0</v>
      </c>
      <c r="DJ73">
        <f t="shared" si="175"/>
        <v>0</v>
      </c>
      <c r="DK73">
        <f t="shared" si="176"/>
        <v>0</v>
      </c>
      <c r="DM73">
        <f t="shared" si="76"/>
        <v>2.7546675761559025</v>
      </c>
    </row>
    <row r="74" spans="2:117">
      <c r="B74" s="93" t="s">
        <v>216</v>
      </c>
      <c r="C74" s="92">
        <v>2.8519999999999999</v>
      </c>
      <c r="D74" s="43"/>
      <c r="E74" s="43"/>
      <c r="F74" s="92">
        <v>6884</v>
      </c>
      <c r="G74" s="92">
        <v>3827</v>
      </c>
      <c r="H74" s="43">
        <f t="shared" si="109"/>
        <v>3.0341469138789744E+22</v>
      </c>
      <c r="I74" s="43">
        <f t="shared" si="110"/>
        <v>8.0689578761820943E+22</v>
      </c>
      <c r="J74" s="42">
        <f t="shared" si="82"/>
        <v>135.15472851199999</v>
      </c>
      <c r="K74" s="42">
        <f t="shared" si="6"/>
        <v>41.770189508000001</v>
      </c>
      <c r="L74" s="42">
        <f t="shared" si="7"/>
        <v>122.83900630152495</v>
      </c>
      <c r="M74" s="79">
        <f t="shared" si="107"/>
        <v>118.73773533655218</v>
      </c>
      <c r="N74" s="79"/>
      <c r="O74" s="52" t="str">
        <f t="shared" si="177"/>
        <v>P10</v>
      </c>
      <c r="P74" s="94">
        <v>48.75</v>
      </c>
      <c r="Q74" s="91"/>
      <c r="R74" s="43"/>
      <c r="S74" s="91"/>
      <c r="T74" s="94">
        <v>11.85</v>
      </c>
      <c r="U74" s="91"/>
      <c r="V74" s="91"/>
      <c r="W74" s="43"/>
      <c r="X74" s="43"/>
      <c r="Y74" s="94">
        <v>19.559999999999999</v>
      </c>
      <c r="Z74" s="94">
        <v>19.43</v>
      </c>
      <c r="AA74" s="43"/>
      <c r="AB74" s="91"/>
      <c r="AC74" s="43"/>
      <c r="AD74" s="43"/>
      <c r="AE74" s="91"/>
      <c r="AF74" s="91"/>
      <c r="AG74" s="91"/>
      <c r="AH74" s="91"/>
      <c r="AI74" s="87"/>
      <c r="AJ74" s="87"/>
      <c r="AK74" s="87"/>
      <c r="AL74" s="87"/>
      <c r="AM74" s="86">
        <f t="shared" si="108"/>
        <v>99.59</v>
      </c>
      <c r="AO74" s="71">
        <f t="shared" si="178"/>
        <v>1.7593488812700437</v>
      </c>
      <c r="AQ74" s="97" t="str">
        <f t="shared" si="179"/>
        <v>P10</v>
      </c>
      <c r="AR74" s="73">
        <f t="shared" si="85"/>
        <v>46.120364063436973</v>
      </c>
      <c r="AS74" s="73">
        <f t="shared" si="111"/>
        <v>0</v>
      </c>
      <c r="AT74" s="73">
        <f t="shared" si="112"/>
        <v>0</v>
      </c>
      <c r="AU74" s="73">
        <f t="shared" si="113"/>
        <v>0</v>
      </c>
      <c r="AV74" s="73">
        <f t="shared" si="114"/>
        <v>6.6059693503205539</v>
      </c>
      <c r="AW74" s="73">
        <f t="shared" si="115"/>
        <v>0</v>
      </c>
      <c r="AX74" s="73">
        <f t="shared" si="116"/>
        <v>0</v>
      </c>
      <c r="AY74" s="73">
        <f t="shared" si="117"/>
        <v>0</v>
      </c>
      <c r="AZ74" s="73">
        <f t="shared" si="118"/>
        <v>0</v>
      </c>
      <c r="BA74" s="73">
        <f t="shared" si="119"/>
        <v>27.580623710111297</v>
      </c>
      <c r="BB74" s="73">
        <f t="shared" si="120"/>
        <v>19.69304287613118</v>
      </c>
      <c r="BC74" s="73">
        <f t="shared" si="121"/>
        <v>0</v>
      </c>
      <c r="BD74" s="73">
        <f t="shared" si="122"/>
        <v>0</v>
      </c>
      <c r="BE74" s="73">
        <f t="shared" si="123"/>
        <v>0</v>
      </c>
      <c r="BF74" s="73">
        <f t="shared" si="124"/>
        <v>0</v>
      </c>
      <c r="BG74" s="73">
        <f t="shared" si="125"/>
        <v>0</v>
      </c>
      <c r="BH74" s="73">
        <f t="shared" si="126"/>
        <v>0</v>
      </c>
      <c r="BI74" s="73">
        <f t="shared" si="127"/>
        <v>0</v>
      </c>
      <c r="BJ74" s="73">
        <f t="shared" si="128"/>
        <v>0</v>
      </c>
      <c r="BK74" s="73">
        <f t="shared" si="129"/>
        <v>0</v>
      </c>
      <c r="BL74" s="73">
        <f t="shared" si="130"/>
        <v>0</v>
      </c>
      <c r="BM74" s="73">
        <f t="shared" si="180"/>
        <v>0</v>
      </c>
      <c r="BN74" s="73">
        <f t="shared" si="131"/>
        <v>0</v>
      </c>
      <c r="BQ74">
        <f t="shared" si="132"/>
        <v>27.709114729312933</v>
      </c>
      <c r="BR74">
        <f t="shared" si="133"/>
        <v>0</v>
      </c>
      <c r="BS74">
        <f t="shared" si="134"/>
        <v>0</v>
      </c>
      <c r="BT74">
        <f t="shared" si="135"/>
        <v>0</v>
      </c>
      <c r="BU74">
        <f t="shared" si="136"/>
        <v>6.7354463495868364</v>
      </c>
      <c r="BV74">
        <f t="shared" si="137"/>
        <v>0</v>
      </c>
      <c r="BW74">
        <f t="shared" si="138"/>
        <v>0</v>
      </c>
      <c r="BX74">
        <f t="shared" si="139"/>
        <v>0</v>
      </c>
      <c r="BY74">
        <f t="shared" si="140"/>
        <v>0</v>
      </c>
      <c r="BZ74">
        <f t="shared" si="141"/>
        <v>11.117749417545864</v>
      </c>
      <c r="CA74">
        <f t="shared" si="142"/>
        <v>11.043858444934365</v>
      </c>
      <c r="CB74">
        <f t="shared" si="143"/>
        <v>0</v>
      </c>
      <c r="CC74">
        <f t="shared" si="144"/>
        <v>0</v>
      </c>
      <c r="CD74">
        <f t="shared" si="145"/>
        <v>0</v>
      </c>
      <c r="CE74">
        <f t="shared" si="146"/>
        <v>0</v>
      </c>
      <c r="CF74">
        <f t="shared" si="147"/>
        <v>0</v>
      </c>
      <c r="CG74">
        <f t="shared" si="148"/>
        <v>0</v>
      </c>
      <c r="CH74">
        <f t="shared" si="149"/>
        <v>0</v>
      </c>
      <c r="CI74">
        <f t="shared" si="150"/>
        <v>0</v>
      </c>
      <c r="CJ74">
        <f t="shared" si="151"/>
        <v>0</v>
      </c>
      <c r="CK74">
        <f t="shared" si="152"/>
        <v>0</v>
      </c>
      <c r="CL74">
        <f t="shared" si="153"/>
        <v>0</v>
      </c>
      <c r="CN74">
        <f t="shared" si="154"/>
        <v>56.606168941379998</v>
      </c>
      <c r="CP74">
        <f t="shared" si="155"/>
        <v>1.3836109219031092</v>
      </c>
      <c r="CQ74">
        <f t="shared" si="156"/>
        <v>0</v>
      </c>
      <c r="CR74">
        <f t="shared" si="157"/>
        <v>0</v>
      </c>
      <c r="CS74">
        <f t="shared" si="158"/>
        <v>0</v>
      </c>
      <c r="CT74">
        <f t="shared" si="159"/>
        <v>0.33029846751602765</v>
      </c>
      <c r="CU74">
        <f t="shared" si="160"/>
        <v>0</v>
      </c>
      <c r="CV74">
        <f t="shared" si="161"/>
        <v>0</v>
      </c>
      <c r="CW74">
        <f t="shared" si="162"/>
        <v>0</v>
      </c>
      <c r="CX74">
        <f t="shared" si="163"/>
        <v>0</v>
      </c>
      <c r="CY74">
        <f t="shared" si="164"/>
        <v>0.55161247420222592</v>
      </c>
      <c r="CZ74">
        <f t="shared" si="165"/>
        <v>0.39386085752262362</v>
      </c>
      <c r="DA74">
        <f t="shared" si="166"/>
        <v>0</v>
      </c>
      <c r="DB74">
        <f t="shared" si="167"/>
        <v>0</v>
      </c>
      <c r="DC74">
        <f t="shared" si="168"/>
        <v>0</v>
      </c>
      <c r="DD74">
        <f t="shared" si="169"/>
        <v>0</v>
      </c>
      <c r="DE74">
        <f t="shared" si="170"/>
        <v>0</v>
      </c>
      <c r="DF74">
        <f t="shared" si="171"/>
        <v>0</v>
      </c>
      <c r="DG74">
        <f t="shared" si="172"/>
        <v>0</v>
      </c>
      <c r="DH74">
        <f t="shared" si="173"/>
        <v>0</v>
      </c>
      <c r="DI74">
        <f t="shared" si="174"/>
        <v>0</v>
      </c>
      <c r="DJ74">
        <f t="shared" si="175"/>
        <v>0</v>
      </c>
      <c r="DK74">
        <f t="shared" si="176"/>
        <v>0</v>
      </c>
      <c r="DM74">
        <f t="shared" si="76"/>
        <v>2.6593827211439862</v>
      </c>
    </row>
    <row r="75" spans="2:117">
      <c r="B75" s="93" t="s">
        <v>217</v>
      </c>
      <c r="C75" s="92">
        <v>2.8730000000000002</v>
      </c>
      <c r="D75" s="43"/>
      <c r="E75" s="43"/>
      <c r="F75" s="92">
        <v>6886</v>
      </c>
      <c r="G75" s="92">
        <v>3821</v>
      </c>
      <c r="H75" s="43">
        <f t="shared" si="109"/>
        <v>3.1764092773119679E+22</v>
      </c>
      <c r="I75" s="43">
        <f t="shared" si="110"/>
        <v>8.1127561390632271E+22</v>
      </c>
      <c r="J75" s="42">
        <f t="shared" si="82"/>
        <v>136.22902950800002</v>
      </c>
      <c r="K75" s="42">
        <f t="shared" si="6"/>
        <v>41.945917793000007</v>
      </c>
      <c r="L75" s="42">
        <f t="shared" si="7"/>
        <v>123.25030666653625</v>
      </c>
      <c r="M75" s="79">
        <f t="shared" si="107"/>
        <v>119.22924287512153</v>
      </c>
      <c r="N75" s="79"/>
      <c r="O75" s="52" t="str">
        <f t="shared" si="177"/>
        <v>P11</v>
      </c>
      <c r="P75" s="94">
        <v>50.21</v>
      </c>
      <c r="Q75" s="91"/>
      <c r="R75" s="43"/>
      <c r="S75" s="91"/>
      <c r="T75" s="94">
        <v>6.03</v>
      </c>
      <c r="U75" s="91"/>
      <c r="V75" s="91"/>
      <c r="W75" s="43"/>
      <c r="X75" s="43"/>
      <c r="Y75" s="94">
        <v>23.01</v>
      </c>
      <c r="Z75" s="94">
        <v>20.350000000000001</v>
      </c>
      <c r="AA75" s="43"/>
      <c r="AB75" s="91"/>
      <c r="AC75" s="43"/>
      <c r="AD75" s="43"/>
      <c r="AE75" s="91"/>
      <c r="AF75" s="91"/>
      <c r="AG75" s="91"/>
      <c r="AH75" s="91"/>
      <c r="AI75" s="87"/>
      <c r="AJ75" s="87"/>
      <c r="AK75" s="87"/>
      <c r="AL75" s="87"/>
      <c r="AM75" s="86">
        <f t="shared" si="108"/>
        <v>99.6</v>
      </c>
      <c r="AO75" s="71">
        <f t="shared" si="178"/>
        <v>1.8285604436156395</v>
      </c>
      <c r="AQ75" s="97" t="str">
        <f t="shared" si="179"/>
        <v>P11</v>
      </c>
      <c r="AR75" s="73">
        <f t="shared" si="85"/>
        <v>45.70365962996641</v>
      </c>
      <c r="AS75" s="73">
        <f t="shared" si="111"/>
        <v>0</v>
      </c>
      <c r="AT75" s="73">
        <f t="shared" si="112"/>
        <v>0</v>
      </c>
      <c r="AU75" s="73">
        <f t="shared" si="113"/>
        <v>0</v>
      </c>
      <c r="AV75" s="73">
        <f t="shared" si="114"/>
        <v>3.2342840922435974</v>
      </c>
      <c r="AW75" s="73">
        <f t="shared" si="115"/>
        <v>0</v>
      </c>
      <c r="AX75" s="73">
        <f t="shared" si="116"/>
        <v>0</v>
      </c>
      <c r="AY75" s="73">
        <f t="shared" si="117"/>
        <v>0</v>
      </c>
      <c r="AZ75" s="73">
        <f t="shared" si="118"/>
        <v>0</v>
      </c>
      <c r="BA75" s="73">
        <f t="shared" si="119"/>
        <v>31.217239754666942</v>
      </c>
      <c r="BB75" s="73">
        <f t="shared" si="120"/>
        <v>19.844816523123058</v>
      </c>
      <c r="BC75" s="73">
        <f t="shared" si="121"/>
        <v>0</v>
      </c>
      <c r="BD75" s="73">
        <f t="shared" si="122"/>
        <v>0</v>
      </c>
      <c r="BE75" s="73">
        <f t="shared" si="123"/>
        <v>0</v>
      </c>
      <c r="BF75" s="73">
        <f t="shared" si="124"/>
        <v>0</v>
      </c>
      <c r="BG75" s="73">
        <f t="shared" si="125"/>
        <v>0</v>
      </c>
      <c r="BH75" s="73">
        <f t="shared" si="126"/>
        <v>0</v>
      </c>
      <c r="BI75" s="73">
        <f t="shared" si="127"/>
        <v>0</v>
      </c>
      <c r="BJ75" s="73">
        <f t="shared" si="128"/>
        <v>0</v>
      </c>
      <c r="BK75" s="73">
        <f t="shared" si="129"/>
        <v>0</v>
      </c>
      <c r="BL75" s="73">
        <f t="shared" si="130"/>
        <v>0</v>
      </c>
      <c r="BM75" s="73">
        <f t="shared" si="180"/>
        <v>0</v>
      </c>
      <c r="BN75" s="73">
        <f t="shared" si="131"/>
        <v>0</v>
      </c>
      <c r="BQ75">
        <f t="shared" si="132"/>
        <v>27.458758705683817</v>
      </c>
      <c r="BR75">
        <f t="shared" si="133"/>
        <v>0</v>
      </c>
      <c r="BS75">
        <f t="shared" si="134"/>
        <v>0</v>
      </c>
      <c r="BT75">
        <f t="shared" si="135"/>
        <v>0</v>
      </c>
      <c r="BU75">
        <f t="shared" si="136"/>
        <v>3.2976760604515714</v>
      </c>
      <c r="BV75">
        <f t="shared" si="137"/>
        <v>0</v>
      </c>
      <c r="BW75">
        <f t="shared" si="138"/>
        <v>0</v>
      </c>
      <c r="BX75">
        <f t="shared" si="139"/>
        <v>0</v>
      </c>
      <c r="BY75">
        <f t="shared" si="140"/>
        <v>0</v>
      </c>
      <c r="BZ75">
        <f t="shared" si="141"/>
        <v>12.583669345106244</v>
      </c>
      <c r="CA75">
        <f t="shared" si="142"/>
        <v>11.128973106167409</v>
      </c>
      <c r="CB75">
        <f t="shared" si="143"/>
        <v>0</v>
      </c>
      <c r="CC75">
        <f t="shared" si="144"/>
        <v>0</v>
      </c>
      <c r="CD75">
        <f t="shared" si="145"/>
        <v>0</v>
      </c>
      <c r="CE75">
        <f t="shared" si="146"/>
        <v>0</v>
      </c>
      <c r="CF75">
        <f t="shared" si="147"/>
        <v>0</v>
      </c>
      <c r="CG75">
        <f t="shared" si="148"/>
        <v>0</v>
      </c>
      <c r="CH75">
        <f t="shared" si="149"/>
        <v>0</v>
      </c>
      <c r="CI75">
        <f t="shared" si="150"/>
        <v>0</v>
      </c>
      <c r="CJ75">
        <f t="shared" si="151"/>
        <v>0</v>
      </c>
      <c r="CK75">
        <f t="shared" si="152"/>
        <v>0</v>
      </c>
      <c r="CL75">
        <f t="shared" si="153"/>
        <v>0</v>
      </c>
      <c r="CN75">
        <f t="shared" si="154"/>
        <v>54.469077217409037</v>
      </c>
      <c r="CP75">
        <f t="shared" si="155"/>
        <v>1.3711097888989923</v>
      </c>
      <c r="CQ75">
        <f t="shared" si="156"/>
        <v>0</v>
      </c>
      <c r="CR75">
        <f t="shared" si="157"/>
        <v>0</v>
      </c>
      <c r="CS75">
        <f t="shared" si="158"/>
        <v>0</v>
      </c>
      <c r="CT75">
        <f t="shared" si="159"/>
        <v>0.16171420461217986</v>
      </c>
      <c r="CU75">
        <f t="shared" si="160"/>
        <v>0</v>
      </c>
      <c r="CV75">
        <f t="shared" si="161"/>
        <v>0</v>
      </c>
      <c r="CW75">
        <f t="shared" si="162"/>
        <v>0</v>
      </c>
      <c r="CX75">
        <f t="shared" si="163"/>
        <v>0</v>
      </c>
      <c r="CY75">
        <f t="shared" si="164"/>
        <v>0.62434479509333884</v>
      </c>
      <c r="CZ75">
        <f t="shared" si="165"/>
        <v>0.39689633046246114</v>
      </c>
      <c r="DA75">
        <f t="shared" si="166"/>
        <v>0</v>
      </c>
      <c r="DB75">
        <f t="shared" si="167"/>
        <v>0</v>
      </c>
      <c r="DC75">
        <f t="shared" si="168"/>
        <v>0</v>
      </c>
      <c r="DD75">
        <f t="shared" si="169"/>
        <v>0</v>
      </c>
      <c r="DE75">
        <f t="shared" si="170"/>
        <v>0</v>
      </c>
      <c r="DF75">
        <f t="shared" si="171"/>
        <v>0</v>
      </c>
      <c r="DG75">
        <f t="shared" si="172"/>
        <v>0</v>
      </c>
      <c r="DH75">
        <f t="shared" si="173"/>
        <v>0</v>
      </c>
      <c r="DI75">
        <f t="shared" si="174"/>
        <v>0</v>
      </c>
      <c r="DJ75">
        <f t="shared" si="175"/>
        <v>0</v>
      </c>
      <c r="DK75">
        <f t="shared" si="176"/>
        <v>0</v>
      </c>
      <c r="DM75">
        <f t="shared" si="76"/>
        <v>2.5540651190669723</v>
      </c>
    </row>
    <row r="76" spans="2:117">
      <c r="B76" s="93" t="s">
        <v>218</v>
      </c>
      <c r="C76" s="92">
        <v>2.8330000000000002</v>
      </c>
      <c r="D76" s="43"/>
      <c r="E76" s="43"/>
      <c r="F76" s="92">
        <v>6960</v>
      </c>
      <c r="G76" s="92">
        <v>3865</v>
      </c>
      <c r="H76" s="43">
        <f t="shared" si="109"/>
        <v>2.9195500122025176E+22</v>
      </c>
      <c r="I76" s="43">
        <f t="shared" si="110"/>
        <v>8.0868916670774146E+22</v>
      </c>
      <c r="J76" s="42">
        <f t="shared" si="82"/>
        <v>137.23505280000001</v>
      </c>
      <c r="K76" s="42">
        <f t="shared" si="6"/>
        <v>42.319991425000005</v>
      </c>
      <c r="L76" s="42">
        <f t="shared" si="7"/>
        <v>124.58176073016955</v>
      </c>
      <c r="M76" s="79">
        <f t="shared" si="107"/>
        <v>120.37253252797734</v>
      </c>
      <c r="N76" s="79"/>
      <c r="O76" s="52" t="str">
        <f t="shared" si="177"/>
        <v>P12</v>
      </c>
      <c r="P76" s="94">
        <v>42.24</v>
      </c>
      <c r="Q76" s="91"/>
      <c r="R76" s="43"/>
      <c r="S76" s="91"/>
      <c r="T76" s="94">
        <v>19.37</v>
      </c>
      <c r="U76" s="91"/>
      <c r="V76" s="91"/>
      <c r="W76" s="43"/>
      <c r="X76" s="43"/>
      <c r="Y76" s="94">
        <v>19.510000000000002</v>
      </c>
      <c r="Z76" s="94">
        <v>15.5</v>
      </c>
      <c r="AA76" s="43"/>
      <c r="AB76" s="91"/>
      <c r="AC76" s="43"/>
      <c r="AD76" s="43"/>
      <c r="AE76" s="91"/>
      <c r="AF76" s="91"/>
      <c r="AG76" s="91"/>
      <c r="AH76" s="91"/>
      <c r="AI76" s="87"/>
      <c r="AJ76" s="87"/>
      <c r="AK76" s="87"/>
      <c r="AL76" s="87"/>
      <c r="AM76" s="86">
        <f t="shared" si="108"/>
        <v>96.62</v>
      </c>
      <c r="AO76" s="71">
        <f t="shared" si="178"/>
        <v>1.6534289224556142</v>
      </c>
      <c r="AQ76" s="97" t="str">
        <f t="shared" si="179"/>
        <v>P12</v>
      </c>
      <c r="AR76" s="73">
        <f t="shared" si="85"/>
        <v>42.521488143451997</v>
      </c>
      <c r="AS76" s="73">
        <f t="shared" si="111"/>
        <v>0</v>
      </c>
      <c r="AT76" s="73">
        <f t="shared" si="112"/>
        <v>0</v>
      </c>
      <c r="AU76" s="73">
        <f t="shared" si="113"/>
        <v>0</v>
      </c>
      <c r="AV76" s="73">
        <f t="shared" si="114"/>
        <v>11.489847478611221</v>
      </c>
      <c r="AW76" s="73">
        <f t="shared" si="115"/>
        <v>0</v>
      </c>
      <c r="AX76" s="73">
        <f t="shared" si="116"/>
        <v>0</v>
      </c>
      <c r="AY76" s="73">
        <f t="shared" si="117"/>
        <v>0</v>
      </c>
      <c r="AZ76" s="73">
        <f t="shared" si="118"/>
        <v>0</v>
      </c>
      <c r="BA76" s="73">
        <f t="shared" si="119"/>
        <v>29.272441114165417</v>
      </c>
      <c r="BB76" s="73">
        <f t="shared" si="120"/>
        <v>16.716223263771351</v>
      </c>
      <c r="BC76" s="73">
        <f t="shared" si="121"/>
        <v>0</v>
      </c>
      <c r="BD76" s="73">
        <f t="shared" si="122"/>
        <v>0</v>
      </c>
      <c r="BE76" s="73">
        <f t="shared" si="123"/>
        <v>0</v>
      </c>
      <c r="BF76" s="73">
        <f t="shared" si="124"/>
        <v>0</v>
      </c>
      <c r="BG76" s="73">
        <f t="shared" si="125"/>
        <v>0</v>
      </c>
      <c r="BH76" s="73">
        <f t="shared" si="126"/>
        <v>0</v>
      </c>
      <c r="BI76" s="73">
        <f t="shared" si="127"/>
        <v>0</v>
      </c>
      <c r="BJ76" s="73">
        <f t="shared" si="128"/>
        <v>0</v>
      </c>
      <c r="BK76" s="73">
        <f t="shared" si="129"/>
        <v>0</v>
      </c>
      <c r="BL76" s="73">
        <f t="shared" si="130"/>
        <v>0</v>
      </c>
      <c r="BM76" s="73">
        <f t="shared" si="180"/>
        <v>0</v>
      </c>
      <c r="BN76" s="73">
        <f t="shared" si="131"/>
        <v>0</v>
      </c>
      <c r="BQ76">
        <f t="shared" si="132"/>
        <v>25.546910076585959</v>
      </c>
      <c r="BR76">
        <f t="shared" si="133"/>
        <v>0</v>
      </c>
      <c r="BS76">
        <f t="shared" si="134"/>
        <v>0</v>
      </c>
      <c r="BT76">
        <f t="shared" si="135"/>
        <v>0</v>
      </c>
      <c r="BU76">
        <f t="shared" si="136"/>
        <v>11.715048489192</v>
      </c>
      <c r="BV76">
        <f t="shared" si="137"/>
        <v>0</v>
      </c>
      <c r="BW76">
        <f t="shared" si="138"/>
        <v>0</v>
      </c>
      <c r="BX76">
        <f t="shared" si="139"/>
        <v>0</v>
      </c>
      <c r="BY76">
        <f t="shared" si="140"/>
        <v>0</v>
      </c>
      <c r="BZ76">
        <f t="shared" si="141"/>
        <v>11.799721013120079</v>
      </c>
      <c r="CA76">
        <f t="shared" si="142"/>
        <v>9.374458006322973</v>
      </c>
      <c r="CB76">
        <f t="shared" si="143"/>
        <v>0</v>
      </c>
      <c r="CC76">
        <f t="shared" si="144"/>
        <v>0</v>
      </c>
      <c r="CD76">
        <f t="shared" si="145"/>
        <v>0</v>
      </c>
      <c r="CE76">
        <f t="shared" si="146"/>
        <v>0</v>
      </c>
      <c r="CF76">
        <f t="shared" si="147"/>
        <v>0</v>
      </c>
      <c r="CG76">
        <f t="shared" si="148"/>
        <v>0</v>
      </c>
      <c r="CH76">
        <f t="shared" si="149"/>
        <v>0</v>
      </c>
      <c r="CI76">
        <f t="shared" si="150"/>
        <v>0</v>
      </c>
      <c r="CJ76">
        <f t="shared" si="151"/>
        <v>0</v>
      </c>
      <c r="CK76">
        <f t="shared" si="152"/>
        <v>0</v>
      </c>
      <c r="CL76">
        <f t="shared" si="153"/>
        <v>0</v>
      </c>
      <c r="CN76">
        <f t="shared" si="154"/>
        <v>58.436137585221012</v>
      </c>
      <c r="CP76">
        <f t="shared" si="155"/>
        <v>1.2756446443035598</v>
      </c>
      <c r="CQ76">
        <f t="shared" si="156"/>
        <v>0</v>
      </c>
      <c r="CR76">
        <f t="shared" si="157"/>
        <v>0</v>
      </c>
      <c r="CS76">
        <f t="shared" si="158"/>
        <v>0</v>
      </c>
      <c r="CT76">
        <f t="shared" si="159"/>
        <v>0.57449237393056096</v>
      </c>
      <c r="CU76">
        <f t="shared" si="160"/>
        <v>0</v>
      </c>
      <c r="CV76">
        <f t="shared" si="161"/>
        <v>0</v>
      </c>
      <c r="CW76">
        <f t="shared" si="162"/>
        <v>0</v>
      </c>
      <c r="CX76">
        <f t="shared" si="163"/>
        <v>0</v>
      </c>
      <c r="CY76">
        <f t="shared" si="164"/>
        <v>0.5854488222833083</v>
      </c>
      <c r="CZ76">
        <f t="shared" si="165"/>
        <v>0.33432446527542703</v>
      </c>
      <c r="DA76">
        <f t="shared" si="166"/>
        <v>0</v>
      </c>
      <c r="DB76">
        <f t="shared" si="167"/>
        <v>0</v>
      </c>
      <c r="DC76">
        <f t="shared" si="168"/>
        <v>0</v>
      </c>
      <c r="DD76">
        <f t="shared" si="169"/>
        <v>0</v>
      </c>
      <c r="DE76">
        <f t="shared" si="170"/>
        <v>0</v>
      </c>
      <c r="DF76">
        <f t="shared" si="171"/>
        <v>0</v>
      </c>
      <c r="DG76">
        <f t="shared" si="172"/>
        <v>0</v>
      </c>
      <c r="DH76">
        <f t="shared" si="173"/>
        <v>0</v>
      </c>
      <c r="DI76">
        <f t="shared" si="174"/>
        <v>0</v>
      </c>
      <c r="DJ76">
        <f t="shared" si="175"/>
        <v>0</v>
      </c>
      <c r="DK76">
        <f t="shared" si="176"/>
        <v>0</v>
      </c>
      <c r="DM76">
        <f t="shared" si="76"/>
        <v>2.7699103057928562</v>
      </c>
    </row>
    <row r="77" spans="2:117">
      <c r="B77" s="93" t="s">
        <v>219</v>
      </c>
      <c r="C77" s="92">
        <v>2.847</v>
      </c>
      <c r="D77" s="43"/>
      <c r="E77" s="43"/>
      <c r="F77" s="92">
        <v>6966</v>
      </c>
      <c r="G77" s="92">
        <v>3876</v>
      </c>
      <c r="H77" s="43">
        <f t="shared" si="109"/>
        <v>3.0156383817967405E+22</v>
      </c>
      <c r="I77" s="43">
        <f t="shared" si="110"/>
        <v>8.1241232043437476E+22</v>
      </c>
      <c r="J77" s="42">
        <f t="shared" si="82"/>
        <v>138.15111913199999</v>
      </c>
      <c r="K77" s="42">
        <f t="shared" si="6"/>
        <v>42.771551472000006</v>
      </c>
      <c r="L77" s="42">
        <f t="shared" si="7"/>
        <v>125.85816892744835</v>
      </c>
      <c r="M77" s="79">
        <f t="shared" si="107"/>
        <v>121.69688449500717</v>
      </c>
      <c r="N77" s="79"/>
      <c r="O77" s="52" t="str">
        <f t="shared" si="177"/>
        <v>P13</v>
      </c>
      <c r="P77" s="94">
        <v>45.58</v>
      </c>
      <c r="Q77" s="91"/>
      <c r="R77" s="43"/>
      <c r="S77" s="91"/>
      <c r="T77" s="94">
        <v>15.3</v>
      </c>
      <c r="U77" s="91"/>
      <c r="V77" s="91"/>
      <c r="W77" s="43"/>
      <c r="X77" s="43"/>
      <c r="Y77" s="94">
        <v>21.91</v>
      </c>
      <c r="Z77" s="94">
        <v>16.239999999999998</v>
      </c>
      <c r="AA77" s="43"/>
      <c r="AB77" s="91"/>
      <c r="AC77" s="43"/>
      <c r="AD77" s="43"/>
      <c r="AE77" s="91"/>
      <c r="AF77" s="91"/>
      <c r="AG77" s="91"/>
      <c r="AH77" s="91"/>
      <c r="AI77" s="87"/>
      <c r="AJ77" s="87"/>
      <c r="AK77" s="87"/>
      <c r="AL77" s="87"/>
      <c r="AM77" s="86">
        <f t="shared" si="108"/>
        <v>99.029999999999987</v>
      </c>
      <c r="AO77" s="71">
        <f t="shared" si="178"/>
        <v>1.7418378621088115</v>
      </c>
      <c r="AQ77" s="97" t="str">
        <f t="shared" si="179"/>
        <v>P13</v>
      </c>
      <c r="AR77" s="73">
        <f t="shared" si="85"/>
        <v>43.554864835669186</v>
      </c>
      <c r="AS77" s="73">
        <f t="shared" si="111"/>
        <v>0</v>
      </c>
      <c r="AT77" s="73">
        <f t="shared" si="112"/>
        <v>0</v>
      </c>
      <c r="AU77" s="73">
        <f t="shared" si="113"/>
        <v>0</v>
      </c>
      <c r="AV77" s="73">
        <f t="shared" si="114"/>
        <v>8.6149721435518032</v>
      </c>
      <c r="AW77" s="73">
        <f t="shared" si="115"/>
        <v>0</v>
      </c>
      <c r="AX77" s="73">
        <f t="shared" si="116"/>
        <v>0</v>
      </c>
      <c r="AY77" s="73">
        <f t="shared" si="117"/>
        <v>0</v>
      </c>
      <c r="AZ77" s="73">
        <f t="shared" si="118"/>
        <v>0</v>
      </c>
      <c r="BA77" s="73">
        <f t="shared" si="119"/>
        <v>31.204832295244255</v>
      </c>
      <c r="BB77" s="73">
        <f t="shared" si="120"/>
        <v>16.625330725534759</v>
      </c>
      <c r="BC77" s="73">
        <f t="shared" si="121"/>
        <v>0</v>
      </c>
      <c r="BD77" s="73">
        <f t="shared" si="122"/>
        <v>0</v>
      </c>
      <c r="BE77" s="73">
        <f t="shared" si="123"/>
        <v>0</v>
      </c>
      <c r="BF77" s="73">
        <f t="shared" si="124"/>
        <v>0</v>
      </c>
      <c r="BG77" s="73">
        <f t="shared" si="125"/>
        <v>0</v>
      </c>
      <c r="BH77" s="73">
        <f t="shared" si="126"/>
        <v>0</v>
      </c>
      <c r="BI77" s="73">
        <f t="shared" si="127"/>
        <v>0</v>
      </c>
      <c r="BJ77" s="73">
        <f t="shared" si="128"/>
        <v>0</v>
      </c>
      <c r="BK77" s="73">
        <f t="shared" si="129"/>
        <v>0</v>
      </c>
      <c r="BL77" s="73">
        <f t="shared" si="130"/>
        <v>0</v>
      </c>
      <c r="BM77" s="73">
        <f t="shared" si="180"/>
        <v>0</v>
      </c>
      <c r="BN77" s="73">
        <f t="shared" si="131"/>
        <v>0</v>
      </c>
      <c r="BQ77">
        <f t="shared" si="132"/>
        <v>26.167762793270047</v>
      </c>
      <c r="BR77">
        <f t="shared" si="133"/>
        <v>0</v>
      </c>
      <c r="BS77">
        <f t="shared" si="134"/>
        <v>0</v>
      </c>
      <c r="BT77">
        <f t="shared" si="135"/>
        <v>0</v>
      </c>
      <c r="BU77">
        <f t="shared" si="136"/>
        <v>8.7838255975654178</v>
      </c>
      <c r="BV77">
        <f t="shared" si="137"/>
        <v>0</v>
      </c>
      <c r="BW77">
        <f t="shared" si="138"/>
        <v>0</v>
      </c>
      <c r="BX77">
        <f t="shared" si="139"/>
        <v>0</v>
      </c>
      <c r="BY77">
        <f t="shared" si="140"/>
        <v>0</v>
      </c>
      <c r="BZ77">
        <f t="shared" si="141"/>
        <v>12.578667898212959</v>
      </c>
      <c r="CA77">
        <f t="shared" si="142"/>
        <v>9.3234854708798931</v>
      </c>
      <c r="CB77">
        <f t="shared" si="143"/>
        <v>0</v>
      </c>
      <c r="CC77">
        <f t="shared" si="144"/>
        <v>0</v>
      </c>
      <c r="CD77">
        <f t="shared" si="145"/>
        <v>0</v>
      </c>
      <c r="CE77">
        <f t="shared" si="146"/>
        <v>0</v>
      </c>
      <c r="CF77">
        <f t="shared" si="147"/>
        <v>0</v>
      </c>
      <c r="CG77">
        <f t="shared" si="148"/>
        <v>0</v>
      </c>
      <c r="CH77">
        <f t="shared" si="149"/>
        <v>0</v>
      </c>
      <c r="CI77">
        <f t="shared" si="150"/>
        <v>0</v>
      </c>
      <c r="CJ77">
        <f t="shared" si="151"/>
        <v>0</v>
      </c>
      <c r="CK77">
        <f t="shared" si="152"/>
        <v>0</v>
      </c>
      <c r="CL77">
        <f t="shared" si="153"/>
        <v>0</v>
      </c>
      <c r="CN77">
        <f t="shared" si="154"/>
        <v>56.853741759928319</v>
      </c>
      <c r="CP77">
        <f t="shared" si="155"/>
        <v>1.3066459450700756</v>
      </c>
      <c r="CQ77">
        <f t="shared" si="156"/>
        <v>0</v>
      </c>
      <c r="CR77">
        <f t="shared" si="157"/>
        <v>0</v>
      </c>
      <c r="CS77">
        <f t="shared" si="158"/>
        <v>0</v>
      </c>
      <c r="CT77">
        <f t="shared" si="159"/>
        <v>0.43074860717759017</v>
      </c>
      <c r="CU77">
        <f t="shared" si="160"/>
        <v>0</v>
      </c>
      <c r="CV77">
        <f t="shared" si="161"/>
        <v>0</v>
      </c>
      <c r="CW77">
        <f t="shared" si="162"/>
        <v>0</v>
      </c>
      <c r="CX77">
        <f t="shared" si="163"/>
        <v>0</v>
      </c>
      <c r="CY77">
        <f t="shared" si="164"/>
        <v>0.62409664590488512</v>
      </c>
      <c r="CZ77">
        <f t="shared" si="165"/>
        <v>0.33250661451069519</v>
      </c>
      <c r="DA77">
        <f t="shared" si="166"/>
        <v>0</v>
      </c>
      <c r="DB77">
        <f t="shared" si="167"/>
        <v>0</v>
      </c>
      <c r="DC77">
        <f t="shared" si="168"/>
        <v>0</v>
      </c>
      <c r="DD77">
        <f t="shared" si="169"/>
        <v>0</v>
      </c>
      <c r="DE77">
        <f t="shared" si="170"/>
        <v>0</v>
      </c>
      <c r="DF77">
        <f t="shared" si="171"/>
        <v>0</v>
      </c>
      <c r="DG77">
        <f t="shared" si="172"/>
        <v>0</v>
      </c>
      <c r="DH77">
        <f t="shared" si="173"/>
        <v>0</v>
      </c>
      <c r="DI77">
        <f t="shared" si="174"/>
        <v>0</v>
      </c>
      <c r="DJ77">
        <f t="shared" si="175"/>
        <v>0</v>
      </c>
      <c r="DK77">
        <f t="shared" si="176"/>
        <v>0</v>
      </c>
      <c r="DM77">
        <f t="shared" si="76"/>
        <v>2.693997812663246</v>
      </c>
    </row>
    <row r="78" spans="2:117">
      <c r="B78" s="93" t="s">
        <v>220</v>
      </c>
      <c r="C78" s="92">
        <v>2.8959999999999999</v>
      </c>
      <c r="D78" s="43"/>
      <c r="E78" s="43"/>
      <c r="F78" s="92">
        <v>7012</v>
      </c>
      <c r="G78" s="92">
        <v>3876</v>
      </c>
      <c r="H78" s="43">
        <f t="shared" si="109"/>
        <v>3.1811892147383832E+22</v>
      </c>
      <c r="I78" s="43">
        <f t="shared" si="110"/>
        <v>8.251716954358515E+22</v>
      </c>
      <c r="J78" s="42">
        <f t="shared" si="82"/>
        <v>142.39094502399999</v>
      </c>
      <c r="K78" s="42">
        <f t="shared" si="6"/>
        <v>43.507696895999999</v>
      </c>
      <c r="L78" s="42">
        <f t="shared" si="7"/>
        <v>127.93175032019779</v>
      </c>
      <c r="M78" s="79">
        <f t="shared" si="107"/>
        <v>123.80138507882231</v>
      </c>
      <c r="N78" s="79"/>
      <c r="O78" s="52" t="str">
        <f t="shared" si="177"/>
        <v>P14</v>
      </c>
      <c r="P78" s="94">
        <v>46.57</v>
      </c>
      <c r="Q78" s="91"/>
      <c r="R78" s="43"/>
      <c r="S78" s="91"/>
      <c r="T78" s="94">
        <v>10.18</v>
      </c>
      <c r="U78" s="91"/>
      <c r="V78" s="91"/>
      <c r="W78" s="43"/>
      <c r="X78" s="43"/>
      <c r="Y78" s="94">
        <v>25.45</v>
      </c>
      <c r="Z78" s="94">
        <v>17</v>
      </c>
      <c r="AA78" s="43"/>
      <c r="AB78" s="91"/>
      <c r="AC78" s="43"/>
      <c r="AD78" s="43"/>
      <c r="AE78" s="91"/>
      <c r="AF78" s="91"/>
      <c r="AG78" s="91"/>
      <c r="AH78" s="91"/>
      <c r="AI78" s="87"/>
      <c r="AJ78" s="87"/>
      <c r="AK78" s="87"/>
      <c r="AL78" s="87"/>
      <c r="AM78" s="86">
        <f t="shared" si="108"/>
        <v>99.2</v>
      </c>
      <c r="AO78" s="71">
        <f t="shared" si="178"/>
        <v>1.8094715886388415</v>
      </c>
      <c r="AQ78" s="97" t="str">
        <f t="shared" si="179"/>
        <v>P14</v>
      </c>
      <c r="AR78" s="73">
        <f t="shared" si="85"/>
        <v>42.837542222774758</v>
      </c>
      <c r="AS78" s="73">
        <f t="shared" si="111"/>
        <v>0</v>
      </c>
      <c r="AT78" s="73">
        <f t="shared" si="112"/>
        <v>0</v>
      </c>
      <c r="AU78" s="73">
        <f t="shared" si="113"/>
        <v>0</v>
      </c>
      <c r="AV78" s="73">
        <f t="shared" si="114"/>
        <v>5.5178028957654481</v>
      </c>
      <c r="AW78" s="73">
        <f t="shared" si="115"/>
        <v>0</v>
      </c>
      <c r="AX78" s="73">
        <f t="shared" si="116"/>
        <v>0</v>
      </c>
      <c r="AY78" s="73">
        <f t="shared" si="117"/>
        <v>0</v>
      </c>
      <c r="AZ78" s="73">
        <f t="shared" si="118"/>
        <v>0</v>
      </c>
      <c r="BA78" s="73">
        <f t="shared" si="119"/>
        <v>34.891787599370197</v>
      </c>
      <c r="BB78" s="73">
        <f t="shared" si="120"/>
        <v>16.752867282089586</v>
      </c>
      <c r="BC78" s="73">
        <f t="shared" si="121"/>
        <v>0</v>
      </c>
      <c r="BD78" s="73">
        <f t="shared" si="122"/>
        <v>0</v>
      </c>
      <c r="BE78" s="73">
        <f t="shared" si="123"/>
        <v>0</v>
      </c>
      <c r="BF78" s="73">
        <f t="shared" si="124"/>
        <v>0</v>
      </c>
      <c r="BG78" s="73">
        <f t="shared" si="125"/>
        <v>0</v>
      </c>
      <c r="BH78" s="73">
        <f t="shared" si="126"/>
        <v>0</v>
      </c>
      <c r="BI78" s="73">
        <f t="shared" si="127"/>
        <v>0</v>
      </c>
      <c r="BJ78" s="73">
        <f t="shared" si="128"/>
        <v>0</v>
      </c>
      <c r="BK78" s="73">
        <f t="shared" si="129"/>
        <v>0</v>
      </c>
      <c r="BL78" s="73">
        <f t="shared" si="130"/>
        <v>0</v>
      </c>
      <c r="BM78" s="73">
        <f t="shared" si="180"/>
        <v>0</v>
      </c>
      <c r="BN78" s="73">
        <f t="shared" si="131"/>
        <v>0</v>
      </c>
      <c r="BQ78">
        <f t="shared" si="132"/>
        <v>25.736795367443076</v>
      </c>
      <c r="BR78">
        <f t="shared" si="133"/>
        <v>0</v>
      </c>
      <c r="BS78">
        <f t="shared" si="134"/>
        <v>0</v>
      </c>
      <c r="BT78">
        <f t="shared" si="135"/>
        <v>0</v>
      </c>
      <c r="BU78">
        <f t="shared" si="136"/>
        <v>5.6259518325224507</v>
      </c>
      <c r="BV78">
        <f t="shared" si="137"/>
        <v>0</v>
      </c>
      <c r="BW78">
        <f t="shared" si="138"/>
        <v>0</v>
      </c>
      <c r="BX78">
        <f t="shared" si="139"/>
        <v>0</v>
      </c>
      <c r="BY78">
        <f t="shared" si="140"/>
        <v>0</v>
      </c>
      <c r="BZ78">
        <f t="shared" si="141"/>
        <v>14.064879581306126</v>
      </c>
      <c r="CA78">
        <f t="shared" si="142"/>
        <v>9.3950079717958399</v>
      </c>
      <c r="CB78">
        <f t="shared" si="143"/>
        <v>0</v>
      </c>
      <c r="CC78">
        <f t="shared" si="144"/>
        <v>0</v>
      </c>
      <c r="CD78">
        <f t="shared" si="145"/>
        <v>0</v>
      </c>
      <c r="CE78">
        <f t="shared" si="146"/>
        <v>0</v>
      </c>
      <c r="CF78">
        <f t="shared" si="147"/>
        <v>0</v>
      </c>
      <c r="CG78">
        <f t="shared" si="148"/>
        <v>0</v>
      </c>
      <c r="CH78">
        <f t="shared" si="149"/>
        <v>0</v>
      </c>
      <c r="CI78">
        <f t="shared" si="150"/>
        <v>0</v>
      </c>
      <c r="CJ78">
        <f t="shared" si="151"/>
        <v>0</v>
      </c>
      <c r="CK78">
        <f t="shared" si="152"/>
        <v>0</v>
      </c>
      <c r="CL78">
        <f t="shared" si="153"/>
        <v>0</v>
      </c>
      <c r="CN78">
        <f t="shared" si="154"/>
        <v>54.822634753067497</v>
      </c>
      <c r="CP78">
        <f t="shared" si="155"/>
        <v>1.2851262666832428</v>
      </c>
      <c r="CQ78">
        <f t="shared" si="156"/>
        <v>0</v>
      </c>
      <c r="CR78">
        <f t="shared" si="157"/>
        <v>0</v>
      </c>
      <c r="CS78">
        <f t="shared" si="158"/>
        <v>0</v>
      </c>
      <c r="CT78">
        <f t="shared" si="159"/>
        <v>0.2758901447882724</v>
      </c>
      <c r="CU78">
        <f t="shared" si="160"/>
        <v>0</v>
      </c>
      <c r="CV78">
        <f t="shared" si="161"/>
        <v>0</v>
      </c>
      <c r="CW78">
        <f t="shared" si="162"/>
        <v>0</v>
      </c>
      <c r="CX78">
        <f t="shared" si="163"/>
        <v>0</v>
      </c>
      <c r="CY78">
        <f t="shared" si="164"/>
        <v>0.69783575198740389</v>
      </c>
      <c r="CZ78">
        <f t="shared" si="165"/>
        <v>0.33505734564179174</v>
      </c>
      <c r="DA78">
        <f t="shared" si="166"/>
        <v>0</v>
      </c>
      <c r="DB78">
        <f t="shared" si="167"/>
        <v>0</v>
      </c>
      <c r="DC78">
        <f t="shared" si="168"/>
        <v>0</v>
      </c>
      <c r="DD78">
        <f t="shared" si="169"/>
        <v>0</v>
      </c>
      <c r="DE78">
        <f t="shared" si="170"/>
        <v>0</v>
      </c>
      <c r="DF78">
        <f t="shared" si="171"/>
        <v>0</v>
      </c>
      <c r="DG78">
        <f t="shared" si="172"/>
        <v>0</v>
      </c>
      <c r="DH78">
        <f t="shared" si="173"/>
        <v>0</v>
      </c>
      <c r="DI78">
        <f t="shared" si="174"/>
        <v>0</v>
      </c>
      <c r="DJ78">
        <f t="shared" si="175"/>
        <v>0</v>
      </c>
      <c r="DK78">
        <f t="shared" si="176"/>
        <v>0</v>
      </c>
      <c r="DM78">
        <f t="shared" si="76"/>
        <v>2.5939095091007109</v>
      </c>
    </row>
    <row r="79" spans="2:117">
      <c r="B79" s="93" t="s">
        <v>221</v>
      </c>
      <c r="C79" s="92">
        <v>2.899</v>
      </c>
      <c r="D79" s="43"/>
      <c r="E79" s="43"/>
      <c r="F79" s="92">
        <v>6967</v>
      </c>
      <c r="G79" s="92">
        <v>3857</v>
      </c>
      <c r="H79" s="43">
        <f t="shared" si="109"/>
        <v>3.2735855468655946E+22</v>
      </c>
      <c r="I79" s="43">
        <f t="shared" si="110"/>
        <v>8.2576270595612515E+22</v>
      </c>
      <c r="J79" s="42">
        <f t="shared" si="82"/>
        <v>140.714819011</v>
      </c>
      <c r="K79" s="42">
        <f t="shared" si="6"/>
        <v>43.126825650999997</v>
      </c>
      <c r="L79" s="42">
        <f t="shared" si="7"/>
        <v>126.71387211210028</v>
      </c>
      <c r="M79" s="79">
        <f t="shared" si="107"/>
        <v>122.65395707312786</v>
      </c>
      <c r="N79" s="79"/>
      <c r="O79" s="52" t="str">
        <f t="shared" si="177"/>
        <v>P15</v>
      </c>
      <c r="P79" s="94">
        <v>49.63</v>
      </c>
      <c r="Q79" s="91"/>
      <c r="R79" s="43"/>
      <c r="S79" s="91"/>
      <c r="T79" s="94">
        <v>4.95</v>
      </c>
      <c r="U79" s="91"/>
      <c r="V79" s="91"/>
      <c r="W79" s="43"/>
      <c r="X79" s="43"/>
      <c r="Y79" s="94">
        <v>27.21</v>
      </c>
      <c r="Z79" s="94">
        <v>17.39</v>
      </c>
      <c r="AA79" s="43"/>
      <c r="AB79" s="91"/>
      <c r="AC79" s="43"/>
      <c r="AD79" s="43"/>
      <c r="AE79" s="91"/>
      <c r="AF79" s="91"/>
      <c r="AG79" s="91"/>
      <c r="AH79" s="91"/>
      <c r="AI79" s="87"/>
      <c r="AJ79" s="87"/>
      <c r="AK79" s="87"/>
      <c r="AL79" s="87"/>
      <c r="AM79" s="86">
        <f t="shared" si="108"/>
        <v>99.18</v>
      </c>
      <c r="AO79" s="71">
        <f t="shared" si="178"/>
        <v>1.8597250271949519</v>
      </c>
      <c r="AQ79" s="97" t="str">
        <f t="shared" si="179"/>
        <v>P15</v>
      </c>
      <c r="AR79" s="73">
        <f t="shared" si="85"/>
        <v>44.418676646201888</v>
      </c>
      <c r="AS79" s="73">
        <f t="shared" si="111"/>
        <v>0</v>
      </c>
      <c r="AT79" s="73">
        <f t="shared" si="112"/>
        <v>0</v>
      </c>
      <c r="AU79" s="73">
        <f t="shared" si="113"/>
        <v>0</v>
      </c>
      <c r="AV79" s="73">
        <f t="shared" si="114"/>
        <v>2.6105176659326594</v>
      </c>
      <c r="AW79" s="73">
        <f t="shared" si="115"/>
        <v>0</v>
      </c>
      <c r="AX79" s="73">
        <f t="shared" si="116"/>
        <v>0</v>
      </c>
      <c r="AY79" s="73">
        <f t="shared" si="117"/>
        <v>0</v>
      </c>
      <c r="AZ79" s="73">
        <f t="shared" si="118"/>
        <v>0</v>
      </c>
      <c r="BA79" s="73">
        <f t="shared" si="119"/>
        <v>36.296688807976665</v>
      </c>
      <c r="BB79" s="73">
        <f t="shared" si="120"/>
        <v>16.674116879888796</v>
      </c>
      <c r="BC79" s="73">
        <f t="shared" si="121"/>
        <v>0</v>
      </c>
      <c r="BD79" s="73">
        <f t="shared" si="122"/>
        <v>0</v>
      </c>
      <c r="BE79" s="73">
        <f t="shared" si="123"/>
        <v>0</v>
      </c>
      <c r="BF79" s="73">
        <f t="shared" si="124"/>
        <v>0</v>
      </c>
      <c r="BG79" s="73">
        <f t="shared" si="125"/>
        <v>0</v>
      </c>
      <c r="BH79" s="73">
        <f t="shared" si="126"/>
        <v>0</v>
      </c>
      <c r="BI79" s="73">
        <f t="shared" si="127"/>
        <v>0</v>
      </c>
      <c r="BJ79" s="73">
        <f t="shared" si="128"/>
        <v>0</v>
      </c>
      <c r="BK79" s="73">
        <f t="shared" si="129"/>
        <v>0</v>
      </c>
      <c r="BL79" s="73">
        <f t="shared" si="130"/>
        <v>0</v>
      </c>
      <c r="BM79" s="73">
        <f t="shared" si="180"/>
        <v>0</v>
      </c>
      <c r="BN79" s="73">
        <f t="shared" si="131"/>
        <v>0</v>
      </c>
      <c r="BQ79">
        <f t="shared" si="132"/>
        <v>26.686740929038095</v>
      </c>
      <c r="BR79">
        <f t="shared" si="133"/>
        <v>0</v>
      </c>
      <c r="BS79">
        <f t="shared" si="134"/>
        <v>0</v>
      </c>
      <c r="BT79">
        <f t="shared" si="135"/>
        <v>0</v>
      </c>
      <c r="BU79">
        <f t="shared" si="136"/>
        <v>2.6616838121849393</v>
      </c>
      <c r="BV79">
        <f t="shared" si="137"/>
        <v>0</v>
      </c>
      <c r="BW79">
        <f t="shared" si="138"/>
        <v>0</v>
      </c>
      <c r="BX79">
        <f t="shared" si="139"/>
        <v>0</v>
      </c>
      <c r="BY79">
        <f t="shared" si="140"/>
        <v>0</v>
      </c>
      <c r="BZ79">
        <f t="shared" si="141"/>
        <v>14.631195258495394</v>
      </c>
      <c r="CA79">
        <f t="shared" si="142"/>
        <v>9.350844746241636</v>
      </c>
      <c r="CB79">
        <f t="shared" si="143"/>
        <v>0</v>
      </c>
      <c r="CC79">
        <f t="shared" si="144"/>
        <v>0</v>
      </c>
      <c r="CD79">
        <f t="shared" si="145"/>
        <v>0</v>
      </c>
      <c r="CE79">
        <f t="shared" si="146"/>
        <v>0</v>
      </c>
      <c r="CF79">
        <f t="shared" si="147"/>
        <v>0</v>
      </c>
      <c r="CG79">
        <f t="shared" si="148"/>
        <v>0</v>
      </c>
      <c r="CH79">
        <f t="shared" si="149"/>
        <v>0</v>
      </c>
      <c r="CI79">
        <f t="shared" si="150"/>
        <v>0</v>
      </c>
      <c r="CJ79">
        <f t="shared" si="151"/>
        <v>0</v>
      </c>
      <c r="CK79">
        <f t="shared" si="152"/>
        <v>0</v>
      </c>
      <c r="CL79">
        <f t="shared" si="153"/>
        <v>0</v>
      </c>
      <c r="CN79">
        <f t="shared" si="154"/>
        <v>53.330464745960064</v>
      </c>
      <c r="CP79">
        <f t="shared" si="155"/>
        <v>1.3325602993860566</v>
      </c>
      <c r="CQ79">
        <f t="shared" si="156"/>
        <v>0</v>
      </c>
      <c r="CR79">
        <f t="shared" si="157"/>
        <v>0</v>
      </c>
      <c r="CS79">
        <f t="shared" si="158"/>
        <v>0</v>
      </c>
      <c r="CT79">
        <f t="shared" si="159"/>
        <v>0.13052588329663298</v>
      </c>
      <c r="CU79">
        <f t="shared" si="160"/>
        <v>0</v>
      </c>
      <c r="CV79">
        <f t="shared" si="161"/>
        <v>0</v>
      </c>
      <c r="CW79">
        <f t="shared" si="162"/>
        <v>0</v>
      </c>
      <c r="CX79">
        <f t="shared" si="163"/>
        <v>0</v>
      </c>
      <c r="CY79">
        <f t="shared" si="164"/>
        <v>0.72593377615953325</v>
      </c>
      <c r="CZ79">
        <f t="shared" si="165"/>
        <v>0.3334823375977759</v>
      </c>
      <c r="DA79">
        <f t="shared" si="166"/>
        <v>0</v>
      </c>
      <c r="DB79">
        <f t="shared" si="167"/>
        <v>0</v>
      </c>
      <c r="DC79">
        <f t="shared" si="168"/>
        <v>0</v>
      </c>
      <c r="DD79">
        <f t="shared" si="169"/>
        <v>0</v>
      </c>
      <c r="DE79">
        <f t="shared" si="170"/>
        <v>0</v>
      </c>
      <c r="DF79">
        <f t="shared" si="171"/>
        <v>0</v>
      </c>
      <c r="DG79">
        <f t="shared" si="172"/>
        <v>0</v>
      </c>
      <c r="DH79">
        <f t="shared" si="173"/>
        <v>0</v>
      </c>
      <c r="DI79">
        <f t="shared" si="174"/>
        <v>0</v>
      </c>
      <c r="DJ79">
        <f t="shared" si="175"/>
        <v>0</v>
      </c>
      <c r="DK79">
        <f t="shared" si="176"/>
        <v>0</v>
      </c>
      <c r="DM79">
        <f t="shared" si="76"/>
        <v>2.5225022964399986</v>
      </c>
    </row>
    <row r="80" spans="2:117">
      <c r="B80" s="93" t="s">
        <v>222</v>
      </c>
      <c r="C80" s="92">
        <v>2.863</v>
      </c>
      <c r="D80" s="43"/>
      <c r="E80" s="43"/>
      <c r="F80" s="92">
        <v>7046</v>
      </c>
      <c r="G80" s="92">
        <v>3896</v>
      </c>
      <c r="H80" s="43">
        <f t="shared" si="109"/>
        <v>3.0462589878423461E+22</v>
      </c>
      <c r="I80" s="43">
        <f t="shared" si="110"/>
        <v>8.2390565239319777E+22</v>
      </c>
      <c r="J80" s="42">
        <f t="shared" si="82"/>
        <v>142.136830108</v>
      </c>
      <c r="K80" s="42">
        <f t="shared" si="6"/>
        <v>43.456950207999995</v>
      </c>
      <c r="L80" s="42">
        <f t="shared" si="7"/>
        <v>127.88942211306971</v>
      </c>
      <c r="M80" s="79">
        <f t="shared" si="107"/>
        <v>123.65945798508099</v>
      </c>
      <c r="N80" s="79"/>
      <c r="O80" s="52" t="str">
        <f t="shared" si="177"/>
        <v>P16</v>
      </c>
      <c r="P80" s="94">
        <v>43.76</v>
      </c>
      <c r="Q80" s="91"/>
      <c r="R80" s="43"/>
      <c r="S80" s="91"/>
      <c r="T80" s="94">
        <v>17.11</v>
      </c>
      <c r="U80" s="91"/>
      <c r="V80" s="91"/>
      <c r="W80" s="43"/>
      <c r="X80" s="43"/>
      <c r="Y80" s="94">
        <v>24.81</v>
      </c>
      <c r="Z80" s="94">
        <v>13.26</v>
      </c>
      <c r="AA80" s="43"/>
      <c r="AB80" s="91"/>
      <c r="AC80" s="43"/>
      <c r="AD80" s="43"/>
      <c r="AE80" s="91"/>
      <c r="AF80" s="91"/>
      <c r="AG80" s="91"/>
      <c r="AH80" s="91"/>
      <c r="AI80" s="87"/>
      <c r="AJ80" s="87"/>
      <c r="AK80" s="87"/>
      <c r="AL80" s="87"/>
      <c r="AM80" s="86">
        <f t="shared" si="108"/>
        <v>98.94</v>
      </c>
      <c r="AO80" s="71">
        <f t="shared" si="178"/>
        <v>1.7481010512884123</v>
      </c>
      <c r="AQ80" s="97" t="str">
        <f t="shared" si="179"/>
        <v>P16</v>
      </c>
      <c r="AR80" s="73">
        <f t="shared" si="85"/>
        <v>41.665908456388415</v>
      </c>
      <c r="AS80" s="73">
        <f t="shared" si="111"/>
        <v>0</v>
      </c>
      <c r="AT80" s="73">
        <f t="shared" si="112"/>
        <v>0</v>
      </c>
      <c r="AU80" s="73">
        <f t="shared" si="113"/>
        <v>0</v>
      </c>
      <c r="AV80" s="73">
        <f t="shared" si="114"/>
        <v>9.5996113104592968</v>
      </c>
      <c r="AW80" s="73">
        <f t="shared" si="115"/>
        <v>0</v>
      </c>
      <c r="AX80" s="73">
        <f t="shared" si="116"/>
        <v>0</v>
      </c>
      <c r="AY80" s="73">
        <f t="shared" si="117"/>
        <v>0</v>
      </c>
      <c r="AZ80" s="73">
        <f t="shared" si="118"/>
        <v>0</v>
      </c>
      <c r="BA80" s="73">
        <f t="shared" si="119"/>
        <v>35.208492627795025</v>
      </c>
      <c r="BB80" s="73">
        <f t="shared" si="120"/>
        <v>13.525987605357276</v>
      </c>
      <c r="BC80" s="73">
        <f t="shared" si="121"/>
        <v>0</v>
      </c>
      <c r="BD80" s="73">
        <f t="shared" si="122"/>
        <v>0</v>
      </c>
      <c r="BE80" s="73">
        <f t="shared" si="123"/>
        <v>0</v>
      </c>
      <c r="BF80" s="73">
        <f t="shared" si="124"/>
        <v>0</v>
      </c>
      <c r="BG80" s="73">
        <f t="shared" si="125"/>
        <v>0</v>
      </c>
      <c r="BH80" s="73">
        <f t="shared" si="126"/>
        <v>0</v>
      </c>
      <c r="BI80" s="73">
        <f t="shared" si="127"/>
        <v>0</v>
      </c>
      <c r="BJ80" s="73">
        <f t="shared" si="128"/>
        <v>0</v>
      </c>
      <c r="BK80" s="73">
        <f t="shared" si="129"/>
        <v>0</v>
      </c>
      <c r="BL80" s="73">
        <f t="shared" si="130"/>
        <v>0</v>
      </c>
      <c r="BM80" s="73">
        <f t="shared" si="180"/>
        <v>0</v>
      </c>
      <c r="BN80" s="73">
        <f t="shared" si="131"/>
        <v>0</v>
      </c>
      <c r="BQ80">
        <f t="shared" si="132"/>
        <v>25.032877800598161</v>
      </c>
      <c r="BR80">
        <f t="shared" si="133"/>
        <v>0</v>
      </c>
      <c r="BS80">
        <f t="shared" si="134"/>
        <v>0</v>
      </c>
      <c r="BT80">
        <f t="shared" si="135"/>
        <v>0</v>
      </c>
      <c r="BU80">
        <f t="shared" si="136"/>
        <v>9.7877636921442992</v>
      </c>
      <c r="BV80">
        <f t="shared" si="137"/>
        <v>0</v>
      </c>
      <c r="BW80">
        <f t="shared" si="138"/>
        <v>0</v>
      </c>
      <c r="BX80">
        <f t="shared" si="139"/>
        <v>0</v>
      </c>
      <c r="BY80">
        <f t="shared" si="140"/>
        <v>0</v>
      </c>
      <c r="BZ80">
        <f t="shared" si="141"/>
        <v>14.192543378264174</v>
      </c>
      <c r="CA80">
        <f t="shared" si="142"/>
        <v>7.5853738490843599</v>
      </c>
      <c r="CB80">
        <f t="shared" si="143"/>
        <v>0</v>
      </c>
      <c r="CC80">
        <f t="shared" si="144"/>
        <v>0</v>
      </c>
      <c r="CD80">
        <f t="shared" si="145"/>
        <v>0</v>
      </c>
      <c r="CE80">
        <f t="shared" si="146"/>
        <v>0</v>
      </c>
      <c r="CF80">
        <f t="shared" si="147"/>
        <v>0</v>
      </c>
      <c r="CG80">
        <f t="shared" si="148"/>
        <v>0</v>
      </c>
      <c r="CH80">
        <f t="shared" si="149"/>
        <v>0</v>
      </c>
      <c r="CI80">
        <f t="shared" si="150"/>
        <v>0</v>
      </c>
      <c r="CJ80">
        <f t="shared" si="151"/>
        <v>0</v>
      </c>
      <c r="CK80">
        <f t="shared" si="152"/>
        <v>0</v>
      </c>
      <c r="CL80">
        <f t="shared" si="153"/>
        <v>0</v>
      </c>
      <c r="CN80">
        <f t="shared" si="154"/>
        <v>56.598558720090999</v>
      </c>
      <c r="CP80">
        <f t="shared" si="155"/>
        <v>1.2499772536916525</v>
      </c>
      <c r="CQ80">
        <f t="shared" si="156"/>
        <v>0</v>
      </c>
      <c r="CR80">
        <f t="shared" si="157"/>
        <v>0</v>
      </c>
      <c r="CS80">
        <f t="shared" si="158"/>
        <v>0</v>
      </c>
      <c r="CT80">
        <f t="shared" si="159"/>
        <v>0.47998056552296486</v>
      </c>
      <c r="CU80">
        <f t="shared" si="160"/>
        <v>0</v>
      </c>
      <c r="CV80">
        <f t="shared" si="161"/>
        <v>0</v>
      </c>
      <c r="CW80">
        <f t="shared" si="162"/>
        <v>0</v>
      </c>
      <c r="CX80">
        <f t="shared" si="163"/>
        <v>0</v>
      </c>
      <c r="CY80">
        <f t="shared" si="164"/>
        <v>0.70416985255590048</v>
      </c>
      <c r="CZ80">
        <f t="shared" si="165"/>
        <v>0.27051975210714552</v>
      </c>
      <c r="DA80">
        <f t="shared" si="166"/>
        <v>0</v>
      </c>
      <c r="DB80">
        <f t="shared" si="167"/>
        <v>0</v>
      </c>
      <c r="DC80">
        <f t="shared" si="168"/>
        <v>0</v>
      </c>
      <c r="DD80">
        <f t="shared" si="169"/>
        <v>0</v>
      </c>
      <c r="DE80">
        <f t="shared" si="170"/>
        <v>0</v>
      </c>
      <c r="DF80">
        <f t="shared" si="171"/>
        <v>0</v>
      </c>
      <c r="DG80">
        <f t="shared" si="172"/>
        <v>0</v>
      </c>
      <c r="DH80">
        <f t="shared" si="173"/>
        <v>0</v>
      </c>
      <c r="DI80">
        <f t="shared" si="174"/>
        <v>0</v>
      </c>
      <c r="DJ80">
        <f t="shared" si="175"/>
        <v>0</v>
      </c>
      <c r="DK80">
        <f t="shared" si="176"/>
        <v>0</v>
      </c>
      <c r="DM80">
        <f t="shared" si="76"/>
        <v>2.7046474238776632</v>
      </c>
    </row>
    <row r="81" spans="1:117">
      <c r="B81" s="16" t="s">
        <v>173</v>
      </c>
      <c r="C81" s="44">
        <v>4.5999999999999996</v>
      </c>
      <c r="D81" s="41"/>
      <c r="E81" s="41"/>
      <c r="F81" s="44">
        <v>3765</v>
      </c>
      <c r="G81" s="44">
        <v>2230</v>
      </c>
      <c r="H81" s="43">
        <f t="shared" ref="H81:H144" si="181">($C$2*C81)/CN81</f>
        <v>2.4320114596286124E+22</v>
      </c>
      <c r="I81" s="43">
        <f t="shared" ref="I81:I144" si="182">($C$2/CN81)*C81*DM81</f>
        <v>6.4934889095368513E+22</v>
      </c>
      <c r="J81" s="42">
        <f t="shared" ref="J81:J144" si="183">(C81*F81^2)/1000000</f>
        <v>65.206034999999986</v>
      </c>
      <c r="K81" s="42">
        <f t="shared" si="6"/>
        <v>22.875340000000001</v>
      </c>
      <c r="L81" s="42">
        <f t="shared" si="7"/>
        <v>66.64494702806239</v>
      </c>
      <c r="M81" s="79">
        <f t="shared" ref="M81:M144" si="184">3*K81 + 2*(0.0001 - I81*$G$2*$J$2)/100</f>
        <v>63.336536908016754</v>
      </c>
      <c r="N81" s="79"/>
      <c r="O81" s="52" t="str">
        <f t="shared" ref="O81:O144" si="185">B81</f>
        <v>PbS33</v>
      </c>
      <c r="P81" s="41">
        <v>35.340000000000003</v>
      </c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60"/>
      <c r="AC81" s="41">
        <v>64.66</v>
      </c>
      <c r="AD81" s="41"/>
      <c r="AE81" s="41"/>
      <c r="AF81" s="41"/>
      <c r="AG81" s="41"/>
      <c r="AH81" s="41"/>
      <c r="AI81" s="60"/>
      <c r="AJ81" s="60"/>
      <c r="AK81" s="60"/>
      <c r="AL81" s="60"/>
      <c r="AM81" s="86">
        <f t="shared" si="108"/>
        <v>100</v>
      </c>
      <c r="AO81" s="71">
        <f t="shared" si="178"/>
        <v>0.87792403264873364</v>
      </c>
      <c r="AQ81" s="97" t="str">
        <f t="shared" si="179"/>
        <v>PbS33</v>
      </c>
      <c r="AR81" s="73">
        <f t="shared" si="85"/>
        <v>67.000752970483944</v>
      </c>
      <c r="AS81" s="73">
        <f t="shared" si="111"/>
        <v>0</v>
      </c>
      <c r="AT81" s="73">
        <f t="shared" si="112"/>
        <v>0</v>
      </c>
      <c r="AU81" s="73">
        <f t="shared" si="113"/>
        <v>0</v>
      </c>
      <c r="AV81" s="73">
        <f t="shared" si="114"/>
        <v>0</v>
      </c>
      <c r="AW81" s="73">
        <f t="shared" si="115"/>
        <v>0</v>
      </c>
      <c r="AX81" s="73">
        <f t="shared" si="116"/>
        <v>0</v>
      </c>
      <c r="AY81" s="73">
        <f t="shared" si="117"/>
        <v>0</v>
      </c>
      <c r="AZ81" s="73">
        <f t="shared" si="118"/>
        <v>0</v>
      </c>
      <c r="BA81" s="73">
        <f t="shared" si="119"/>
        <v>0</v>
      </c>
      <c r="BB81" s="73">
        <f t="shared" si="120"/>
        <v>0</v>
      </c>
      <c r="BC81" s="73">
        <f t="shared" si="121"/>
        <v>0</v>
      </c>
      <c r="BD81" s="73">
        <f t="shared" si="122"/>
        <v>0</v>
      </c>
      <c r="BE81" s="73">
        <f t="shared" ref="BE81:BE85" si="186">100*AC81/$BE$3/$AO81</f>
        <v>32.999247029516063</v>
      </c>
      <c r="BF81" s="73">
        <f t="shared" si="124"/>
        <v>0</v>
      </c>
      <c r="BG81" s="73">
        <f t="shared" si="125"/>
        <v>0</v>
      </c>
      <c r="BH81" s="73">
        <f t="shared" si="126"/>
        <v>0</v>
      </c>
      <c r="BI81" s="73">
        <f t="shared" si="127"/>
        <v>0</v>
      </c>
      <c r="BJ81" s="73">
        <f t="shared" si="128"/>
        <v>0</v>
      </c>
      <c r="BK81" s="73">
        <f t="shared" si="129"/>
        <v>0</v>
      </c>
      <c r="BL81" s="73">
        <f t="shared" si="130"/>
        <v>0</v>
      </c>
      <c r="BM81" s="73">
        <f t="shared" si="180"/>
        <v>0</v>
      </c>
      <c r="BN81" s="73">
        <f t="shared" si="131"/>
        <v>0</v>
      </c>
      <c r="BQ81">
        <f t="shared" si="84"/>
        <v>40.254052384666757</v>
      </c>
      <c r="BR81">
        <f t="shared" si="33"/>
        <v>0</v>
      </c>
      <c r="BS81">
        <f t="shared" si="34"/>
        <v>0</v>
      </c>
      <c r="BT81">
        <f t="shared" si="35"/>
        <v>0</v>
      </c>
      <c r="BU81">
        <f t="shared" si="36"/>
        <v>0</v>
      </c>
      <c r="BV81">
        <f t="shared" si="37"/>
        <v>0</v>
      </c>
      <c r="BW81">
        <f t="shared" si="38"/>
        <v>0</v>
      </c>
      <c r="BX81">
        <f t="shared" si="39"/>
        <v>0</v>
      </c>
      <c r="BY81">
        <f t="shared" si="40"/>
        <v>0</v>
      </c>
      <c r="BZ81">
        <f t="shared" si="41"/>
        <v>0</v>
      </c>
      <c r="CA81">
        <f t="shared" si="42"/>
        <v>0</v>
      </c>
      <c r="CB81">
        <f t="shared" si="43"/>
        <v>0</v>
      </c>
      <c r="CC81">
        <f t="shared" si="44"/>
        <v>0</v>
      </c>
      <c r="CD81">
        <f t="shared" si="45"/>
        <v>73.6510194451769</v>
      </c>
      <c r="CE81">
        <f t="shared" si="46"/>
        <v>0</v>
      </c>
      <c r="CF81">
        <f t="shared" si="47"/>
        <v>0</v>
      </c>
      <c r="CG81">
        <f t="shared" si="48"/>
        <v>0</v>
      </c>
      <c r="CH81">
        <f t="shared" si="49"/>
        <v>0</v>
      </c>
      <c r="CI81">
        <f t="shared" si="50"/>
        <v>0</v>
      </c>
      <c r="CJ81">
        <f t="shared" si="51"/>
        <v>0</v>
      </c>
      <c r="CK81">
        <f t="shared" si="52"/>
        <v>0</v>
      </c>
      <c r="CL81">
        <f t="shared" si="53"/>
        <v>0</v>
      </c>
      <c r="CN81">
        <f t="shared" si="78"/>
        <v>113.90507182984365</v>
      </c>
      <c r="CP81">
        <f t="shared" si="54"/>
        <v>2.0100225891145183</v>
      </c>
      <c r="CQ81">
        <f t="shared" si="55"/>
        <v>0</v>
      </c>
      <c r="CR81">
        <f t="shared" si="56"/>
        <v>0</v>
      </c>
      <c r="CS81">
        <f t="shared" si="57"/>
        <v>0</v>
      </c>
      <c r="CT81">
        <f t="shared" si="58"/>
        <v>0</v>
      </c>
      <c r="CU81">
        <f t="shared" si="59"/>
        <v>0</v>
      </c>
      <c r="CV81">
        <f t="shared" si="60"/>
        <v>0</v>
      </c>
      <c r="CW81">
        <f t="shared" si="61"/>
        <v>0</v>
      </c>
      <c r="CX81">
        <f t="shared" si="62"/>
        <v>0</v>
      </c>
      <c r="CY81">
        <f t="shared" si="63"/>
        <v>0</v>
      </c>
      <c r="CZ81">
        <f t="shared" si="64"/>
        <v>0</v>
      </c>
      <c r="DA81">
        <f t="shared" si="65"/>
        <v>0</v>
      </c>
      <c r="DB81">
        <f t="shared" si="66"/>
        <v>0</v>
      </c>
      <c r="DC81">
        <f t="shared" si="67"/>
        <v>0.65998494059032131</v>
      </c>
      <c r="DD81">
        <f t="shared" si="68"/>
        <v>0</v>
      </c>
      <c r="DE81">
        <f t="shared" si="69"/>
        <v>0</v>
      </c>
      <c r="DF81">
        <f t="shared" si="70"/>
        <v>0</v>
      </c>
      <c r="DG81">
        <f t="shared" si="71"/>
        <v>0</v>
      </c>
      <c r="DH81">
        <f t="shared" si="72"/>
        <v>0</v>
      </c>
      <c r="DI81">
        <f t="shared" si="73"/>
        <v>0</v>
      </c>
      <c r="DJ81">
        <f t="shared" si="74"/>
        <v>0</v>
      </c>
      <c r="DK81">
        <f t="shared" si="75"/>
        <v>0</v>
      </c>
      <c r="DM81">
        <f t="shared" si="76"/>
        <v>2.6700075297048396</v>
      </c>
    </row>
    <row r="82" spans="1:117">
      <c r="B82" s="16" t="s">
        <v>174</v>
      </c>
      <c r="C82" s="44">
        <v>5.1509999999999998</v>
      </c>
      <c r="F82" s="44">
        <v>3538</v>
      </c>
      <c r="G82" s="44">
        <v>2077</v>
      </c>
      <c r="H82" s="43">
        <f t="shared" si="181"/>
        <v>2.4750427154875903E+22</v>
      </c>
      <c r="I82" s="43">
        <f t="shared" si="182"/>
        <v>6.4349996132428251E+22</v>
      </c>
      <c r="J82" s="42">
        <f t="shared" si="183"/>
        <v>64.477354043999995</v>
      </c>
      <c r="K82" s="42">
        <f t="shared" si="6"/>
        <v>22.221048278999998</v>
      </c>
      <c r="L82" s="42">
        <f t="shared" si="7"/>
        <v>64.647019339443801</v>
      </c>
      <c r="M82" s="79">
        <f t="shared" si="184"/>
        <v>61.421306126195773</v>
      </c>
      <c r="N82" s="79"/>
      <c r="O82" s="52" t="str">
        <f t="shared" si="185"/>
        <v>PbS40</v>
      </c>
      <c r="P82" s="90">
        <v>28.76</v>
      </c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41">
        <v>71.239999999999995</v>
      </c>
      <c r="AD82" s="60"/>
      <c r="AE82" s="60"/>
      <c r="AF82" s="60"/>
      <c r="AG82" s="60"/>
      <c r="AH82" s="60"/>
      <c r="AI82" s="60"/>
      <c r="AJ82" s="60"/>
      <c r="AK82" s="60"/>
      <c r="AL82" s="60"/>
      <c r="AM82" s="86">
        <f t="shared" si="108"/>
        <v>100</v>
      </c>
      <c r="AO82" s="71">
        <f t="shared" si="178"/>
        <v>0.7978850010998374</v>
      </c>
      <c r="AQ82" s="97" t="str">
        <f t="shared" si="179"/>
        <v>PbS40</v>
      </c>
      <c r="AR82" s="73">
        <f t="shared" si="85"/>
        <v>59.995497167615994</v>
      </c>
      <c r="AS82" s="73">
        <f t="shared" si="111"/>
        <v>0</v>
      </c>
      <c r="AT82" s="73">
        <f t="shared" si="112"/>
        <v>0</v>
      </c>
      <c r="AU82" s="73">
        <f t="shared" si="113"/>
        <v>0</v>
      </c>
      <c r="AV82" s="73">
        <f t="shared" si="114"/>
        <v>0</v>
      </c>
      <c r="AW82" s="73">
        <f t="shared" si="115"/>
        <v>0</v>
      </c>
      <c r="AX82" s="73">
        <f t="shared" si="116"/>
        <v>0</v>
      </c>
      <c r="AY82" s="73">
        <f t="shared" si="117"/>
        <v>0</v>
      </c>
      <c r="AZ82" s="73">
        <f t="shared" si="118"/>
        <v>0</v>
      </c>
      <c r="BA82" s="73">
        <f t="shared" si="119"/>
        <v>0</v>
      </c>
      <c r="BB82" s="73">
        <f t="shared" si="120"/>
        <v>0</v>
      </c>
      <c r="BC82" s="73">
        <f t="shared" si="121"/>
        <v>0</v>
      </c>
      <c r="BD82" s="73">
        <f t="shared" si="122"/>
        <v>0</v>
      </c>
      <c r="BE82" s="73">
        <f t="shared" si="186"/>
        <v>40.004502832384006</v>
      </c>
      <c r="BF82" s="73">
        <f t="shared" si="124"/>
        <v>0</v>
      </c>
      <c r="BG82" s="73">
        <f t="shared" si="125"/>
        <v>0</v>
      </c>
      <c r="BH82" s="73">
        <f t="shared" si="126"/>
        <v>0</v>
      </c>
      <c r="BI82" s="73">
        <f t="shared" si="127"/>
        <v>0</v>
      </c>
      <c r="BJ82" s="73">
        <f t="shared" si="128"/>
        <v>0</v>
      </c>
      <c r="BK82" s="73">
        <f t="shared" si="129"/>
        <v>0</v>
      </c>
      <c r="BL82" s="73">
        <f t="shared" si="130"/>
        <v>0</v>
      </c>
      <c r="BM82" s="73">
        <f t="shared" si="180"/>
        <v>0</v>
      </c>
      <c r="BN82" s="73">
        <f t="shared" si="131"/>
        <v>0</v>
      </c>
      <c r="BQ82">
        <f t="shared" si="84"/>
        <v>36.045294698303692</v>
      </c>
      <c r="BR82">
        <f t="shared" si="33"/>
        <v>0</v>
      </c>
      <c r="BS82">
        <f t="shared" si="34"/>
        <v>0</v>
      </c>
      <c r="BT82">
        <f t="shared" si="35"/>
        <v>0</v>
      </c>
      <c r="BU82">
        <f t="shared" si="36"/>
        <v>0</v>
      </c>
      <c r="BV82">
        <f t="shared" si="37"/>
        <v>0</v>
      </c>
      <c r="BW82">
        <f t="shared" si="38"/>
        <v>0</v>
      </c>
      <c r="BX82">
        <f t="shared" si="39"/>
        <v>0</v>
      </c>
      <c r="BY82">
        <f t="shared" si="40"/>
        <v>0</v>
      </c>
      <c r="BZ82">
        <f t="shared" si="41"/>
        <v>0</v>
      </c>
      <c r="CA82">
        <f t="shared" si="42"/>
        <v>0</v>
      </c>
      <c r="CB82">
        <f t="shared" si="43"/>
        <v>0</v>
      </c>
      <c r="CC82">
        <f t="shared" si="44"/>
        <v>0</v>
      </c>
      <c r="CD82">
        <f t="shared" si="45"/>
        <v>89.286049871597854</v>
      </c>
      <c r="CE82">
        <f t="shared" si="46"/>
        <v>0</v>
      </c>
      <c r="CF82">
        <f t="shared" si="47"/>
        <v>0</v>
      </c>
      <c r="CG82">
        <f t="shared" si="48"/>
        <v>0</v>
      </c>
      <c r="CH82">
        <f t="shared" si="49"/>
        <v>0</v>
      </c>
      <c r="CI82">
        <f t="shared" si="50"/>
        <v>0</v>
      </c>
      <c r="CJ82">
        <f t="shared" si="51"/>
        <v>0</v>
      </c>
      <c r="CK82">
        <f t="shared" si="52"/>
        <v>0</v>
      </c>
      <c r="CL82">
        <f t="shared" si="53"/>
        <v>0</v>
      </c>
      <c r="CN82">
        <f t="shared" si="78"/>
        <v>125.33134456990155</v>
      </c>
      <c r="CP82">
        <f t="shared" si="54"/>
        <v>1.79986491502848</v>
      </c>
      <c r="CQ82">
        <f t="shared" si="55"/>
        <v>0</v>
      </c>
      <c r="CR82">
        <f t="shared" si="56"/>
        <v>0</v>
      </c>
      <c r="CS82">
        <f t="shared" si="57"/>
        <v>0</v>
      </c>
      <c r="CT82">
        <f t="shared" si="58"/>
        <v>0</v>
      </c>
      <c r="CU82">
        <f t="shared" si="59"/>
        <v>0</v>
      </c>
      <c r="CV82">
        <f t="shared" si="60"/>
        <v>0</v>
      </c>
      <c r="CW82">
        <f t="shared" si="61"/>
        <v>0</v>
      </c>
      <c r="CX82">
        <f t="shared" si="62"/>
        <v>0</v>
      </c>
      <c r="CY82">
        <f t="shared" si="63"/>
        <v>0</v>
      </c>
      <c r="CZ82">
        <f t="shared" si="64"/>
        <v>0</v>
      </c>
      <c r="DA82">
        <f t="shared" si="65"/>
        <v>0</v>
      </c>
      <c r="DB82">
        <f t="shared" si="66"/>
        <v>0</v>
      </c>
      <c r="DC82">
        <f t="shared" si="67"/>
        <v>0.80009005664768007</v>
      </c>
      <c r="DD82">
        <f t="shared" si="68"/>
        <v>0</v>
      </c>
      <c r="DE82">
        <f t="shared" si="69"/>
        <v>0</v>
      </c>
      <c r="DF82">
        <f t="shared" si="70"/>
        <v>0</v>
      </c>
      <c r="DG82">
        <f t="shared" si="71"/>
        <v>0</v>
      </c>
      <c r="DH82">
        <f t="shared" si="72"/>
        <v>0</v>
      </c>
      <c r="DI82">
        <f t="shared" si="73"/>
        <v>0</v>
      </c>
      <c r="DJ82">
        <f t="shared" si="74"/>
        <v>0</v>
      </c>
      <c r="DK82">
        <f t="shared" si="75"/>
        <v>0</v>
      </c>
      <c r="DM82">
        <f t="shared" si="76"/>
        <v>2.5999549716761603</v>
      </c>
    </row>
    <row r="83" spans="1:117">
      <c r="B83" s="16" t="s">
        <v>175</v>
      </c>
      <c r="C83" s="44">
        <v>5.9640000000000004</v>
      </c>
      <c r="F83" s="44">
        <v>3235</v>
      </c>
      <c r="G83" s="44">
        <v>1845</v>
      </c>
      <c r="H83" s="43">
        <f t="shared" si="181"/>
        <v>2.5361191601259619E+22</v>
      </c>
      <c r="I83" s="43">
        <f t="shared" si="182"/>
        <v>6.3405603467893123E+22</v>
      </c>
      <c r="J83" s="42">
        <f t="shared" si="183"/>
        <v>62.414601900000008</v>
      </c>
      <c r="K83" s="42">
        <f t="shared" si="6"/>
        <v>20.3016051</v>
      </c>
      <c r="L83" s="42">
        <f t="shared" si="7"/>
        <v>58.838937974437833</v>
      </c>
      <c r="M83" s="79">
        <f t="shared" si="184"/>
        <v>55.739905201681751</v>
      </c>
      <c r="N83" s="79"/>
      <c r="O83" s="52" t="str">
        <f t="shared" si="185"/>
        <v>PbS50</v>
      </c>
      <c r="P83" s="90">
        <v>21.21</v>
      </c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87">
        <v>78.760000000000005</v>
      </c>
      <c r="AD83" s="60"/>
      <c r="AE83" s="60"/>
      <c r="AF83" s="60"/>
      <c r="AG83" s="60"/>
      <c r="AH83" s="60"/>
      <c r="AI83" s="60"/>
      <c r="AJ83" s="60"/>
      <c r="AK83" s="60"/>
      <c r="AL83" s="60"/>
      <c r="AM83" s="86">
        <f t="shared" si="108"/>
        <v>99.97</v>
      </c>
      <c r="AO83" s="71">
        <f t="shared" si="178"/>
        <v>0.70591248796577455</v>
      </c>
      <c r="AQ83" s="97" t="str">
        <f t="shared" si="179"/>
        <v>PbS50</v>
      </c>
      <c r="AR83" s="73">
        <f t="shared" si="85"/>
        <v>50.010348349499267</v>
      </c>
      <c r="AS83" s="73">
        <f t="shared" si="111"/>
        <v>0</v>
      </c>
      <c r="AT83" s="73">
        <f t="shared" si="112"/>
        <v>0</v>
      </c>
      <c r="AU83" s="73">
        <f t="shared" si="113"/>
        <v>0</v>
      </c>
      <c r="AV83" s="73">
        <f t="shared" si="114"/>
        <v>0</v>
      </c>
      <c r="AW83" s="73">
        <f t="shared" si="115"/>
        <v>0</v>
      </c>
      <c r="AX83" s="73">
        <f t="shared" si="116"/>
        <v>0</v>
      </c>
      <c r="AY83" s="73">
        <f t="shared" si="117"/>
        <v>0</v>
      </c>
      <c r="AZ83" s="73">
        <f t="shared" si="118"/>
        <v>0</v>
      </c>
      <c r="BA83" s="73">
        <f t="shared" si="119"/>
        <v>0</v>
      </c>
      <c r="BB83" s="73">
        <f t="shared" si="120"/>
        <v>0</v>
      </c>
      <c r="BC83" s="73">
        <f t="shared" si="121"/>
        <v>0</v>
      </c>
      <c r="BD83" s="73">
        <f t="shared" si="122"/>
        <v>0</v>
      </c>
      <c r="BE83" s="73">
        <f t="shared" si="186"/>
        <v>49.98965165050074</v>
      </c>
      <c r="BF83" s="73">
        <f t="shared" si="124"/>
        <v>0</v>
      </c>
      <c r="BG83" s="73">
        <f t="shared" si="125"/>
        <v>0</v>
      </c>
      <c r="BH83" s="73">
        <f t="shared" si="126"/>
        <v>0</v>
      </c>
      <c r="BI83" s="73">
        <f t="shared" si="127"/>
        <v>0</v>
      </c>
      <c r="BJ83" s="73">
        <f t="shared" si="128"/>
        <v>0</v>
      </c>
      <c r="BK83" s="73">
        <f t="shared" si="129"/>
        <v>0</v>
      </c>
      <c r="BL83" s="73">
        <f t="shared" si="130"/>
        <v>0</v>
      </c>
      <c r="BM83" s="73">
        <f t="shared" si="180"/>
        <v>0</v>
      </c>
      <c r="BN83" s="73">
        <f t="shared" si="131"/>
        <v>0</v>
      </c>
      <c r="BQ83">
        <f t="shared" si="84"/>
        <v>30.046217288379157</v>
      </c>
      <c r="BR83">
        <f t="shared" si="33"/>
        <v>0</v>
      </c>
      <c r="BS83">
        <f t="shared" si="34"/>
        <v>0</v>
      </c>
      <c r="BT83">
        <f t="shared" si="35"/>
        <v>0</v>
      </c>
      <c r="BU83">
        <f t="shared" si="36"/>
        <v>0</v>
      </c>
      <c r="BV83">
        <f t="shared" si="37"/>
        <v>0</v>
      </c>
      <c r="BW83">
        <f t="shared" si="38"/>
        <v>0</v>
      </c>
      <c r="BX83">
        <f t="shared" si="39"/>
        <v>0</v>
      </c>
      <c r="BY83">
        <f t="shared" si="40"/>
        <v>0</v>
      </c>
      <c r="BZ83">
        <f t="shared" si="41"/>
        <v>0</v>
      </c>
      <c r="CA83">
        <f t="shared" si="42"/>
        <v>0</v>
      </c>
      <c r="CB83">
        <f t="shared" si="43"/>
        <v>0</v>
      </c>
      <c r="CC83">
        <f t="shared" si="44"/>
        <v>0</v>
      </c>
      <c r="CD83">
        <f t="shared" si="45"/>
        <v>111.57190351875259</v>
      </c>
      <c r="CE83">
        <f t="shared" si="46"/>
        <v>0</v>
      </c>
      <c r="CF83">
        <f t="shared" si="47"/>
        <v>0</v>
      </c>
      <c r="CG83">
        <f t="shared" si="48"/>
        <v>0</v>
      </c>
      <c r="CH83">
        <f t="shared" si="49"/>
        <v>0</v>
      </c>
      <c r="CI83">
        <f t="shared" si="50"/>
        <v>0</v>
      </c>
      <c r="CJ83">
        <f t="shared" si="51"/>
        <v>0</v>
      </c>
      <c r="CK83">
        <f t="shared" si="52"/>
        <v>0</v>
      </c>
      <c r="CL83">
        <f t="shared" si="53"/>
        <v>0</v>
      </c>
      <c r="CN83">
        <f t="shared" si="78"/>
        <v>141.61812080713176</v>
      </c>
      <c r="CP83">
        <f t="shared" si="54"/>
        <v>1.500310450484978</v>
      </c>
      <c r="CQ83">
        <f t="shared" si="55"/>
        <v>0</v>
      </c>
      <c r="CR83">
        <f t="shared" si="56"/>
        <v>0</v>
      </c>
      <c r="CS83">
        <f t="shared" si="57"/>
        <v>0</v>
      </c>
      <c r="CT83">
        <f t="shared" si="58"/>
        <v>0</v>
      </c>
      <c r="CU83">
        <f t="shared" si="59"/>
        <v>0</v>
      </c>
      <c r="CV83">
        <f t="shared" si="60"/>
        <v>0</v>
      </c>
      <c r="CW83">
        <f t="shared" si="61"/>
        <v>0</v>
      </c>
      <c r="CX83">
        <f t="shared" si="62"/>
        <v>0</v>
      </c>
      <c r="CY83">
        <f t="shared" si="63"/>
        <v>0</v>
      </c>
      <c r="CZ83">
        <f t="shared" si="64"/>
        <v>0</v>
      </c>
      <c r="DA83">
        <f t="shared" si="65"/>
        <v>0</v>
      </c>
      <c r="DB83">
        <f t="shared" si="66"/>
        <v>0</v>
      </c>
      <c r="DC83">
        <f t="shared" si="67"/>
        <v>0.99979303301001476</v>
      </c>
      <c r="DD83">
        <f t="shared" si="68"/>
        <v>0</v>
      </c>
      <c r="DE83">
        <f t="shared" si="69"/>
        <v>0</v>
      </c>
      <c r="DF83">
        <f t="shared" si="70"/>
        <v>0</v>
      </c>
      <c r="DG83">
        <f t="shared" si="71"/>
        <v>0</v>
      </c>
      <c r="DH83">
        <f t="shared" si="72"/>
        <v>0</v>
      </c>
      <c r="DI83">
        <f t="shared" si="73"/>
        <v>0</v>
      </c>
      <c r="DJ83">
        <f t="shared" si="74"/>
        <v>0</v>
      </c>
      <c r="DK83">
        <f t="shared" si="75"/>
        <v>0</v>
      </c>
      <c r="DM83">
        <f t="shared" si="76"/>
        <v>2.5001034834949927</v>
      </c>
    </row>
    <row r="84" spans="1:117">
      <c r="B84" s="16" t="s">
        <v>176</v>
      </c>
      <c r="C84" s="44">
        <v>6.5640000000000001</v>
      </c>
      <c r="F84" s="44">
        <v>3026</v>
      </c>
      <c r="G84" s="44">
        <v>1711</v>
      </c>
      <c r="H84" s="43">
        <f t="shared" si="181"/>
        <v>2.5553471272897225E+22</v>
      </c>
      <c r="I84" s="43">
        <f t="shared" si="182"/>
        <v>6.1838023150281798E+22</v>
      </c>
      <c r="J84" s="42">
        <f t="shared" si="183"/>
        <v>60.104421263999996</v>
      </c>
      <c r="K84" s="42">
        <f t="shared" si="6"/>
        <v>19.216247844000002</v>
      </c>
      <c r="L84" s="42">
        <f t="shared" si="7"/>
        <v>55.567203432992201</v>
      </c>
      <c r="M84" s="79">
        <f t="shared" si="184"/>
        <v>52.611525847359616</v>
      </c>
      <c r="N84" s="79"/>
      <c r="O84" s="52" t="str">
        <f t="shared" si="185"/>
        <v>PbS58</v>
      </c>
      <c r="P84" s="90">
        <v>16.309999999999999</v>
      </c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87">
        <v>83.69</v>
      </c>
      <c r="AD84" s="60"/>
      <c r="AE84" s="60"/>
      <c r="AF84" s="60"/>
      <c r="AG84" s="60"/>
      <c r="AH84" s="60"/>
      <c r="AI84" s="60"/>
      <c r="AJ84" s="60"/>
      <c r="AK84" s="60"/>
      <c r="AL84" s="60"/>
      <c r="AM84" s="86">
        <f t="shared" si="108"/>
        <v>100</v>
      </c>
      <c r="AO84" s="71">
        <f t="shared" si="178"/>
        <v>0.64644336845792894</v>
      </c>
      <c r="AQ84" s="97" t="str">
        <f t="shared" si="179"/>
        <v>PbS58</v>
      </c>
      <c r="AR84" s="73">
        <f t="shared" si="85"/>
        <v>41.99461000771764</v>
      </c>
      <c r="AS84" s="73">
        <f t="shared" si="111"/>
        <v>0</v>
      </c>
      <c r="AT84" s="73">
        <f t="shared" si="112"/>
        <v>0</v>
      </c>
      <c r="AU84" s="73">
        <f t="shared" si="113"/>
        <v>0</v>
      </c>
      <c r="AV84" s="73">
        <f t="shared" si="114"/>
        <v>0</v>
      </c>
      <c r="AW84" s="73">
        <f t="shared" si="115"/>
        <v>0</v>
      </c>
      <c r="AX84" s="73">
        <f t="shared" si="116"/>
        <v>0</v>
      </c>
      <c r="AY84" s="73">
        <f t="shared" si="117"/>
        <v>0</v>
      </c>
      <c r="AZ84" s="73">
        <f t="shared" si="118"/>
        <v>0</v>
      </c>
      <c r="BA84" s="73">
        <f t="shared" si="119"/>
        <v>0</v>
      </c>
      <c r="BB84" s="73">
        <f t="shared" si="120"/>
        <v>0</v>
      </c>
      <c r="BC84" s="73">
        <f t="shared" si="121"/>
        <v>0</v>
      </c>
      <c r="BD84" s="73">
        <f t="shared" si="122"/>
        <v>0</v>
      </c>
      <c r="BE84" s="73">
        <f t="shared" si="186"/>
        <v>58.00538999228236</v>
      </c>
      <c r="BF84" s="73">
        <f t="shared" si="124"/>
        <v>0</v>
      </c>
      <c r="BG84" s="73">
        <f t="shared" si="125"/>
        <v>0</v>
      </c>
      <c r="BH84" s="73">
        <f t="shared" si="126"/>
        <v>0</v>
      </c>
      <c r="BI84" s="73">
        <f t="shared" si="127"/>
        <v>0</v>
      </c>
      <c r="BJ84" s="73">
        <f t="shared" si="128"/>
        <v>0</v>
      </c>
      <c r="BK84" s="73">
        <f t="shared" si="129"/>
        <v>0</v>
      </c>
      <c r="BL84" s="73">
        <f t="shared" si="130"/>
        <v>0</v>
      </c>
      <c r="BM84" s="73">
        <f t="shared" si="180"/>
        <v>0</v>
      </c>
      <c r="BN84" s="73">
        <f t="shared" si="131"/>
        <v>0</v>
      </c>
      <c r="BQ84">
        <f t="shared" si="84"/>
        <v>25.230361692636759</v>
      </c>
      <c r="BR84">
        <f t="shared" si="33"/>
        <v>0</v>
      </c>
      <c r="BS84">
        <f t="shared" si="34"/>
        <v>0</v>
      </c>
      <c r="BT84">
        <f t="shared" si="35"/>
        <v>0</v>
      </c>
      <c r="BU84">
        <f t="shared" si="36"/>
        <v>0</v>
      </c>
      <c r="BV84">
        <f t="shared" si="37"/>
        <v>0</v>
      </c>
      <c r="BW84">
        <f t="shared" si="38"/>
        <v>0</v>
      </c>
      <c r="BX84">
        <f t="shared" si="39"/>
        <v>0</v>
      </c>
      <c r="BY84">
        <f t="shared" si="40"/>
        <v>0</v>
      </c>
      <c r="BZ84">
        <f t="shared" si="41"/>
        <v>0</v>
      </c>
      <c r="CA84">
        <f t="shared" si="42"/>
        <v>0</v>
      </c>
      <c r="CB84">
        <f t="shared" si="43"/>
        <v>0</v>
      </c>
      <c r="CC84">
        <f t="shared" si="44"/>
        <v>0</v>
      </c>
      <c r="CD84">
        <f t="shared" si="45"/>
        <v>129.462229923775</v>
      </c>
      <c r="CE84">
        <f t="shared" si="46"/>
        <v>0</v>
      </c>
      <c r="CF84">
        <f t="shared" si="47"/>
        <v>0</v>
      </c>
      <c r="CG84">
        <f t="shared" si="48"/>
        <v>0</v>
      </c>
      <c r="CH84">
        <f t="shared" si="49"/>
        <v>0</v>
      </c>
      <c r="CI84">
        <f t="shared" si="50"/>
        <v>0</v>
      </c>
      <c r="CJ84">
        <f t="shared" si="51"/>
        <v>0</v>
      </c>
      <c r="CK84">
        <f t="shared" si="52"/>
        <v>0</v>
      </c>
      <c r="CL84">
        <f t="shared" si="53"/>
        <v>0</v>
      </c>
      <c r="CN84">
        <f t="shared" si="78"/>
        <v>154.69259161641176</v>
      </c>
      <c r="CP84">
        <f t="shared" si="54"/>
        <v>1.2598383002315292</v>
      </c>
      <c r="CQ84">
        <f t="shared" si="55"/>
        <v>0</v>
      </c>
      <c r="CR84">
        <f t="shared" si="56"/>
        <v>0</v>
      </c>
      <c r="CS84">
        <f t="shared" si="57"/>
        <v>0</v>
      </c>
      <c r="CT84">
        <f t="shared" si="58"/>
        <v>0</v>
      </c>
      <c r="CU84">
        <f t="shared" si="59"/>
        <v>0</v>
      </c>
      <c r="CV84">
        <f t="shared" si="60"/>
        <v>0</v>
      </c>
      <c r="CW84">
        <f t="shared" si="61"/>
        <v>0</v>
      </c>
      <c r="CX84">
        <f t="shared" si="62"/>
        <v>0</v>
      </c>
      <c r="CY84">
        <f t="shared" si="63"/>
        <v>0</v>
      </c>
      <c r="CZ84">
        <f t="shared" si="64"/>
        <v>0</v>
      </c>
      <c r="DA84">
        <f t="shared" si="65"/>
        <v>0</v>
      </c>
      <c r="DB84">
        <f t="shared" si="66"/>
        <v>0</v>
      </c>
      <c r="DC84">
        <f t="shared" si="67"/>
        <v>1.1601077998456473</v>
      </c>
      <c r="DD84">
        <f t="shared" si="68"/>
        <v>0</v>
      </c>
      <c r="DE84">
        <f t="shared" si="69"/>
        <v>0</v>
      </c>
      <c r="DF84">
        <f t="shared" si="70"/>
        <v>0</v>
      </c>
      <c r="DG84">
        <f t="shared" si="71"/>
        <v>0</v>
      </c>
      <c r="DH84">
        <f t="shared" si="72"/>
        <v>0</v>
      </c>
      <c r="DI84">
        <f t="shared" si="73"/>
        <v>0</v>
      </c>
      <c r="DJ84">
        <f t="shared" si="74"/>
        <v>0</v>
      </c>
      <c r="DK84">
        <f t="shared" si="75"/>
        <v>0</v>
      </c>
      <c r="DM84">
        <f t="shared" si="76"/>
        <v>2.4199461000771763</v>
      </c>
    </row>
    <row r="85" spans="1:117">
      <c r="B85" s="16" t="s">
        <v>177</v>
      </c>
      <c r="C85" s="44">
        <v>7.1680000000000001</v>
      </c>
      <c r="F85" s="44">
        <v>2771</v>
      </c>
      <c r="G85" s="44">
        <v>1541</v>
      </c>
      <c r="H85" s="43">
        <f t="shared" si="181"/>
        <v>2.548946254051615E+22</v>
      </c>
      <c r="I85" s="43">
        <f t="shared" si="182"/>
        <v>5.9392407960180085E+22</v>
      </c>
      <c r="J85" s="42">
        <f t="shared" si="183"/>
        <v>55.039065088000001</v>
      </c>
      <c r="K85" s="42">
        <f t="shared" si="6"/>
        <v>17.021713408</v>
      </c>
      <c r="L85" s="42">
        <f t="shared" si="7"/>
        <v>48.98881416694104</v>
      </c>
      <c r="M85" s="79">
        <f t="shared" si="184"/>
        <v>46.227138173188933</v>
      </c>
      <c r="N85" s="79"/>
      <c r="O85" s="52" t="str">
        <f t="shared" si="185"/>
        <v>PbS67</v>
      </c>
      <c r="P85" s="90">
        <v>11.71</v>
      </c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87">
        <v>88.29</v>
      </c>
      <c r="AD85" s="60"/>
      <c r="AE85" s="60"/>
      <c r="AF85" s="60"/>
      <c r="AG85" s="60"/>
      <c r="AH85" s="60"/>
      <c r="AI85" s="60"/>
      <c r="AJ85" s="60"/>
      <c r="AK85" s="60"/>
      <c r="AL85" s="60"/>
      <c r="AM85" s="86">
        <f t="shared" si="108"/>
        <v>100</v>
      </c>
      <c r="AO85" s="71">
        <f t="shared" si="178"/>
        <v>0.59048903029304722</v>
      </c>
      <c r="AQ85" s="97" t="str">
        <f t="shared" si="179"/>
        <v>PbS67</v>
      </c>
      <c r="AR85" s="73">
        <f t="shared" si="85"/>
        <v>33.007690396666305</v>
      </c>
      <c r="AS85" s="73">
        <f t="shared" si="111"/>
        <v>0</v>
      </c>
      <c r="AT85" s="73">
        <f t="shared" si="112"/>
        <v>0</v>
      </c>
      <c r="AU85" s="73">
        <f t="shared" si="113"/>
        <v>0</v>
      </c>
      <c r="AV85" s="73">
        <f t="shared" si="114"/>
        <v>0</v>
      </c>
      <c r="AW85" s="73">
        <f t="shared" si="115"/>
        <v>0</v>
      </c>
      <c r="AX85" s="73">
        <f t="shared" si="116"/>
        <v>0</v>
      </c>
      <c r="AY85" s="73">
        <f t="shared" si="117"/>
        <v>0</v>
      </c>
      <c r="AZ85" s="73">
        <f t="shared" si="118"/>
        <v>0</v>
      </c>
      <c r="BA85" s="73">
        <f t="shared" si="119"/>
        <v>0</v>
      </c>
      <c r="BB85" s="73">
        <f t="shared" si="120"/>
        <v>0</v>
      </c>
      <c r="BC85" s="73">
        <f t="shared" si="121"/>
        <v>0</v>
      </c>
      <c r="BD85" s="73">
        <f t="shared" si="122"/>
        <v>0</v>
      </c>
      <c r="BE85" s="73">
        <f t="shared" si="186"/>
        <v>66.99230960333368</v>
      </c>
      <c r="BF85" s="73">
        <f t="shared" si="124"/>
        <v>0</v>
      </c>
      <c r="BG85" s="73">
        <f t="shared" si="125"/>
        <v>0</v>
      </c>
      <c r="BH85" s="73">
        <f t="shared" si="126"/>
        <v>0</v>
      </c>
      <c r="BI85" s="73">
        <f t="shared" si="127"/>
        <v>0</v>
      </c>
      <c r="BJ85" s="73">
        <f t="shared" si="128"/>
        <v>0</v>
      </c>
      <c r="BK85" s="73">
        <f t="shared" si="129"/>
        <v>0</v>
      </c>
      <c r="BL85" s="73">
        <f t="shared" si="130"/>
        <v>0</v>
      </c>
      <c r="BM85" s="73">
        <f t="shared" si="180"/>
        <v>0</v>
      </c>
      <c r="BN85" s="73">
        <f t="shared" si="131"/>
        <v>0</v>
      </c>
      <c r="BQ85">
        <f t="shared" si="84"/>
        <v>19.831020390317118</v>
      </c>
      <c r="BR85">
        <f t="shared" si="33"/>
        <v>0</v>
      </c>
      <c r="BS85">
        <f t="shared" si="34"/>
        <v>0</v>
      </c>
      <c r="BT85">
        <f t="shared" si="35"/>
        <v>0</v>
      </c>
      <c r="BU85">
        <f t="shared" si="36"/>
        <v>0</v>
      </c>
      <c r="BV85">
        <f t="shared" si="37"/>
        <v>0</v>
      </c>
      <c r="BW85">
        <f t="shared" si="38"/>
        <v>0</v>
      </c>
      <c r="BX85">
        <f t="shared" si="39"/>
        <v>0</v>
      </c>
      <c r="BY85">
        <f t="shared" si="40"/>
        <v>0</v>
      </c>
      <c r="BZ85">
        <f t="shared" si="41"/>
        <v>0</v>
      </c>
      <c r="CA85">
        <f t="shared" si="42"/>
        <v>0</v>
      </c>
      <c r="CB85">
        <f t="shared" si="43"/>
        <v>0</v>
      </c>
      <c r="CC85">
        <f t="shared" si="44"/>
        <v>0</v>
      </c>
      <c r="CD85">
        <f t="shared" si="45"/>
        <v>149.52013580368043</v>
      </c>
      <c r="CE85">
        <f t="shared" si="46"/>
        <v>0</v>
      </c>
      <c r="CF85">
        <f t="shared" si="47"/>
        <v>0</v>
      </c>
      <c r="CG85">
        <f t="shared" si="48"/>
        <v>0</v>
      </c>
      <c r="CH85">
        <f t="shared" si="49"/>
        <v>0</v>
      </c>
      <c r="CI85">
        <f t="shared" si="50"/>
        <v>0</v>
      </c>
      <c r="CJ85">
        <f t="shared" si="51"/>
        <v>0</v>
      </c>
      <c r="CK85">
        <f t="shared" si="52"/>
        <v>0</v>
      </c>
      <c r="CL85">
        <f t="shared" si="53"/>
        <v>0</v>
      </c>
      <c r="CN85">
        <f t="shared" si="78"/>
        <v>169.35115619399755</v>
      </c>
      <c r="CP85">
        <f t="shared" si="54"/>
        <v>0.99023071189998912</v>
      </c>
      <c r="CQ85">
        <f t="shared" si="55"/>
        <v>0</v>
      </c>
      <c r="CR85">
        <f t="shared" si="56"/>
        <v>0</v>
      </c>
      <c r="CS85">
        <f t="shared" si="57"/>
        <v>0</v>
      </c>
      <c r="CT85">
        <f t="shared" si="58"/>
        <v>0</v>
      </c>
      <c r="CU85">
        <f t="shared" si="59"/>
        <v>0</v>
      </c>
      <c r="CV85">
        <f t="shared" si="60"/>
        <v>0</v>
      </c>
      <c r="CW85">
        <f t="shared" si="61"/>
        <v>0</v>
      </c>
      <c r="CX85">
        <f t="shared" si="62"/>
        <v>0</v>
      </c>
      <c r="CY85">
        <f t="shared" si="63"/>
        <v>0</v>
      </c>
      <c r="CZ85">
        <f t="shared" si="64"/>
        <v>0</v>
      </c>
      <c r="DA85">
        <f t="shared" si="65"/>
        <v>0</v>
      </c>
      <c r="DB85">
        <f t="shared" si="66"/>
        <v>0</v>
      </c>
      <c r="DC85">
        <f t="shared" si="67"/>
        <v>1.3398461920666735</v>
      </c>
      <c r="DD85">
        <f t="shared" si="68"/>
        <v>0</v>
      </c>
      <c r="DE85">
        <f t="shared" si="69"/>
        <v>0</v>
      </c>
      <c r="DF85">
        <f t="shared" si="70"/>
        <v>0</v>
      </c>
      <c r="DG85">
        <f t="shared" si="71"/>
        <v>0</v>
      </c>
      <c r="DH85">
        <f t="shared" si="72"/>
        <v>0</v>
      </c>
      <c r="DI85">
        <f t="shared" si="73"/>
        <v>0</v>
      </c>
      <c r="DJ85">
        <f t="shared" si="74"/>
        <v>0</v>
      </c>
      <c r="DK85">
        <f t="shared" si="75"/>
        <v>0</v>
      </c>
      <c r="DM85">
        <f t="shared" si="76"/>
        <v>2.3300769039666624</v>
      </c>
    </row>
    <row r="86" spans="1:117">
      <c r="B86" s="16" t="s">
        <v>178</v>
      </c>
      <c r="C86" s="44">
        <v>7.3209999999999997</v>
      </c>
      <c r="F86" s="44">
        <v>2672</v>
      </c>
      <c r="G86" s="44">
        <v>1504</v>
      </c>
      <c r="H86" s="43">
        <f t="shared" si="181"/>
        <v>2.5298818655939992E+22</v>
      </c>
      <c r="I86" s="43">
        <f t="shared" si="182"/>
        <v>5.8185367321194229E+22</v>
      </c>
      <c r="J86" s="42">
        <f t="shared" si="183"/>
        <v>52.268894463999999</v>
      </c>
      <c r="K86" s="42">
        <f t="shared" si="6"/>
        <v>16.560219136000001</v>
      </c>
      <c r="L86" s="42">
        <f t="shared" si="7"/>
        <v>47.619860875968214</v>
      </c>
      <c r="M86" s="79">
        <f t="shared" si="184"/>
        <v>44.940978824808269</v>
      </c>
      <c r="N86" s="79"/>
      <c r="O86" s="52" t="str">
        <f t="shared" si="185"/>
        <v>PbS70</v>
      </c>
      <c r="P86" s="90">
        <v>10.34</v>
      </c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87">
        <v>89.66</v>
      </c>
      <c r="AD86" s="60"/>
      <c r="AE86" s="60"/>
      <c r="AF86" s="60"/>
      <c r="AG86" s="60"/>
      <c r="AH86" s="60"/>
      <c r="AI86" s="60"/>
      <c r="AJ86" s="60"/>
      <c r="AK86" s="60"/>
      <c r="AL86" s="60"/>
      <c r="AM86" s="86">
        <f t="shared" si="108"/>
        <v>100</v>
      </c>
      <c r="AO86" s="71">
        <f t="shared" si="178"/>
        <v>0.57382436870915843</v>
      </c>
      <c r="AQ86" s="97" t="str">
        <f t="shared" ref="AQ86:AQ149" si="187">O86</f>
        <v>PbS70</v>
      </c>
      <c r="AR86" s="73">
        <f t="shared" ref="AR86:AR149" si="188">100*P86/$AR$3/$AO86</f>
        <v>29.992428154477086</v>
      </c>
      <c r="AS86" s="73">
        <f t="shared" ref="AS86:AS149" si="189">100*Q86/$AS$3/$AO86</f>
        <v>0</v>
      </c>
      <c r="AT86" s="73">
        <f t="shared" ref="AT86:AT149" si="190">100*R86/$AT$3/$AO86</f>
        <v>0</v>
      </c>
      <c r="AU86" s="73">
        <f t="shared" ref="AU86:AU149" si="191">100*S86/$AU$3/$AO86</f>
        <v>0</v>
      </c>
      <c r="AV86" s="73">
        <f t="shared" ref="AV86:AV149" si="192">100*T86/$AV$3/$AO86</f>
        <v>0</v>
      </c>
      <c r="AW86" s="73">
        <f t="shared" ref="AW86:AW149" si="193">100*U86/$AW$3/$AO86</f>
        <v>0</v>
      </c>
      <c r="AX86" s="73">
        <f t="shared" ref="AX86:AX149" si="194">100*V86/$AX$3/$AO86</f>
        <v>0</v>
      </c>
      <c r="AY86" s="73">
        <f t="shared" ref="AY86:AY149" si="195">100*W86/$AY$3/$AO86</f>
        <v>0</v>
      </c>
      <c r="AZ86" s="73">
        <f t="shared" ref="AZ86:AZ149" si="196">100*X86/$AZ$3/$AO86</f>
        <v>0</v>
      </c>
      <c r="BA86" s="73">
        <f t="shared" ref="BA86:BA149" si="197">100*Y86/$BA$3/$AO86</f>
        <v>0</v>
      </c>
      <c r="BB86" s="73">
        <f t="shared" ref="BB86:BB149" si="198">100*Z86/$BB$3/$AO86</f>
        <v>0</v>
      </c>
      <c r="BC86" s="73">
        <f t="shared" ref="BC86:BC149" si="199">100*AA86/$BC$3/$AO86</f>
        <v>0</v>
      </c>
      <c r="BD86" s="73">
        <f t="shared" ref="BD86:BD149" si="200">100*AB86/$BD$3/$AO86</f>
        <v>0</v>
      </c>
      <c r="BE86" s="73">
        <f t="shared" ref="BE86:BE149" si="201">100*AC86/$BE$3/$AO86</f>
        <v>70.007571845522918</v>
      </c>
      <c r="BF86" s="73">
        <f t="shared" ref="BF86:BF149" si="202">100*AD86/$BF$3/$AO86</f>
        <v>0</v>
      </c>
      <c r="BG86" s="73">
        <f t="shared" ref="BG86:BG149" si="203">100*AE86/$BG$3/$AO86</f>
        <v>0</v>
      </c>
      <c r="BH86" s="73">
        <f t="shared" ref="BH86:BH149" si="204">100*AF86/$BH$3/$AO86</f>
        <v>0</v>
      </c>
      <c r="BI86" s="73">
        <f t="shared" ref="BI86:BI149" si="205">100*AG86/$BI$3/$AO86</f>
        <v>0</v>
      </c>
      <c r="BJ86" s="73">
        <f t="shared" ref="BJ86:BJ149" si="206">100*AH86/$BJ$3/$AO86</f>
        <v>0</v>
      </c>
      <c r="BK86" s="73">
        <f t="shared" ref="BK86:BK149" si="207">100*AI86/$BK$3/$AO86</f>
        <v>0</v>
      </c>
      <c r="BL86" s="73">
        <f t="shared" ref="BL86:BL149" si="208">100*AJ86/$BL$3/$AO86</f>
        <v>0</v>
      </c>
      <c r="BM86" s="73">
        <f t="shared" ref="BM86:BM149" si="209">100*AK86/$BM$3/$AO86</f>
        <v>0</v>
      </c>
      <c r="BN86" s="73">
        <f t="shared" ref="BN86:BN149" si="210">100*AL86/$BN$3/$AO86</f>
        <v>0</v>
      </c>
      <c r="BQ86">
        <f t="shared" si="84"/>
        <v>18.019450835209831</v>
      </c>
      <c r="BR86">
        <f t="shared" si="33"/>
        <v>0</v>
      </c>
      <c r="BS86">
        <f t="shared" si="34"/>
        <v>0</v>
      </c>
      <c r="BT86">
        <f t="shared" si="35"/>
        <v>0</v>
      </c>
      <c r="BU86">
        <f t="shared" si="36"/>
        <v>0</v>
      </c>
      <c r="BV86">
        <f t="shared" si="37"/>
        <v>0</v>
      </c>
      <c r="BW86">
        <f t="shared" si="38"/>
        <v>0</v>
      </c>
      <c r="BX86">
        <f t="shared" si="39"/>
        <v>0</v>
      </c>
      <c r="BY86">
        <f t="shared" si="40"/>
        <v>0</v>
      </c>
      <c r="BZ86">
        <f t="shared" si="41"/>
        <v>0</v>
      </c>
      <c r="CA86">
        <f t="shared" si="42"/>
        <v>0</v>
      </c>
      <c r="CB86">
        <f t="shared" si="43"/>
        <v>0</v>
      </c>
      <c r="CC86">
        <f t="shared" si="44"/>
        <v>0</v>
      </c>
      <c r="CD86">
        <f t="shared" si="45"/>
        <v>156.24989960202259</v>
      </c>
      <c r="CE86">
        <f t="shared" si="46"/>
        <v>0</v>
      </c>
      <c r="CF86">
        <f t="shared" si="47"/>
        <v>0</v>
      </c>
      <c r="CG86">
        <f t="shared" si="48"/>
        <v>0</v>
      </c>
      <c r="CH86">
        <f t="shared" si="49"/>
        <v>0</v>
      </c>
      <c r="CI86">
        <f t="shared" si="50"/>
        <v>0</v>
      </c>
      <c r="CJ86">
        <f t="shared" si="51"/>
        <v>0</v>
      </c>
      <c r="CK86">
        <f t="shared" si="52"/>
        <v>0</v>
      </c>
      <c r="CL86">
        <f t="shared" si="53"/>
        <v>0</v>
      </c>
      <c r="CN86">
        <f t="shared" si="78"/>
        <v>174.26935043723242</v>
      </c>
      <c r="CP86">
        <f t="shared" si="54"/>
        <v>0.89977284463431251</v>
      </c>
      <c r="CQ86">
        <f t="shared" si="55"/>
        <v>0</v>
      </c>
      <c r="CR86">
        <f t="shared" si="56"/>
        <v>0</v>
      </c>
      <c r="CS86">
        <f t="shared" si="57"/>
        <v>0</v>
      </c>
      <c r="CT86">
        <f t="shared" si="58"/>
        <v>0</v>
      </c>
      <c r="CU86">
        <f t="shared" si="59"/>
        <v>0</v>
      </c>
      <c r="CV86">
        <f t="shared" si="60"/>
        <v>0</v>
      </c>
      <c r="CW86">
        <f t="shared" si="61"/>
        <v>0</v>
      </c>
      <c r="CX86">
        <f t="shared" si="62"/>
        <v>0</v>
      </c>
      <c r="CY86">
        <f t="shared" si="63"/>
        <v>0</v>
      </c>
      <c r="CZ86">
        <f t="shared" si="64"/>
        <v>0</v>
      </c>
      <c r="DA86">
        <f t="shared" si="65"/>
        <v>0</v>
      </c>
      <c r="DB86">
        <f t="shared" si="66"/>
        <v>0</v>
      </c>
      <c r="DC86">
        <f t="shared" si="67"/>
        <v>1.4001514369104584</v>
      </c>
      <c r="DD86">
        <f t="shared" si="68"/>
        <v>0</v>
      </c>
      <c r="DE86">
        <f t="shared" si="69"/>
        <v>0</v>
      </c>
      <c r="DF86">
        <f t="shared" si="70"/>
        <v>0</v>
      </c>
      <c r="DG86">
        <f t="shared" si="71"/>
        <v>0</v>
      </c>
      <c r="DH86">
        <f t="shared" si="72"/>
        <v>0</v>
      </c>
      <c r="DI86">
        <f t="shared" si="73"/>
        <v>0</v>
      </c>
      <c r="DJ86">
        <f t="shared" si="74"/>
        <v>0</v>
      </c>
      <c r="DK86">
        <f t="shared" si="75"/>
        <v>0</v>
      </c>
      <c r="DM86">
        <f t="shared" si="76"/>
        <v>2.2999242815447709</v>
      </c>
    </row>
    <row r="87" spans="1:117">
      <c r="A87" s="117" t="s">
        <v>317</v>
      </c>
      <c r="B87" s="117" t="s">
        <v>318</v>
      </c>
      <c r="C87" s="117">
        <v>2.536</v>
      </c>
      <c r="F87" s="117">
        <v>6213</v>
      </c>
      <c r="G87" s="117">
        <v>3689</v>
      </c>
      <c r="H87" s="43">
        <f t="shared" si="181"/>
        <v>2.4016844581539726E+22</v>
      </c>
      <c r="I87" s="43">
        <f t="shared" si="182"/>
        <v>7.3498210611827923E+22</v>
      </c>
      <c r="J87" s="42">
        <f t="shared" si="183"/>
        <v>97.893071784</v>
      </c>
      <c r="K87" s="42">
        <f t="shared" si="6"/>
        <v>34.511716456000002</v>
      </c>
      <c r="L87" s="42">
        <f t="shared" si="7"/>
        <v>101.57878025317517</v>
      </c>
      <c r="M87" s="79">
        <f t="shared" si="184"/>
        <v>97.548112740002438</v>
      </c>
      <c r="O87" s="52" t="str">
        <f t="shared" si="185"/>
        <v>Andesite</v>
      </c>
      <c r="P87" s="117">
        <v>64.530000000000015</v>
      </c>
      <c r="Q87" s="60"/>
      <c r="R87" s="117">
        <v>0.57000000000000006</v>
      </c>
      <c r="S87" s="60"/>
      <c r="T87" s="117">
        <v>17.580000000000002</v>
      </c>
      <c r="U87" s="60"/>
      <c r="V87" s="117">
        <v>0</v>
      </c>
      <c r="W87" s="117">
        <v>0</v>
      </c>
      <c r="X87" s="117">
        <v>0</v>
      </c>
      <c r="Y87" s="117">
        <v>3.3300000000000005</v>
      </c>
      <c r="Z87" s="117">
        <v>9.3900000000000023</v>
      </c>
      <c r="AA87" s="60"/>
      <c r="AB87" s="60"/>
      <c r="AC87" s="60"/>
      <c r="AD87" s="60"/>
      <c r="AE87" s="117">
        <v>3.640000000000001</v>
      </c>
      <c r="AF87" s="117">
        <v>0.96000000000000008</v>
      </c>
      <c r="AG87" s="60"/>
      <c r="AH87" s="60"/>
      <c r="AI87" s="117">
        <v>0</v>
      </c>
      <c r="AJ87" s="60"/>
      <c r="AK87" s="60"/>
      <c r="AL87" s="60"/>
      <c r="AM87" s="86">
        <f t="shared" si="108"/>
        <v>100</v>
      </c>
      <c r="AO87" s="71">
        <f t="shared" si="178"/>
        <v>1.572591235445552</v>
      </c>
      <c r="AQ87" s="97" t="str">
        <f t="shared" si="187"/>
        <v>Andesite</v>
      </c>
      <c r="AR87" s="73">
        <f t="shared" si="188"/>
        <v>68.299243010199845</v>
      </c>
      <c r="AS87" s="73">
        <f t="shared" si="189"/>
        <v>0</v>
      </c>
      <c r="AT87" s="73">
        <f t="shared" si="190"/>
        <v>0.45364092307971726</v>
      </c>
      <c r="AU87" s="73">
        <f t="shared" si="191"/>
        <v>0</v>
      </c>
      <c r="AV87" s="73">
        <f t="shared" si="192"/>
        <v>10.964105178441844</v>
      </c>
      <c r="AW87" s="73">
        <f t="shared" si="193"/>
        <v>0</v>
      </c>
      <c r="AX87" s="73">
        <f t="shared" si="194"/>
        <v>0</v>
      </c>
      <c r="AY87" s="73">
        <f t="shared" si="195"/>
        <v>0</v>
      </c>
      <c r="AZ87" s="73">
        <f t="shared" si="196"/>
        <v>0</v>
      </c>
      <c r="BA87" s="73">
        <f t="shared" si="197"/>
        <v>5.2530989864101967</v>
      </c>
      <c r="BB87" s="73">
        <f t="shared" si="198"/>
        <v>10.647355050138644</v>
      </c>
      <c r="BC87" s="73">
        <f t="shared" si="199"/>
        <v>0</v>
      </c>
      <c r="BD87" s="73">
        <f t="shared" si="200"/>
        <v>0</v>
      </c>
      <c r="BE87" s="73">
        <f t="shared" si="201"/>
        <v>0</v>
      </c>
      <c r="BF87" s="73">
        <f t="shared" si="202"/>
        <v>0</v>
      </c>
      <c r="BG87" s="73">
        <f t="shared" si="203"/>
        <v>3.7345128735588928</v>
      </c>
      <c r="BH87" s="73">
        <f t="shared" si="204"/>
        <v>0.64804397817086901</v>
      </c>
      <c r="BI87" s="73">
        <f t="shared" si="205"/>
        <v>0</v>
      </c>
      <c r="BJ87" s="73">
        <f t="shared" si="206"/>
        <v>0</v>
      </c>
      <c r="BK87" s="73">
        <f t="shared" si="207"/>
        <v>0</v>
      </c>
      <c r="BL87" s="73">
        <f t="shared" si="208"/>
        <v>0</v>
      </c>
      <c r="BM87" s="73">
        <f t="shared" si="209"/>
        <v>0</v>
      </c>
      <c r="BN87" s="73">
        <f t="shared" si="210"/>
        <v>0</v>
      </c>
      <c r="BQ87">
        <f t="shared" si="84"/>
        <v>41.034185200528071</v>
      </c>
      <c r="BR87">
        <f t="shared" si="33"/>
        <v>0</v>
      </c>
      <c r="BS87">
        <f t="shared" si="34"/>
        <v>0.36245909754069416</v>
      </c>
      <c r="BT87">
        <f t="shared" si="35"/>
        <v>0</v>
      </c>
      <c r="BU87">
        <f t="shared" si="36"/>
        <v>11.179001639939305</v>
      </c>
      <c r="BV87">
        <f t="shared" si="37"/>
        <v>0</v>
      </c>
      <c r="BW87">
        <f t="shared" si="38"/>
        <v>0</v>
      </c>
      <c r="BX87">
        <f t="shared" si="39"/>
        <v>0</v>
      </c>
      <c r="BY87">
        <f t="shared" si="40"/>
        <v>0</v>
      </c>
      <c r="BZ87">
        <f t="shared" si="41"/>
        <v>2.1175242014219502</v>
      </c>
      <c r="CA87">
        <f t="shared" si="42"/>
        <v>5.9710367121177521</v>
      </c>
      <c r="CB87">
        <f t="shared" si="43"/>
        <v>0</v>
      </c>
      <c r="CC87">
        <f t="shared" si="44"/>
        <v>0</v>
      </c>
      <c r="CD87">
        <f t="shared" si="45"/>
        <v>0</v>
      </c>
      <c r="CE87">
        <f t="shared" si="46"/>
        <v>0</v>
      </c>
      <c r="CF87">
        <f t="shared" si="47"/>
        <v>2.3146510790318016</v>
      </c>
      <c r="CG87">
        <f t="shared" si="48"/>
        <v>0.61045742743695863</v>
      </c>
      <c r="CH87">
        <f t="shared" si="49"/>
        <v>0</v>
      </c>
      <c r="CI87">
        <f t="shared" si="50"/>
        <v>0</v>
      </c>
      <c r="CJ87">
        <f t="shared" si="51"/>
        <v>0</v>
      </c>
      <c r="CK87">
        <f t="shared" si="52"/>
        <v>0</v>
      </c>
      <c r="CL87">
        <f t="shared" si="53"/>
        <v>0</v>
      </c>
      <c r="CN87">
        <f t="shared" si="78"/>
        <v>63.589315358016528</v>
      </c>
      <c r="CP87">
        <f t="shared" si="54"/>
        <v>2.0489772903059955</v>
      </c>
      <c r="CQ87">
        <f t="shared" si="55"/>
        <v>0</v>
      </c>
      <c r="CR87">
        <f t="shared" si="56"/>
        <v>1.3609227692391519E-2</v>
      </c>
      <c r="CS87">
        <f t="shared" si="57"/>
        <v>0</v>
      </c>
      <c r="CT87">
        <f t="shared" si="58"/>
        <v>0.54820525892209226</v>
      </c>
      <c r="CU87">
        <f t="shared" si="59"/>
        <v>0</v>
      </c>
      <c r="CV87">
        <f t="shared" si="60"/>
        <v>0</v>
      </c>
      <c r="CW87">
        <f t="shared" si="61"/>
        <v>0</v>
      </c>
      <c r="CX87">
        <f t="shared" si="62"/>
        <v>0</v>
      </c>
      <c r="CY87">
        <f t="shared" si="63"/>
        <v>0.10506197972820393</v>
      </c>
      <c r="CZ87">
        <f t="shared" si="64"/>
        <v>0.21294710100277289</v>
      </c>
      <c r="DA87">
        <f t="shared" si="65"/>
        <v>0</v>
      </c>
      <c r="DB87">
        <f t="shared" si="66"/>
        <v>0</v>
      </c>
      <c r="DC87">
        <f t="shared" si="67"/>
        <v>0</v>
      </c>
      <c r="DD87">
        <f t="shared" si="68"/>
        <v>0</v>
      </c>
      <c r="DE87">
        <f t="shared" si="69"/>
        <v>0.11203538620676678</v>
      </c>
      <c r="DF87">
        <f t="shared" si="70"/>
        <v>1.9441319345126072E-2</v>
      </c>
      <c r="DG87">
        <f t="shared" si="71"/>
        <v>0</v>
      </c>
      <c r="DH87">
        <f t="shared" si="72"/>
        <v>0</v>
      </c>
      <c r="DI87">
        <f t="shared" si="73"/>
        <v>0</v>
      </c>
      <c r="DJ87">
        <f t="shared" si="74"/>
        <v>0</v>
      </c>
      <c r="DK87">
        <f t="shared" si="75"/>
        <v>0</v>
      </c>
      <c r="DM87">
        <f t="shared" si="76"/>
        <v>3.0602775632033485</v>
      </c>
    </row>
    <row r="88" spans="1:117">
      <c r="A88" s="117" t="s">
        <v>317</v>
      </c>
      <c r="B88" s="117" t="s">
        <v>318</v>
      </c>
      <c r="C88" s="117">
        <v>2.5169999999999999</v>
      </c>
      <c r="F88" s="117">
        <v>6181</v>
      </c>
      <c r="G88" s="117">
        <v>3642</v>
      </c>
      <c r="H88" s="43">
        <f t="shared" si="181"/>
        <v>2.3836907654469835E+22</v>
      </c>
      <c r="I88" s="43">
        <f t="shared" si="182"/>
        <v>7.2947553671124179E+22</v>
      </c>
      <c r="J88" s="42">
        <f t="shared" si="183"/>
        <v>96.161383436999998</v>
      </c>
      <c r="K88" s="42">
        <f t="shared" ref="K88:K151" si="211">(C88*G88^2)/1000000</f>
        <v>33.385900788000001</v>
      </c>
      <c r="L88" s="42">
        <f t="shared" ref="L88:L151" si="212">3*K88 + 2*(0.0001 - H88*$G$2*$J$2)/100</f>
        <v>98.215990603742071</v>
      </c>
      <c r="M88" s="79">
        <f t="shared" si="184"/>
        <v>94.215521309319456</v>
      </c>
      <c r="O88" s="52" t="str">
        <f t="shared" si="185"/>
        <v>Andesite</v>
      </c>
      <c r="P88" s="117">
        <v>63.891089108910904</v>
      </c>
      <c r="Q88" s="60"/>
      <c r="R88" s="117">
        <v>0.56435643564356441</v>
      </c>
      <c r="S88" s="60"/>
      <c r="T88" s="117">
        <v>17.405940594059409</v>
      </c>
      <c r="U88" s="60"/>
      <c r="V88" s="117">
        <v>0</v>
      </c>
      <c r="W88" s="117">
        <v>0</v>
      </c>
      <c r="X88" s="117">
        <v>0</v>
      </c>
      <c r="Y88" s="117">
        <v>3.2970297029702977</v>
      </c>
      <c r="Z88" s="117">
        <v>9.2970297029702991</v>
      </c>
      <c r="AA88" s="60"/>
      <c r="AB88" s="60"/>
      <c r="AC88" s="60"/>
      <c r="AD88" s="60"/>
      <c r="AE88" s="117">
        <v>3.6039603960396045</v>
      </c>
      <c r="AF88" s="117">
        <v>0.95049504950495067</v>
      </c>
      <c r="AG88" s="60"/>
      <c r="AH88" s="60"/>
      <c r="AI88" s="117">
        <v>0</v>
      </c>
      <c r="AJ88" s="60"/>
      <c r="AK88" s="60"/>
      <c r="AL88" s="60"/>
      <c r="AM88" s="86">
        <f t="shared" ref="AM88:AM151" si="213">SUM(P88:AI88)</f>
        <v>99.009900990099027</v>
      </c>
      <c r="AO88" s="71">
        <f t="shared" si="178"/>
        <v>1.5570210251936161</v>
      </c>
      <c r="AQ88" s="97" t="str">
        <f t="shared" si="187"/>
        <v>Andesite</v>
      </c>
      <c r="AR88" s="73">
        <f t="shared" si="188"/>
        <v>68.299243010199831</v>
      </c>
      <c r="AS88" s="73">
        <f t="shared" si="189"/>
        <v>0</v>
      </c>
      <c r="AT88" s="73">
        <f t="shared" si="190"/>
        <v>0.45364092307971721</v>
      </c>
      <c r="AU88" s="73">
        <f t="shared" si="191"/>
        <v>0</v>
      </c>
      <c r="AV88" s="73">
        <f t="shared" si="192"/>
        <v>10.964105178441844</v>
      </c>
      <c r="AW88" s="73">
        <f t="shared" si="193"/>
        <v>0</v>
      </c>
      <c r="AX88" s="73">
        <f t="shared" si="194"/>
        <v>0</v>
      </c>
      <c r="AY88" s="73">
        <f t="shared" si="195"/>
        <v>0</v>
      </c>
      <c r="AZ88" s="73">
        <f t="shared" si="196"/>
        <v>0</v>
      </c>
      <c r="BA88" s="73">
        <f t="shared" si="197"/>
        <v>5.2530989864101958</v>
      </c>
      <c r="BB88" s="73">
        <f t="shared" si="198"/>
        <v>10.647355050138643</v>
      </c>
      <c r="BC88" s="73">
        <f t="shared" si="199"/>
        <v>0</v>
      </c>
      <c r="BD88" s="73">
        <f t="shared" si="200"/>
        <v>0</v>
      </c>
      <c r="BE88" s="73">
        <f t="shared" si="201"/>
        <v>0</v>
      </c>
      <c r="BF88" s="73">
        <f t="shared" si="202"/>
        <v>0</v>
      </c>
      <c r="BG88" s="73">
        <f t="shared" si="203"/>
        <v>3.7345128735588919</v>
      </c>
      <c r="BH88" s="73">
        <f t="shared" si="204"/>
        <v>0.6480439781708689</v>
      </c>
      <c r="BI88" s="73">
        <f t="shared" si="205"/>
        <v>0</v>
      </c>
      <c r="BJ88" s="73">
        <f t="shared" si="206"/>
        <v>0</v>
      </c>
      <c r="BK88" s="73">
        <f t="shared" si="207"/>
        <v>0</v>
      </c>
      <c r="BL88" s="73">
        <f t="shared" si="208"/>
        <v>0</v>
      </c>
      <c r="BM88" s="73">
        <f t="shared" si="209"/>
        <v>0</v>
      </c>
      <c r="BN88" s="73">
        <f t="shared" si="210"/>
        <v>0</v>
      </c>
      <c r="BQ88">
        <f t="shared" si="84"/>
        <v>41.034185200528057</v>
      </c>
      <c r="BR88">
        <f t="shared" si="33"/>
        <v>0</v>
      </c>
      <c r="BS88">
        <f t="shared" si="34"/>
        <v>0.36245909754069405</v>
      </c>
      <c r="BT88">
        <f t="shared" si="35"/>
        <v>0</v>
      </c>
      <c r="BU88">
        <f t="shared" si="36"/>
        <v>11.179001639939305</v>
      </c>
      <c r="BV88">
        <f t="shared" si="37"/>
        <v>0</v>
      </c>
      <c r="BW88">
        <f t="shared" si="38"/>
        <v>0</v>
      </c>
      <c r="BX88">
        <f t="shared" si="39"/>
        <v>0</v>
      </c>
      <c r="BY88">
        <f t="shared" si="40"/>
        <v>0</v>
      </c>
      <c r="BZ88">
        <f t="shared" si="41"/>
        <v>2.1175242014219502</v>
      </c>
      <c r="CA88">
        <f t="shared" si="42"/>
        <v>5.9710367121177512</v>
      </c>
      <c r="CB88">
        <f t="shared" si="43"/>
        <v>0</v>
      </c>
      <c r="CC88">
        <f t="shared" si="44"/>
        <v>0</v>
      </c>
      <c r="CD88">
        <f t="shared" si="45"/>
        <v>0</v>
      </c>
      <c r="CE88">
        <f t="shared" si="46"/>
        <v>0</v>
      </c>
      <c r="CF88">
        <f t="shared" si="47"/>
        <v>2.3146510790318011</v>
      </c>
      <c r="CG88">
        <f t="shared" si="48"/>
        <v>0.61045742743695852</v>
      </c>
      <c r="CH88">
        <f t="shared" si="49"/>
        <v>0</v>
      </c>
      <c r="CI88">
        <f t="shared" si="50"/>
        <v>0</v>
      </c>
      <c r="CJ88">
        <f t="shared" si="51"/>
        <v>0</v>
      </c>
      <c r="CK88">
        <f t="shared" si="52"/>
        <v>0</v>
      </c>
      <c r="CL88">
        <f t="shared" si="53"/>
        <v>0</v>
      </c>
      <c r="CN88">
        <f t="shared" si="78"/>
        <v>63.589315358016506</v>
      </c>
      <c r="CP88">
        <f t="shared" si="54"/>
        <v>2.0489772903059951</v>
      </c>
      <c r="CQ88">
        <f t="shared" si="55"/>
        <v>0</v>
      </c>
      <c r="CR88">
        <f t="shared" si="56"/>
        <v>1.3609227692391517E-2</v>
      </c>
      <c r="CS88">
        <f t="shared" si="57"/>
        <v>0</v>
      </c>
      <c r="CT88">
        <f t="shared" si="58"/>
        <v>0.54820525892209226</v>
      </c>
      <c r="CU88">
        <f t="shared" si="59"/>
        <v>0</v>
      </c>
      <c r="CV88">
        <f t="shared" si="60"/>
        <v>0</v>
      </c>
      <c r="CW88">
        <f t="shared" si="61"/>
        <v>0</v>
      </c>
      <c r="CX88">
        <f t="shared" si="62"/>
        <v>0</v>
      </c>
      <c r="CY88">
        <f t="shared" si="63"/>
        <v>0.10506197972820391</v>
      </c>
      <c r="CZ88">
        <f t="shared" si="64"/>
        <v>0.21294710100277287</v>
      </c>
      <c r="DA88">
        <f t="shared" si="65"/>
        <v>0</v>
      </c>
      <c r="DB88">
        <f t="shared" si="66"/>
        <v>0</v>
      </c>
      <c r="DC88">
        <f t="shared" si="67"/>
        <v>0</v>
      </c>
      <c r="DD88">
        <f t="shared" si="68"/>
        <v>0</v>
      </c>
      <c r="DE88">
        <f t="shared" si="69"/>
        <v>0.11203538620676676</v>
      </c>
      <c r="DF88">
        <f t="shared" si="70"/>
        <v>1.9441319345126069E-2</v>
      </c>
      <c r="DG88">
        <f t="shared" si="71"/>
        <v>0</v>
      </c>
      <c r="DH88">
        <f t="shared" si="72"/>
        <v>0</v>
      </c>
      <c r="DI88">
        <f t="shared" si="73"/>
        <v>0</v>
      </c>
      <c r="DJ88">
        <f t="shared" si="74"/>
        <v>0</v>
      </c>
      <c r="DK88">
        <f t="shared" si="75"/>
        <v>0</v>
      </c>
      <c r="DM88">
        <f t="shared" si="76"/>
        <v>3.0602775632033485</v>
      </c>
    </row>
    <row r="89" spans="1:117">
      <c r="A89" s="117" t="s">
        <v>317</v>
      </c>
      <c r="B89" s="117" t="s">
        <v>318</v>
      </c>
      <c r="C89" s="117">
        <v>2.4889999999999999</v>
      </c>
      <c r="F89" s="117">
        <v>6132</v>
      </c>
      <c r="G89" s="117">
        <v>3613</v>
      </c>
      <c r="H89" s="43">
        <f t="shared" si="181"/>
        <v>2.3571737446156293E+22</v>
      </c>
      <c r="I89" s="43">
        <f t="shared" si="182"/>
        <v>7.2136059232192326E+22</v>
      </c>
      <c r="J89" s="42">
        <f t="shared" si="183"/>
        <v>93.589944336000002</v>
      </c>
      <c r="K89" s="42">
        <f t="shared" si="211"/>
        <v>32.490831041</v>
      </c>
      <c r="L89" s="42">
        <f t="shared" si="212"/>
        <v>95.5523816747354</v>
      </c>
      <c r="M89" s="79">
        <f t="shared" si="184"/>
        <v>91.596415018470836</v>
      </c>
      <c r="O89" s="52" t="str">
        <f t="shared" si="185"/>
        <v>Andesite</v>
      </c>
      <c r="P89" s="117">
        <v>63.258504068228618</v>
      </c>
      <c r="Q89" s="60"/>
      <c r="R89" s="117">
        <v>0.55876874816194488</v>
      </c>
      <c r="S89" s="60"/>
      <c r="T89" s="117">
        <v>17.23360454857367</v>
      </c>
      <c r="U89" s="60"/>
      <c r="V89" s="117">
        <v>0</v>
      </c>
      <c r="W89" s="117">
        <v>0</v>
      </c>
      <c r="X89" s="117">
        <v>0</v>
      </c>
      <c r="Y89" s="117">
        <v>3.2643858445250467</v>
      </c>
      <c r="Z89" s="117">
        <v>9.2049799039309885</v>
      </c>
      <c r="AA89" s="60"/>
      <c r="AB89" s="60"/>
      <c r="AC89" s="60"/>
      <c r="AD89" s="60"/>
      <c r="AE89" s="117">
        <v>3.5682776198411927</v>
      </c>
      <c r="AF89" s="117">
        <v>0.94108420743064403</v>
      </c>
      <c r="AG89" s="60"/>
      <c r="AH89" s="60"/>
      <c r="AI89" s="117">
        <v>0</v>
      </c>
      <c r="AJ89" s="60"/>
      <c r="AK89" s="60"/>
      <c r="AL89" s="60"/>
      <c r="AM89" s="86">
        <f t="shared" si="213"/>
        <v>98.029604940692124</v>
      </c>
      <c r="AO89" s="71">
        <f t="shared" si="178"/>
        <v>1.5416049754392234</v>
      </c>
      <c r="AQ89" s="97" t="str">
        <f t="shared" si="187"/>
        <v>Andesite</v>
      </c>
      <c r="AR89" s="73">
        <f t="shared" si="188"/>
        <v>68.299243010199859</v>
      </c>
      <c r="AS89" s="73">
        <f t="shared" si="189"/>
        <v>0</v>
      </c>
      <c r="AT89" s="73">
        <f t="shared" si="190"/>
        <v>0.45364092307971726</v>
      </c>
      <c r="AU89" s="73">
        <f t="shared" si="191"/>
        <v>0</v>
      </c>
      <c r="AV89" s="73">
        <f t="shared" si="192"/>
        <v>10.964105178441844</v>
      </c>
      <c r="AW89" s="73">
        <f t="shared" si="193"/>
        <v>0</v>
      </c>
      <c r="AX89" s="73">
        <f t="shared" si="194"/>
        <v>0</v>
      </c>
      <c r="AY89" s="73">
        <f t="shared" si="195"/>
        <v>0</v>
      </c>
      <c r="AZ89" s="73">
        <f t="shared" si="196"/>
        <v>0</v>
      </c>
      <c r="BA89" s="73">
        <f t="shared" si="197"/>
        <v>5.2530989864101967</v>
      </c>
      <c r="BB89" s="73">
        <f t="shared" si="198"/>
        <v>10.647355050138644</v>
      </c>
      <c r="BC89" s="73">
        <f t="shared" si="199"/>
        <v>0</v>
      </c>
      <c r="BD89" s="73">
        <f t="shared" si="200"/>
        <v>0</v>
      </c>
      <c r="BE89" s="73">
        <f t="shared" si="201"/>
        <v>0</v>
      </c>
      <c r="BF89" s="73">
        <f t="shared" si="202"/>
        <v>0</v>
      </c>
      <c r="BG89" s="73">
        <f t="shared" si="203"/>
        <v>3.7345128735588928</v>
      </c>
      <c r="BH89" s="73">
        <f t="shared" si="204"/>
        <v>0.6480439781708689</v>
      </c>
      <c r="BI89" s="73">
        <f t="shared" si="205"/>
        <v>0</v>
      </c>
      <c r="BJ89" s="73">
        <f t="shared" si="206"/>
        <v>0</v>
      </c>
      <c r="BK89" s="73">
        <f t="shared" si="207"/>
        <v>0</v>
      </c>
      <c r="BL89" s="73">
        <f t="shared" si="208"/>
        <v>0</v>
      </c>
      <c r="BM89" s="73">
        <f t="shared" si="209"/>
        <v>0</v>
      </c>
      <c r="BN89" s="73">
        <f t="shared" si="210"/>
        <v>0</v>
      </c>
      <c r="BQ89">
        <f t="shared" si="84"/>
        <v>41.034185200528078</v>
      </c>
      <c r="BR89">
        <f t="shared" si="33"/>
        <v>0</v>
      </c>
      <c r="BS89">
        <f t="shared" si="34"/>
        <v>0.36245909754069416</v>
      </c>
      <c r="BT89">
        <f t="shared" si="35"/>
        <v>0</v>
      </c>
      <c r="BU89">
        <f t="shared" si="36"/>
        <v>11.179001639939305</v>
      </c>
      <c r="BV89">
        <f t="shared" si="37"/>
        <v>0</v>
      </c>
      <c r="BW89">
        <f t="shared" si="38"/>
        <v>0</v>
      </c>
      <c r="BX89">
        <f t="shared" si="39"/>
        <v>0</v>
      </c>
      <c r="BY89">
        <f t="shared" si="40"/>
        <v>0</v>
      </c>
      <c r="BZ89">
        <f t="shared" si="41"/>
        <v>2.1175242014219502</v>
      </c>
      <c r="CA89">
        <f t="shared" si="42"/>
        <v>5.9710367121177521</v>
      </c>
      <c r="CB89">
        <f t="shared" si="43"/>
        <v>0</v>
      </c>
      <c r="CC89">
        <f t="shared" si="44"/>
        <v>0</v>
      </c>
      <c r="CD89">
        <f t="shared" si="45"/>
        <v>0</v>
      </c>
      <c r="CE89">
        <f t="shared" si="46"/>
        <v>0</v>
      </c>
      <c r="CF89">
        <f t="shared" si="47"/>
        <v>2.3146510790318016</v>
      </c>
      <c r="CG89">
        <f t="shared" si="48"/>
        <v>0.61045742743695852</v>
      </c>
      <c r="CH89">
        <f t="shared" si="49"/>
        <v>0</v>
      </c>
      <c r="CI89">
        <f t="shared" si="50"/>
        <v>0</v>
      </c>
      <c r="CJ89">
        <f t="shared" si="51"/>
        <v>0</v>
      </c>
      <c r="CK89">
        <f t="shared" si="52"/>
        <v>0</v>
      </c>
      <c r="CL89">
        <f t="shared" si="53"/>
        <v>0</v>
      </c>
      <c r="CN89">
        <f t="shared" si="78"/>
        <v>63.589315358016542</v>
      </c>
      <c r="CP89">
        <f t="shared" si="54"/>
        <v>2.048977290305996</v>
      </c>
      <c r="CQ89">
        <f t="shared" si="55"/>
        <v>0</v>
      </c>
      <c r="CR89">
        <f t="shared" si="56"/>
        <v>1.3609227692391519E-2</v>
      </c>
      <c r="CS89">
        <f t="shared" si="57"/>
        <v>0</v>
      </c>
      <c r="CT89">
        <f t="shared" si="58"/>
        <v>0.54820525892209226</v>
      </c>
      <c r="CU89">
        <f t="shared" si="59"/>
        <v>0</v>
      </c>
      <c r="CV89">
        <f t="shared" si="60"/>
        <v>0</v>
      </c>
      <c r="CW89">
        <f t="shared" si="61"/>
        <v>0</v>
      </c>
      <c r="CX89">
        <f t="shared" si="62"/>
        <v>0</v>
      </c>
      <c r="CY89">
        <f t="shared" si="63"/>
        <v>0.10506197972820393</v>
      </c>
      <c r="CZ89">
        <f t="shared" si="64"/>
        <v>0.21294710100277289</v>
      </c>
      <c r="DA89">
        <f t="shared" si="65"/>
        <v>0</v>
      </c>
      <c r="DB89">
        <f t="shared" si="66"/>
        <v>0</v>
      </c>
      <c r="DC89">
        <f t="shared" si="67"/>
        <v>0</v>
      </c>
      <c r="DD89">
        <f t="shared" si="68"/>
        <v>0</v>
      </c>
      <c r="DE89">
        <f t="shared" si="69"/>
        <v>0.11203538620676678</v>
      </c>
      <c r="DF89">
        <f t="shared" si="70"/>
        <v>1.9441319345126069E-2</v>
      </c>
      <c r="DG89">
        <f t="shared" si="71"/>
        <v>0</v>
      </c>
      <c r="DH89">
        <f t="shared" si="72"/>
        <v>0</v>
      </c>
      <c r="DI89">
        <f t="shared" si="73"/>
        <v>0</v>
      </c>
      <c r="DJ89">
        <f t="shared" si="74"/>
        <v>0</v>
      </c>
      <c r="DK89">
        <f t="shared" si="75"/>
        <v>0</v>
      </c>
      <c r="DM89">
        <f t="shared" si="76"/>
        <v>3.0602775632033494</v>
      </c>
    </row>
    <row r="90" spans="1:117">
      <c r="A90" s="117" t="s">
        <v>317</v>
      </c>
      <c r="B90" s="117" t="s">
        <v>318</v>
      </c>
      <c r="C90" s="117">
        <v>2.4660000000000002</v>
      </c>
      <c r="F90" s="117">
        <v>6084</v>
      </c>
      <c r="G90" s="117">
        <v>3598</v>
      </c>
      <c r="H90" s="43">
        <f t="shared" si="181"/>
        <v>2.3353919060755909E+22</v>
      </c>
      <c r="I90" s="43">
        <f t="shared" si="182"/>
        <v>7.1469474514498308E+22</v>
      </c>
      <c r="J90" s="42">
        <f t="shared" si="183"/>
        <v>91.279128095999994</v>
      </c>
      <c r="K90" s="42">
        <f t="shared" si="211"/>
        <v>31.923859464000003</v>
      </c>
      <c r="L90" s="42">
        <f t="shared" si="212"/>
        <v>93.869210057158512</v>
      </c>
      <c r="M90" s="79">
        <f t="shared" si="184"/>
        <v>89.949799139380929</v>
      </c>
      <c r="O90" s="52" t="str">
        <f t="shared" si="185"/>
        <v>Andesite</v>
      </c>
      <c r="P90" s="117">
        <v>62.644403455975151</v>
      </c>
      <c r="Q90" s="60"/>
      <c r="R90" s="117">
        <v>0.5533443355014076</v>
      </c>
      <c r="S90" s="60"/>
      <c r="T90" s="117">
        <v>17.066304242306572</v>
      </c>
      <c r="U90" s="60"/>
      <c r="V90" s="117">
        <v>0</v>
      </c>
      <c r="W90" s="117">
        <v>0</v>
      </c>
      <c r="X90" s="117">
        <v>0</v>
      </c>
      <c r="Y90" s="117">
        <v>3.2326958547713813</v>
      </c>
      <c r="Z90" s="117">
        <v>9.1156198427337163</v>
      </c>
      <c r="AA90" s="60"/>
      <c r="AB90" s="60"/>
      <c r="AC90" s="60"/>
      <c r="AD90" s="60"/>
      <c r="AE90" s="117">
        <v>3.5336375109212703</v>
      </c>
      <c r="AF90" s="117">
        <v>0.93194835452868663</v>
      </c>
      <c r="AG90" s="60"/>
      <c r="AH90" s="60"/>
      <c r="AI90" s="117">
        <v>0</v>
      </c>
      <c r="AJ90" s="60"/>
      <c r="AK90" s="60"/>
      <c r="AL90" s="60"/>
      <c r="AM90" s="86">
        <f t="shared" si="213"/>
        <v>97.077953596738183</v>
      </c>
      <c r="AO90" s="71">
        <f t="shared" si="178"/>
        <v>1.5266393898122046</v>
      </c>
      <c r="AQ90" s="97" t="str">
        <f t="shared" si="187"/>
        <v>Andesite</v>
      </c>
      <c r="AR90" s="73">
        <f t="shared" si="188"/>
        <v>68.299243010199831</v>
      </c>
      <c r="AS90" s="73">
        <f t="shared" si="189"/>
        <v>0</v>
      </c>
      <c r="AT90" s="73">
        <f t="shared" si="190"/>
        <v>0.45364092307971726</v>
      </c>
      <c r="AU90" s="73">
        <f t="shared" si="191"/>
        <v>0</v>
      </c>
      <c r="AV90" s="73">
        <f t="shared" si="192"/>
        <v>10.964105178441843</v>
      </c>
      <c r="AW90" s="73">
        <f t="shared" si="193"/>
        <v>0</v>
      </c>
      <c r="AX90" s="73">
        <f t="shared" si="194"/>
        <v>0</v>
      </c>
      <c r="AY90" s="73">
        <f t="shared" si="195"/>
        <v>0</v>
      </c>
      <c r="AZ90" s="73">
        <f t="shared" si="196"/>
        <v>0</v>
      </c>
      <c r="BA90" s="73">
        <f t="shared" si="197"/>
        <v>5.2530989864101958</v>
      </c>
      <c r="BB90" s="73">
        <f t="shared" si="198"/>
        <v>10.647355050138643</v>
      </c>
      <c r="BC90" s="73">
        <f t="shared" si="199"/>
        <v>0</v>
      </c>
      <c r="BD90" s="73">
        <f t="shared" si="200"/>
        <v>0</v>
      </c>
      <c r="BE90" s="73">
        <f t="shared" si="201"/>
        <v>0</v>
      </c>
      <c r="BF90" s="73">
        <f t="shared" si="202"/>
        <v>0</v>
      </c>
      <c r="BG90" s="73">
        <f t="shared" si="203"/>
        <v>3.7345128735588924</v>
      </c>
      <c r="BH90" s="73">
        <f t="shared" si="204"/>
        <v>0.64804397817086901</v>
      </c>
      <c r="BI90" s="73">
        <f t="shared" si="205"/>
        <v>0</v>
      </c>
      <c r="BJ90" s="73">
        <f t="shared" si="206"/>
        <v>0</v>
      </c>
      <c r="BK90" s="73">
        <f t="shared" si="207"/>
        <v>0</v>
      </c>
      <c r="BL90" s="73">
        <f t="shared" si="208"/>
        <v>0</v>
      </c>
      <c r="BM90" s="73">
        <f t="shared" si="209"/>
        <v>0</v>
      </c>
      <c r="BN90" s="73">
        <f t="shared" si="210"/>
        <v>0</v>
      </c>
      <c r="BQ90">
        <f t="shared" ref="BQ90:BQ100" si="214">(AR90/100)*$AR$3</f>
        <v>41.034185200528057</v>
      </c>
      <c r="BR90">
        <f t="shared" ref="BR90:BR100" si="215">(AS90/100)*$AS$3</f>
        <v>0</v>
      </c>
      <c r="BS90">
        <f t="shared" ref="BS90:BS100" si="216">(AT90/100)*$AT$3</f>
        <v>0.36245909754069416</v>
      </c>
      <c r="BT90">
        <f t="shared" ref="BT90:BT100" si="217">(AU90/100)*$AU$3</f>
        <v>0</v>
      </c>
      <c r="BU90">
        <f t="shared" ref="BU90:BU100" si="218">(AV90/100)*$AV$3</f>
        <v>11.179001639939301</v>
      </c>
      <c r="BV90">
        <f t="shared" ref="BV90:BV100" si="219">(AW90/100)*$AW$3</f>
        <v>0</v>
      </c>
      <c r="BW90">
        <f t="shared" ref="BW90:BW100" si="220">(AX90/100)*$AX$3</f>
        <v>0</v>
      </c>
      <c r="BX90">
        <f t="shared" ref="BX90:BX100" si="221">(AY90/100)*$AY$3</f>
        <v>0</v>
      </c>
      <c r="BY90">
        <f t="shared" ref="BY90:BY100" si="222">(AZ90/100)*$AZ$3</f>
        <v>0</v>
      </c>
      <c r="BZ90">
        <f t="shared" ref="BZ90:BZ100" si="223">(BA90/100)*$BA$3</f>
        <v>2.1175242014219502</v>
      </c>
      <c r="CA90">
        <f t="shared" ref="CA90:CA100" si="224">(BB90/100)*$BB$3</f>
        <v>5.9710367121177512</v>
      </c>
      <c r="CB90">
        <f t="shared" ref="CB90:CB100" si="225">(BC90/100)*$BC$3</f>
        <v>0</v>
      </c>
      <c r="CC90">
        <f t="shared" ref="CC90:CC100" si="226">(BD90/100)*$BD$3</f>
        <v>0</v>
      </c>
      <c r="CD90">
        <f t="shared" ref="CD90:CD100" si="227">(BE90/100)*$BE$3</f>
        <v>0</v>
      </c>
      <c r="CE90">
        <f t="shared" ref="CE90:CE100" si="228">(BF90/100)*$BF$3</f>
        <v>0</v>
      </c>
      <c r="CF90">
        <f t="shared" ref="CF90:CF100" si="229">(BG90/100)*$BG$3</f>
        <v>2.3146510790318011</v>
      </c>
      <c r="CG90">
        <f t="shared" ref="CG90:CG100" si="230">(BH90/100)*$BH$3</f>
        <v>0.61045742743695863</v>
      </c>
      <c r="CH90">
        <f t="shared" ref="CH90:CH100" si="231">(BI90/100)*$BI$3</f>
        <v>0</v>
      </c>
      <c r="CI90">
        <f t="shared" ref="CI90:CI100" si="232">(BJ90/100)*$BJ$3</f>
        <v>0</v>
      </c>
      <c r="CJ90">
        <f t="shared" ref="CJ90:CJ100" si="233">(BK90/100)*$BK$3</f>
        <v>0</v>
      </c>
      <c r="CK90">
        <f t="shared" ref="CK90:CK100" si="234">(BL90/100)*$BL$3</f>
        <v>0</v>
      </c>
      <c r="CL90">
        <f t="shared" ref="CL90:CL100" si="235">(BN90/100)*$BN$3</f>
        <v>0</v>
      </c>
      <c r="CN90">
        <f t="shared" ref="CN90:CN153" si="236">SUM(BQ90:CL90)</f>
        <v>63.589315358016506</v>
      </c>
      <c r="CP90">
        <f t="shared" ref="CP90:CP112" si="237">(AR90/100)*$BQ$3</f>
        <v>2.0489772903059951</v>
      </c>
      <c r="CQ90">
        <f t="shared" ref="CQ90:CQ113" si="238">(AS90/100)*$BR$3</f>
        <v>0</v>
      </c>
      <c r="CR90">
        <f t="shared" ref="CR90:CR113" si="239">(AT90/100)*$BS$3</f>
        <v>1.3609227692391519E-2</v>
      </c>
      <c r="CS90">
        <f t="shared" ref="CS90:CS113" si="240">(AU90/100)*$BT$3</f>
        <v>0</v>
      </c>
      <c r="CT90">
        <f t="shared" ref="CT90:CT113" si="241">(AV90/100)*$BU$3</f>
        <v>0.54820525892209215</v>
      </c>
      <c r="CU90">
        <f t="shared" ref="CU90:CU113" si="242">(AW90/100)*$BV$3</f>
        <v>0</v>
      </c>
      <c r="CV90">
        <f t="shared" ref="CV90:CV113" si="243">(AX90/100)*$BW$3</f>
        <v>0</v>
      </c>
      <c r="CW90">
        <f t="shared" ref="CW90:CW113" si="244">(AY90/100)*$BX$3</f>
        <v>0</v>
      </c>
      <c r="CX90">
        <f t="shared" ref="CX90:CX113" si="245">(AZ90/100)*$BY$3</f>
        <v>0</v>
      </c>
      <c r="CY90">
        <f t="shared" ref="CY90:CY113" si="246">(BA90/100)*$BZ$3</f>
        <v>0.10506197972820391</v>
      </c>
      <c r="CZ90">
        <f t="shared" ref="CZ90:CZ113" si="247">(BB90/100)*$CA$3</f>
        <v>0.21294710100277287</v>
      </c>
      <c r="DA90">
        <f t="shared" ref="DA90:DA113" si="248">(BC90/100)*$CB$3</f>
        <v>0</v>
      </c>
      <c r="DB90">
        <f t="shared" ref="DB90:DB113" si="249">(BD90/100)*$CC$3</f>
        <v>0</v>
      </c>
      <c r="DC90">
        <f t="shared" ref="DC90:DC113" si="250">(BE90/100)*$CD$3</f>
        <v>0</v>
      </c>
      <c r="DD90">
        <f t="shared" ref="DD90:DD113" si="251">(BF90/100)*$CE$3</f>
        <v>0</v>
      </c>
      <c r="DE90">
        <f t="shared" ref="DE90:DE113" si="252">(BG90/100)*$CF$3</f>
        <v>0.11203538620676676</v>
      </c>
      <c r="DF90">
        <f t="shared" ref="DF90:DF113" si="253">(BH90/100)*$CG$3</f>
        <v>1.9441319345126072E-2</v>
      </c>
      <c r="DG90">
        <f t="shared" ref="DG90:DG113" si="254">(BI90/100)*$CH$3</f>
        <v>0</v>
      </c>
      <c r="DH90">
        <f t="shared" ref="DH90:DH113" si="255">(BJ90/100)*$CI$3</f>
        <v>0</v>
      </c>
      <c r="DI90">
        <f t="shared" ref="DI90:DI113" si="256">(BK90/100)*$CJ$3</f>
        <v>0</v>
      </c>
      <c r="DJ90">
        <f t="shared" ref="DJ90:DJ113" si="257">(BL90/100)*$CK$3</f>
        <v>0</v>
      </c>
      <c r="DK90">
        <f t="shared" ref="DK90:DK113" si="258">(BN90/100)*$CL$3</f>
        <v>0</v>
      </c>
      <c r="DM90">
        <f t="shared" ref="DM90:DM112" si="259">SUM(CP90:DK90)</f>
        <v>3.0602775632033481</v>
      </c>
    </row>
    <row r="91" spans="1:117">
      <c r="A91" s="117" t="s">
        <v>317</v>
      </c>
      <c r="B91" s="117" t="s">
        <v>319</v>
      </c>
      <c r="C91" s="117">
        <v>2.806</v>
      </c>
      <c r="F91" s="117">
        <v>6416</v>
      </c>
      <c r="G91" s="117">
        <v>3594</v>
      </c>
      <c r="H91" s="43">
        <f t="shared" si="181"/>
        <v>2.7216973384090324E+22</v>
      </c>
      <c r="I91" s="43">
        <f t="shared" si="182"/>
        <v>7.7823603533904966E+22</v>
      </c>
      <c r="J91" s="42">
        <f t="shared" si="183"/>
        <v>115.50914713600001</v>
      </c>
      <c r="K91" s="42">
        <f t="shared" si="211"/>
        <v>36.244641815999998</v>
      </c>
      <c r="L91" s="42">
        <f t="shared" si="212"/>
        <v>106.51687930993951</v>
      </c>
      <c r="M91" s="79">
        <f t="shared" si="184"/>
        <v>102.39454970466653</v>
      </c>
      <c r="O91" s="52" t="str">
        <f t="shared" si="185"/>
        <v>Basalt</v>
      </c>
      <c r="P91" s="117">
        <v>47.73</v>
      </c>
      <c r="Q91" s="60"/>
      <c r="R91" s="117">
        <v>0.59</v>
      </c>
      <c r="S91" s="60"/>
      <c r="T91" s="117">
        <v>18.510000000000002</v>
      </c>
      <c r="U91" s="60"/>
      <c r="V91" s="117">
        <v>0</v>
      </c>
      <c r="W91" s="117">
        <v>8.2100000000000009</v>
      </c>
      <c r="X91" s="117">
        <v>0.15</v>
      </c>
      <c r="Y91" s="117">
        <v>10.51</v>
      </c>
      <c r="Z91" s="117">
        <v>12.01</v>
      </c>
      <c r="AA91" s="60"/>
      <c r="AB91" s="60"/>
      <c r="AC91" s="60"/>
      <c r="AD91" s="60"/>
      <c r="AE91" s="117">
        <v>2.16</v>
      </c>
      <c r="AF91" s="117">
        <v>7.0000000000000007E-2</v>
      </c>
      <c r="AG91" s="60"/>
      <c r="AH91" s="60"/>
      <c r="AI91" s="117">
        <v>0.06</v>
      </c>
      <c r="AJ91" s="60"/>
      <c r="AK91" s="60"/>
      <c r="AL91" s="60"/>
      <c r="AM91" s="86">
        <f t="shared" si="213"/>
        <v>100</v>
      </c>
      <c r="AO91" s="71">
        <f t="shared" si="178"/>
        <v>1.6106505095562025</v>
      </c>
      <c r="AQ91" s="97" t="str">
        <f t="shared" si="187"/>
        <v>Basalt</v>
      </c>
      <c r="AR91" s="73">
        <f t="shared" si="188"/>
        <v>49.324216579507144</v>
      </c>
      <c r="AS91" s="73">
        <f t="shared" si="189"/>
        <v>0</v>
      </c>
      <c r="AT91" s="73">
        <f t="shared" si="190"/>
        <v>0.45846260526713956</v>
      </c>
      <c r="AU91" s="73">
        <f t="shared" si="191"/>
        <v>0</v>
      </c>
      <c r="AV91" s="73">
        <f t="shared" si="192"/>
        <v>11.271332918812146</v>
      </c>
      <c r="AW91" s="73">
        <f t="shared" si="193"/>
        <v>0</v>
      </c>
      <c r="AX91" s="73">
        <f t="shared" si="194"/>
        <v>0</v>
      </c>
      <c r="AY91" s="73">
        <f t="shared" si="195"/>
        <v>7.0943901805912271</v>
      </c>
      <c r="AZ91" s="73">
        <f t="shared" si="196"/>
        <v>0.13128005820451438</v>
      </c>
      <c r="BA91" s="73">
        <f t="shared" si="197"/>
        <v>16.187828831239049</v>
      </c>
      <c r="BB91" s="73">
        <f t="shared" si="198"/>
        <v>13.296388257445233</v>
      </c>
      <c r="BC91" s="73">
        <f t="shared" si="199"/>
        <v>0</v>
      </c>
      <c r="BD91" s="73">
        <f t="shared" si="200"/>
        <v>0</v>
      </c>
      <c r="BE91" s="73">
        <f t="shared" si="201"/>
        <v>0</v>
      </c>
      <c r="BF91" s="73">
        <f t="shared" si="202"/>
        <v>0</v>
      </c>
      <c r="BG91" s="73">
        <f t="shared" si="203"/>
        <v>2.1637190309455763</v>
      </c>
      <c r="BH91" s="73">
        <f t="shared" si="204"/>
        <v>4.6136625126113065E-2</v>
      </c>
      <c r="BI91" s="73">
        <f t="shared" si="205"/>
        <v>0</v>
      </c>
      <c r="BJ91" s="73">
        <f t="shared" si="206"/>
        <v>0</v>
      </c>
      <c r="BK91" s="73">
        <f t="shared" si="207"/>
        <v>2.6244912861852192E-2</v>
      </c>
      <c r="BL91" s="73">
        <f t="shared" si="208"/>
        <v>0</v>
      </c>
      <c r="BM91" s="73">
        <f t="shared" si="209"/>
        <v>0</v>
      </c>
      <c r="BN91" s="73">
        <f t="shared" si="210"/>
        <v>0</v>
      </c>
      <c r="BQ91">
        <f t="shared" si="214"/>
        <v>29.633989320967892</v>
      </c>
      <c r="BR91">
        <f t="shared" si="215"/>
        <v>0</v>
      </c>
      <c r="BS91">
        <f t="shared" si="216"/>
        <v>0.36631162160844455</v>
      </c>
      <c r="BT91">
        <f t="shared" si="217"/>
        <v>0</v>
      </c>
      <c r="BU91">
        <f t="shared" si="218"/>
        <v>11.492251044020863</v>
      </c>
      <c r="BV91">
        <f t="shared" si="219"/>
        <v>0</v>
      </c>
      <c r="BW91">
        <f t="shared" si="220"/>
        <v>0</v>
      </c>
      <c r="BX91">
        <f t="shared" si="221"/>
        <v>5.097319344754796</v>
      </c>
      <c r="BY91">
        <f t="shared" si="222"/>
        <v>9.31300732902825E-2</v>
      </c>
      <c r="BZ91">
        <f t="shared" si="223"/>
        <v>6.5253138018724606</v>
      </c>
      <c r="CA91">
        <f t="shared" si="224"/>
        <v>7.4566145347752864</v>
      </c>
      <c r="CB91">
        <f t="shared" si="225"/>
        <v>0</v>
      </c>
      <c r="CC91">
        <f t="shared" si="226"/>
        <v>0</v>
      </c>
      <c r="CD91">
        <f t="shared" si="227"/>
        <v>0</v>
      </c>
      <c r="CE91">
        <f t="shared" si="228"/>
        <v>0</v>
      </c>
      <c r="CF91">
        <f t="shared" si="229"/>
        <v>1.3410730553800683</v>
      </c>
      <c r="CG91">
        <f t="shared" si="230"/>
        <v>4.346070086879851E-2</v>
      </c>
      <c r="CH91">
        <f t="shared" si="231"/>
        <v>0</v>
      </c>
      <c r="CI91">
        <f t="shared" si="232"/>
        <v>0</v>
      </c>
      <c r="CJ91">
        <f t="shared" si="233"/>
        <v>3.7252029316113003E-2</v>
      </c>
      <c r="CK91">
        <f t="shared" si="234"/>
        <v>0</v>
      </c>
      <c r="CL91">
        <f t="shared" si="235"/>
        <v>0</v>
      </c>
      <c r="CN91">
        <f t="shared" si="236"/>
        <v>62.086715526855002</v>
      </c>
      <c r="CP91">
        <f t="shared" si="237"/>
        <v>1.4797264973852144</v>
      </c>
      <c r="CQ91">
        <f t="shared" si="238"/>
        <v>0</v>
      </c>
      <c r="CR91">
        <f t="shared" si="239"/>
        <v>1.3753878158014186E-2</v>
      </c>
      <c r="CS91">
        <f t="shared" si="240"/>
        <v>0</v>
      </c>
      <c r="CT91">
        <f t="shared" si="241"/>
        <v>0.56356664594060724</v>
      </c>
      <c r="CU91">
        <f t="shared" si="242"/>
        <v>0</v>
      </c>
      <c r="CV91">
        <f t="shared" si="243"/>
        <v>0</v>
      </c>
      <c r="CW91">
        <f t="shared" si="244"/>
        <v>0.14188780361182454</v>
      </c>
      <c r="CX91">
        <f t="shared" si="245"/>
        <v>2.6256011640902878E-3</v>
      </c>
      <c r="CY91">
        <f t="shared" si="246"/>
        <v>0.32375657662478097</v>
      </c>
      <c r="CZ91">
        <f t="shared" si="247"/>
        <v>0.26592776514890465</v>
      </c>
      <c r="DA91">
        <f t="shared" si="248"/>
        <v>0</v>
      </c>
      <c r="DB91">
        <f t="shared" si="249"/>
        <v>0</v>
      </c>
      <c r="DC91">
        <f t="shared" si="250"/>
        <v>0</v>
      </c>
      <c r="DD91">
        <f t="shared" si="251"/>
        <v>0</v>
      </c>
      <c r="DE91">
        <f t="shared" si="252"/>
        <v>6.4911570928367288E-2</v>
      </c>
      <c r="DF91">
        <f t="shared" si="253"/>
        <v>1.3840987537833919E-3</v>
      </c>
      <c r="DG91">
        <f t="shared" si="254"/>
        <v>0</v>
      </c>
      <c r="DH91">
        <f t="shared" si="255"/>
        <v>0</v>
      </c>
      <c r="DI91">
        <f t="shared" si="256"/>
        <v>1.8371439003296533E-3</v>
      </c>
      <c r="DJ91">
        <f t="shared" si="257"/>
        <v>0</v>
      </c>
      <c r="DK91">
        <f t="shared" si="258"/>
        <v>0</v>
      </c>
      <c r="DM91">
        <f t="shared" si="259"/>
        <v>2.8593775816159166</v>
      </c>
    </row>
    <row r="92" spans="1:117">
      <c r="A92" s="117" t="s">
        <v>317</v>
      </c>
      <c r="B92" s="117" t="s">
        <v>319</v>
      </c>
      <c r="C92" s="117">
        <v>2.7970000000000002</v>
      </c>
      <c r="F92" s="117">
        <v>6484</v>
      </c>
      <c r="G92" s="117">
        <v>3636</v>
      </c>
      <c r="H92" s="43">
        <f t="shared" si="181"/>
        <v>2.7129677318353748E+22</v>
      </c>
      <c r="I92" s="43">
        <f t="shared" si="182"/>
        <v>7.7573991120574523E+22</v>
      </c>
      <c r="J92" s="42">
        <f t="shared" si="183"/>
        <v>117.592190032</v>
      </c>
      <c r="K92" s="42">
        <f t="shared" si="211"/>
        <v>36.977727311999999</v>
      </c>
      <c r="L92" s="42">
        <f t="shared" si="212"/>
        <v>108.72324678626543</v>
      </c>
      <c r="M92" s="79">
        <f t="shared" si="184"/>
        <v>104.61413919326881</v>
      </c>
      <c r="O92" s="52" t="str">
        <f t="shared" si="185"/>
        <v>Basalt</v>
      </c>
      <c r="P92" s="117">
        <v>47.075648486043988</v>
      </c>
      <c r="Q92" s="60"/>
      <c r="R92" s="117">
        <v>0.58191143110760424</v>
      </c>
      <c r="S92" s="60"/>
      <c r="T92" s="117">
        <v>18.256238287799587</v>
      </c>
      <c r="U92" s="60"/>
      <c r="V92" s="117">
        <v>0</v>
      </c>
      <c r="W92" s="117">
        <v>8.0974455074464942</v>
      </c>
      <c r="X92" s="117">
        <v>0.14794358417989939</v>
      </c>
      <c r="Y92" s="117">
        <v>10.36591379820495</v>
      </c>
      <c r="Z92" s="117">
        <v>11.845349640003946</v>
      </c>
      <c r="AA92" s="60"/>
      <c r="AB92" s="60"/>
      <c r="AC92" s="60"/>
      <c r="AD92" s="60"/>
      <c r="AE92" s="117">
        <v>2.1303876121905518</v>
      </c>
      <c r="AF92" s="117">
        <v>6.9040339283953062E-2</v>
      </c>
      <c r="AG92" s="60"/>
      <c r="AH92" s="60"/>
      <c r="AI92" s="117">
        <v>5.917743367195976E-2</v>
      </c>
      <c r="AJ92" s="60"/>
      <c r="AK92" s="60"/>
      <c r="AL92" s="60"/>
      <c r="AM92" s="86">
        <f t="shared" si="213"/>
        <v>98.629056119932926</v>
      </c>
      <c r="AO92" s="71">
        <f t="shared" si="178"/>
        <v>1.5885693949661723</v>
      </c>
      <c r="AQ92" s="97" t="str">
        <f t="shared" si="187"/>
        <v>Basalt</v>
      </c>
      <c r="AR92" s="73">
        <f t="shared" si="188"/>
        <v>49.324216579507159</v>
      </c>
      <c r="AS92" s="73">
        <f t="shared" si="189"/>
        <v>0</v>
      </c>
      <c r="AT92" s="73">
        <f t="shared" si="190"/>
        <v>0.45846260526713956</v>
      </c>
      <c r="AU92" s="73">
        <f t="shared" si="191"/>
        <v>0</v>
      </c>
      <c r="AV92" s="73">
        <f t="shared" si="192"/>
        <v>11.271332918812146</v>
      </c>
      <c r="AW92" s="73">
        <f t="shared" si="193"/>
        <v>0</v>
      </c>
      <c r="AX92" s="73">
        <f t="shared" si="194"/>
        <v>0</v>
      </c>
      <c r="AY92" s="73">
        <f t="shared" si="195"/>
        <v>7.0943901805912271</v>
      </c>
      <c r="AZ92" s="73">
        <f t="shared" si="196"/>
        <v>0.13128005820451441</v>
      </c>
      <c r="BA92" s="73">
        <f t="shared" si="197"/>
        <v>16.187828831239049</v>
      </c>
      <c r="BB92" s="73">
        <f t="shared" si="198"/>
        <v>13.296388257445237</v>
      </c>
      <c r="BC92" s="73">
        <f t="shared" si="199"/>
        <v>0</v>
      </c>
      <c r="BD92" s="73">
        <f t="shared" si="200"/>
        <v>0</v>
      </c>
      <c r="BE92" s="73">
        <f t="shared" si="201"/>
        <v>0</v>
      </c>
      <c r="BF92" s="73">
        <f t="shared" si="202"/>
        <v>0</v>
      </c>
      <c r="BG92" s="73">
        <f t="shared" si="203"/>
        <v>2.1637190309455772</v>
      </c>
      <c r="BH92" s="73">
        <f t="shared" si="204"/>
        <v>4.6136625126113079E-2</v>
      </c>
      <c r="BI92" s="73">
        <f t="shared" si="205"/>
        <v>0</v>
      </c>
      <c r="BJ92" s="73">
        <f t="shared" si="206"/>
        <v>0</v>
      </c>
      <c r="BK92" s="73">
        <f t="shared" si="207"/>
        <v>2.6244912861852199E-2</v>
      </c>
      <c r="BL92" s="73">
        <f t="shared" si="208"/>
        <v>0</v>
      </c>
      <c r="BM92" s="73">
        <f t="shared" si="209"/>
        <v>0</v>
      </c>
      <c r="BN92" s="73">
        <f t="shared" si="210"/>
        <v>0</v>
      </c>
      <c r="BQ92">
        <f t="shared" si="214"/>
        <v>29.633989320967899</v>
      </c>
      <c r="BR92">
        <f t="shared" si="215"/>
        <v>0</v>
      </c>
      <c r="BS92">
        <f t="shared" si="216"/>
        <v>0.36631162160844455</v>
      </c>
      <c r="BT92">
        <f t="shared" si="217"/>
        <v>0</v>
      </c>
      <c r="BU92">
        <f t="shared" si="218"/>
        <v>11.492251044020863</v>
      </c>
      <c r="BV92">
        <f t="shared" si="219"/>
        <v>0</v>
      </c>
      <c r="BW92">
        <f t="shared" si="220"/>
        <v>0</v>
      </c>
      <c r="BX92">
        <f t="shared" si="221"/>
        <v>5.097319344754796</v>
      </c>
      <c r="BY92">
        <f t="shared" si="222"/>
        <v>9.3130073290282514E-2</v>
      </c>
      <c r="BZ92">
        <f t="shared" si="223"/>
        <v>6.5253138018724606</v>
      </c>
      <c r="CA92">
        <f t="shared" si="224"/>
        <v>7.456614534775289</v>
      </c>
      <c r="CB92">
        <f t="shared" si="225"/>
        <v>0</v>
      </c>
      <c r="CC92">
        <f t="shared" si="226"/>
        <v>0</v>
      </c>
      <c r="CD92">
        <f t="shared" si="227"/>
        <v>0</v>
      </c>
      <c r="CE92">
        <f t="shared" si="228"/>
        <v>0</v>
      </c>
      <c r="CF92">
        <f t="shared" si="229"/>
        <v>1.3410730553800685</v>
      </c>
      <c r="CG92">
        <f t="shared" si="230"/>
        <v>4.3460700868798517E-2</v>
      </c>
      <c r="CH92">
        <f t="shared" si="231"/>
        <v>0</v>
      </c>
      <c r="CI92">
        <f t="shared" si="232"/>
        <v>0</v>
      </c>
      <c r="CJ92">
        <f t="shared" si="233"/>
        <v>3.725202931611301E-2</v>
      </c>
      <c r="CK92">
        <f t="shared" si="234"/>
        <v>0</v>
      </c>
      <c r="CL92">
        <f t="shared" si="235"/>
        <v>0</v>
      </c>
      <c r="CN92">
        <f t="shared" si="236"/>
        <v>62.086715526855016</v>
      </c>
      <c r="CP92">
        <f t="shared" si="237"/>
        <v>1.4797264973852147</v>
      </c>
      <c r="CQ92">
        <f t="shared" si="238"/>
        <v>0</v>
      </c>
      <c r="CR92">
        <f t="shared" si="239"/>
        <v>1.3753878158014186E-2</v>
      </c>
      <c r="CS92">
        <f t="shared" si="240"/>
        <v>0</v>
      </c>
      <c r="CT92">
        <f t="shared" si="241"/>
        <v>0.56356664594060724</v>
      </c>
      <c r="CU92">
        <f t="shared" si="242"/>
        <v>0</v>
      </c>
      <c r="CV92">
        <f t="shared" si="243"/>
        <v>0</v>
      </c>
      <c r="CW92">
        <f t="shared" si="244"/>
        <v>0.14188780361182454</v>
      </c>
      <c r="CX92">
        <f t="shared" si="245"/>
        <v>2.6256011640902882E-3</v>
      </c>
      <c r="CY92">
        <f t="shared" si="246"/>
        <v>0.32375657662478097</v>
      </c>
      <c r="CZ92">
        <f t="shared" si="247"/>
        <v>0.26592776514890476</v>
      </c>
      <c r="DA92">
        <f t="shared" si="248"/>
        <v>0</v>
      </c>
      <c r="DB92">
        <f t="shared" si="249"/>
        <v>0</v>
      </c>
      <c r="DC92">
        <f t="shared" si="250"/>
        <v>0</v>
      </c>
      <c r="DD92">
        <f t="shared" si="251"/>
        <v>0</v>
      </c>
      <c r="DE92">
        <f t="shared" si="252"/>
        <v>6.4911570928367315E-2</v>
      </c>
      <c r="DF92">
        <f t="shared" si="253"/>
        <v>1.3840987537833923E-3</v>
      </c>
      <c r="DG92">
        <f t="shared" si="254"/>
        <v>0</v>
      </c>
      <c r="DH92">
        <f t="shared" si="255"/>
        <v>0</v>
      </c>
      <c r="DI92">
        <f t="shared" si="256"/>
        <v>1.8371439003296538E-3</v>
      </c>
      <c r="DJ92">
        <f t="shared" si="257"/>
        <v>0</v>
      </c>
      <c r="DK92">
        <f t="shared" si="258"/>
        <v>0</v>
      </c>
      <c r="DM92">
        <f t="shared" si="259"/>
        <v>2.8593775816159166</v>
      </c>
    </row>
    <row r="93" spans="1:117">
      <c r="A93" s="117" t="s">
        <v>317</v>
      </c>
      <c r="B93" s="117" t="s">
        <v>319</v>
      </c>
      <c r="C93" s="117">
        <v>2.7559999999999998</v>
      </c>
      <c r="F93" s="117">
        <v>6388</v>
      </c>
      <c r="G93" s="117">
        <v>3598</v>
      </c>
      <c r="H93" s="43">
        <f t="shared" si="181"/>
        <v>2.6731995241109384E+22</v>
      </c>
      <c r="I93" s="43">
        <f t="shared" si="182"/>
        <v>7.6436867904291522E+22</v>
      </c>
      <c r="J93" s="42">
        <f t="shared" si="183"/>
        <v>112.46283526399999</v>
      </c>
      <c r="K93" s="42">
        <f t="shared" si="211"/>
        <v>35.678084624</v>
      </c>
      <c r="L93" s="42">
        <f t="shared" si="212"/>
        <v>104.85671322463909</v>
      </c>
      <c r="M93" s="79">
        <f t="shared" si="184"/>
        <v>100.80783924312365</v>
      </c>
      <c r="O93" s="52" t="str">
        <f t="shared" si="185"/>
        <v>Basalt</v>
      </c>
      <c r="P93" s="117">
        <v>46.666014861165422</v>
      </c>
      <c r="Q93" s="60"/>
      <c r="R93" s="117">
        <v>0.576847868596011</v>
      </c>
      <c r="S93" s="60"/>
      <c r="T93" s="117">
        <v>18.097379741885021</v>
      </c>
      <c r="U93" s="60"/>
      <c r="V93" s="117">
        <v>0</v>
      </c>
      <c r="W93" s="117">
        <v>8.0269847477512712</v>
      </c>
      <c r="X93" s="117">
        <v>0.14665623777864684</v>
      </c>
      <c r="Y93" s="117">
        <v>10.275713727023856</v>
      </c>
      <c r="Z93" s="117">
        <v>11.742276104810324</v>
      </c>
      <c r="AA93" s="60"/>
      <c r="AB93" s="60"/>
      <c r="AC93" s="60"/>
      <c r="AD93" s="60"/>
      <c r="AE93" s="117">
        <v>2.111849824012515</v>
      </c>
      <c r="AF93" s="117">
        <v>6.8439577630035192E-2</v>
      </c>
      <c r="AG93" s="60"/>
      <c r="AH93" s="60"/>
      <c r="AI93" s="117">
        <v>5.866249511145874E-2</v>
      </c>
      <c r="AJ93" s="60"/>
      <c r="AK93" s="60"/>
      <c r="AL93" s="60"/>
      <c r="AM93" s="86">
        <f t="shared" si="213"/>
        <v>97.770825185764565</v>
      </c>
      <c r="AO93" s="71">
        <f t="shared" si="178"/>
        <v>1.5747462940518209</v>
      </c>
      <c r="AQ93" s="97" t="str">
        <f t="shared" si="187"/>
        <v>Basalt</v>
      </c>
      <c r="AR93" s="73">
        <f t="shared" si="188"/>
        <v>49.324216579507137</v>
      </c>
      <c r="AS93" s="73">
        <f t="shared" si="189"/>
        <v>0</v>
      </c>
      <c r="AT93" s="73">
        <f t="shared" si="190"/>
        <v>0.45846260526713961</v>
      </c>
      <c r="AU93" s="73">
        <f t="shared" si="191"/>
        <v>0</v>
      </c>
      <c r="AV93" s="73">
        <f t="shared" si="192"/>
        <v>11.271332918812144</v>
      </c>
      <c r="AW93" s="73">
        <f t="shared" si="193"/>
        <v>0</v>
      </c>
      <c r="AX93" s="73">
        <f t="shared" si="194"/>
        <v>0</v>
      </c>
      <c r="AY93" s="73">
        <f t="shared" si="195"/>
        <v>7.0943901805912262</v>
      </c>
      <c r="AZ93" s="73">
        <f t="shared" si="196"/>
        <v>0.13128005820451438</v>
      </c>
      <c r="BA93" s="73">
        <f t="shared" si="197"/>
        <v>16.187828831239049</v>
      </c>
      <c r="BB93" s="73">
        <f t="shared" si="198"/>
        <v>13.296388257445232</v>
      </c>
      <c r="BC93" s="73">
        <f t="shared" si="199"/>
        <v>0</v>
      </c>
      <c r="BD93" s="73">
        <f t="shared" si="200"/>
        <v>0</v>
      </c>
      <c r="BE93" s="73">
        <f t="shared" si="201"/>
        <v>0</v>
      </c>
      <c r="BF93" s="73">
        <f t="shared" si="202"/>
        <v>0</v>
      </c>
      <c r="BG93" s="73">
        <f t="shared" si="203"/>
        <v>2.1637190309455763</v>
      </c>
      <c r="BH93" s="73">
        <f t="shared" si="204"/>
        <v>4.6136625126113058E-2</v>
      </c>
      <c r="BI93" s="73">
        <f t="shared" si="205"/>
        <v>0</v>
      </c>
      <c r="BJ93" s="73">
        <f t="shared" si="206"/>
        <v>0</v>
      </c>
      <c r="BK93" s="73">
        <f t="shared" si="207"/>
        <v>2.6244912861852192E-2</v>
      </c>
      <c r="BL93" s="73">
        <f t="shared" si="208"/>
        <v>0</v>
      </c>
      <c r="BM93" s="73">
        <f t="shared" si="209"/>
        <v>0</v>
      </c>
      <c r="BN93" s="73">
        <f t="shared" si="210"/>
        <v>0</v>
      </c>
      <c r="BQ93">
        <f t="shared" si="214"/>
        <v>29.633989320967885</v>
      </c>
      <c r="BR93">
        <f t="shared" si="215"/>
        <v>0</v>
      </c>
      <c r="BS93">
        <f t="shared" si="216"/>
        <v>0.3663116216084446</v>
      </c>
      <c r="BT93">
        <f t="shared" si="217"/>
        <v>0</v>
      </c>
      <c r="BU93">
        <f t="shared" si="218"/>
        <v>11.492251044020861</v>
      </c>
      <c r="BV93">
        <f t="shared" si="219"/>
        <v>0</v>
      </c>
      <c r="BW93">
        <f t="shared" si="220"/>
        <v>0</v>
      </c>
      <c r="BX93">
        <f t="shared" si="221"/>
        <v>5.0973193447547951</v>
      </c>
      <c r="BY93">
        <f t="shared" si="222"/>
        <v>9.31300732902825E-2</v>
      </c>
      <c r="BZ93">
        <f t="shared" si="223"/>
        <v>6.5253138018724606</v>
      </c>
      <c r="CA93">
        <f t="shared" si="224"/>
        <v>7.4566145347752864</v>
      </c>
      <c r="CB93">
        <f t="shared" si="225"/>
        <v>0</v>
      </c>
      <c r="CC93">
        <f t="shared" si="226"/>
        <v>0</v>
      </c>
      <c r="CD93">
        <f t="shared" si="227"/>
        <v>0</v>
      </c>
      <c r="CE93">
        <f t="shared" si="228"/>
        <v>0</v>
      </c>
      <c r="CF93">
        <f t="shared" si="229"/>
        <v>1.3410730553800683</v>
      </c>
      <c r="CG93">
        <f t="shared" si="230"/>
        <v>4.3460700868798496E-2</v>
      </c>
      <c r="CH93">
        <f t="shared" si="231"/>
        <v>0</v>
      </c>
      <c r="CI93">
        <f t="shared" si="232"/>
        <v>0</v>
      </c>
      <c r="CJ93">
        <f t="shared" si="233"/>
        <v>3.7252029316113003E-2</v>
      </c>
      <c r="CK93">
        <f t="shared" si="234"/>
        <v>0</v>
      </c>
      <c r="CL93">
        <f t="shared" si="235"/>
        <v>0</v>
      </c>
      <c r="CN93">
        <f t="shared" si="236"/>
        <v>62.086715526854988</v>
      </c>
      <c r="CP93">
        <f t="shared" si="237"/>
        <v>1.479726497385214</v>
      </c>
      <c r="CQ93">
        <f t="shared" si="238"/>
        <v>0</v>
      </c>
      <c r="CR93">
        <f t="shared" si="239"/>
        <v>1.3753878158014189E-2</v>
      </c>
      <c r="CS93">
        <f t="shared" si="240"/>
        <v>0</v>
      </c>
      <c r="CT93">
        <f t="shared" si="241"/>
        <v>0.56356664594060724</v>
      </c>
      <c r="CU93">
        <f t="shared" si="242"/>
        <v>0</v>
      </c>
      <c r="CV93">
        <f t="shared" si="243"/>
        <v>0</v>
      </c>
      <c r="CW93">
        <f t="shared" si="244"/>
        <v>0.14188780361182451</v>
      </c>
      <c r="CX93">
        <f t="shared" si="245"/>
        <v>2.6256011640902878E-3</v>
      </c>
      <c r="CY93">
        <f t="shared" si="246"/>
        <v>0.32375657662478097</v>
      </c>
      <c r="CZ93">
        <f t="shared" si="247"/>
        <v>0.26592776514890465</v>
      </c>
      <c r="DA93">
        <f t="shared" si="248"/>
        <v>0</v>
      </c>
      <c r="DB93">
        <f t="shared" si="249"/>
        <v>0</v>
      </c>
      <c r="DC93">
        <f t="shared" si="250"/>
        <v>0</v>
      </c>
      <c r="DD93">
        <f t="shared" si="251"/>
        <v>0</v>
      </c>
      <c r="DE93">
        <f t="shared" si="252"/>
        <v>6.4911570928367288E-2</v>
      </c>
      <c r="DF93">
        <f t="shared" si="253"/>
        <v>1.3840987537833917E-3</v>
      </c>
      <c r="DG93">
        <f t="shared" si="254"/>
        <v>0</v>
      </c>
      <c r="DH93">
        <f t="shared" si="255"/>
        <v>0</v>
      </c>
      <c r="DI93">
        <f t="shared" si="256"/>
        <v>1.8371439003296533E-3</v>
      </c>
      <c r="DJ93">
        <f t="shared" si="257"/>
        <v>0</v>
      </c>
      <c r="DK93">
        <f t="shared" si="258"/>
        <v>0</v>
      </c>
      <c r="DM93">
        <f t="shared" si="259"/>
        <v>2.8593775816159157</v>
      </c>
    </row>
    <row r="94" spans="1:117">
      <c r="A94" s="117" t="s">
        <v>317</v>
      </c>
      <c r="B94" s="117" t="s">
        <v>319</v>
      </c>
      <c r="C94" s="117">
        <v>2.7389999999999999</v>
      </c>
      <c r="F94" s="117">
        <v>6388</v>
      </c>
      <c r="G94" s="117">
        <v>3589</v>
      </c>
      <c r="H94" s="43">
        <f t="shared" si="181"/>
        <v>2.6567102672495865E+22</v>
      </c>
      <c r="I94" s="43">
        <f t="shared" si="182"/>
        <v>7.596537779022296E+22</v>
      </c>
      <c r="J94" s="42">
        <f t="shared" si="183"/>
        <v>111.76912401599999</v>
      </c>
      <c r="K94" s="42">
        <f t="shared" si="211"/>
        <v>35.280842618999998</v>
      </c>
      <c r="L94" s="42">
        <f t="shared" si="212"/>
        <v>103.67841907647694</v>
      </c>
      <c r="M94" s="79">
        <f t="shared" si="184"/>
        <v>99.654520007039068</v>
      </c>
      <c r="O94" s="52" t="str">
        <f t="shared" si="185"/>
        <v>Basalt</v>
      </c>
      <c r="P94" s="117">
        <v>46.339805825242713</v>
      </c>
      <c r="Q94" s="60"/>
      <c r="R94" s="117">
        <v>0.57281553398058249</v>
      </c>
      <c r="S94" s="60"/>
      <c r="T94" s="117">
        <v>17.970873786407768</v>
      </c>
      <c r="U94" s="60"/>
      <c r="V94" s="117">
        <v>0</v>
      </c>
      <c r="W94" s="117">
        <v>7.9708737864077674</v>
      </c>
      <c r="X94" s="117">
        <v>0.14563106796116504</v>
      </c>
      <c r="Y94" s="117">
        <v>10.203883495145631</v>
      </c>
      <c r="Z94" s="117">
        <v>11.660194174757281</v>
      </c>
      <c r="AA94" s="60"/>
      <c r="AB94" s="60"/>
      <c r="AC94" s="60"/>
      <c r="AD94" s="60"/>
      <c r="AE94" s="117">
        <v>2.0970873786407771</v>
      </c>
      <c r="AF94" s="117">
        <v>6.7961165048543701E-2</v>
      </c>
      <c r="AG94" s="60"/>
      <c r="AH94" s="60"/>
      <c r="AI94" s="117">
        <v>5.8252427184466014E-2</v>
      </c>
      <c r="AJ94" s="60"/>
      <c r="AK94" s="60"/>
      <c r="AL94" s="60"/>
      <c r="AM94" s="86">
        <f t="shared" si="213"/>
        <v>97.087378640776691</v>
      </c>
      <c r="AO94" s="71">
        <f t="shared" si="178"/>
        <v>1.5637383587924296</v>
      </c>
      <c r="AQ94" s="97" t="str">
        <f t="shared" si="187"/>
        <v>Basalt</v>
      </c>
      <c r="AR94" s="73">
        <f t="shared" si="188"/>
        <v>49.324216579507137</v>
      </c>
      <c r="AS94" s="73">
        <f t="shared" si="189"/>
        <v>0</v>
      </c>
      <c r="AT94" s="73">
        <f t="shared" si="190"/>
        <v>0.4584626052671395</v>
      </c>
      <c r="AU94" s="73">
        <f t="shared" si="191"/>
        <v>0</v>
      </c>
      <c r="AV94" s="73">
        <f t="shared" si="192"/>
        <v>11.271332918812146</v>
      </c>
      <c r="AW94" s="73">
        <f t="shared" si="193"/>
        <v>0</v>
      </c>
      <c r="AX94" s="73">
        <f t="shared" si="194"/>
        <v>0</v>
      </c>
      <c r="AY94" s="73">
        <f t="shared" si="195"/>
        <v>7.0943901805912262</v>
      </c>
      <c r="AZ94" s="73">
        <f t="shared" si="196"/>
        <v>0.13128005820451438</v>
      </c>
      <c r="BA94" s="73">
        <f t="shared" si="197"/>
        <v>16.187828831239049</v>
      </c>
      <c r="BB94" s="73">
        <f t="shared" si="198"/>
        <v>13.296388257445233</v>
      </c>
      <c r="BC94" s="73">
        <f t="shared" si="199"/>
        <v>0</v>
      </c>
      <c r="BD94" s="73">
        <f t="shared" si="200"/>
        <v>0</v>
      </c>
      <c r="BE94" s="73">
        <f t="shared" si="201"/>
        <v>0</v>
      </c>
      <c r="BF94" s="73">
        <f t="shared" si="202"/>
        <v>0</v>
      </c>
      <c r="BG94" s="73">
        <f t="shared" si="203"/>
        <v>2.1637190309455767</v>
      </c>
      <c r="BH94" s="73">
        <f t="shared" si="204"/>
        <v>4.6136625126113065E-2</v>
      </c>
      <c r="BI94" s="73">
        <f t="shared" si="205"/>
        <v>0</v>
      </c>
      <c r="BJ94" s="73">
        <f t="shared" si="206"/>
        <v>0</v>
      </c>
      <c r="BK94" s="73">
        <f t="shared" si="207"/>
        <v>2.6244912861852189E-2</v>
      </c>
      <c r="BL94" s="73">
        <f t="shared" si="208"/>
        <v>0</v>
      </c>
      <c r="BM94" s="73">
        <f t="shared" si="209"/>
        <v>0</v>
      </c>
      <c r="BN94" s="73">
        <f t="shared" si="210"/>
        <v>0</v>
      </c>
      <c r="BQ94">
        <f t="shared" si="214"/>
        <v>29.633989320967885</v>
      </c>
      <c r="BR94">
        <f t="shared" si="215"/>
        <v>0</v>
      </c>
      <c r="BS94">
        <f t="shared" si="216"/>
        <v>0.36631162160844444</v>
      </c>
      <c r="BT94">
        <f t="shared" si="217"/>
        <v>0</v>
      </c>
      <c r="BU94">
        <f t="shared" si="218"/>
        <v>11.492251044020863</v>
      </c>
      <c r="BV94">
        <f t="shared" si="219"/>
        <v>0</v>
      </c>
      <c r="BW94">
        <f t="shared" si="220"/>
        <v>0</v>
      </c>
      <c r="BX94">
        <f t="shared" si="221"/>
        <v>5.0973193447547951</v>
      </c>
      <c r="BY94">
        <f t="shared" si="222"/>
        <v>9.31300732902825E-2</v>
      </c>
      <c r="BZ94">
        <f t="shared" si="223"/>
        <v>6.5253138018724606</v>
      </c>
      <c r="CA94">
        <f t="shared" si="224"/>
        <v>7.4566145347752864</v>
      </c>
      <c r="CB94">
        <f t="shared" si="225"/>
        <v>0</v>
      </c>
      <c r="CC94">
        <f t="shared" si="226"/>
        <v>0</v>
      </c>
      <c r="CD94">
        <f t="shared" si="227"/>
        <v>0</v>
      </c>
      <c r="CE94">
        <f t="shared" si="228"/>
        <v>0</v>
      </c>
      <c r="CF94">
        <f t="shared" si="229"/>
        <v>1.3410730553800685</v>
      </c>
      <c r="CG94">
        <f t="shared" si="230"/>
        <v>4.346070086879851E-2</v>
      </c>
      <c r="CH94">
        <f t="shared" si="231"/>
        <v>0</v>
      </c>
      <c r="CI94">
        <f t="shared" si="232"/>
        <v>0</v>
      </c>
      <c r="CJ94">
        <f t="shared" si="233"/>
        <v>3.7252029316113003E-2</v>
      </c>
      <c r="CK94">
        <f t="shared" si="234"/>
        <v>0</v>
      </c>
      <c r="CL94">
        <f t="shared" si="235"/>
        <v>0</v>
      </c>
      <c r="CN94">
        <f t="shared" si="236"/>
        <v>62.086715526854995</v>
      </c>
      <c r="CP94">
        <f t="shared" si="237"/>
        <v>1.479726497385214</v>
      </c>
      <c r="CQ94">
        <f t="shared" si="238"/>
        <v>0</v>
      </c>
      <c r="CR94">
        <f t="shared" si="239"/>
        <v>1.3753878158014184E-2</v>
      </c>
      <c r="CS94">
        <f t="shared" si="240"/>
        <v>0</v>
      </c>
      <c r="CT94">
        <f t="shared" si="241"/>
        <v>0.56356664594060724</v>
      </c>
      <c r="CU94">
        <f t="shared" si="242"/>
        <v>0</v>
      </c>
      <c r="CV94">
        <f t="shared" si="243"/>
        <v>0</v>
      </c>
      <c r="CW94">
        <f t="shared" si="244"/>
        <v>0.14188780361182451</v>
      </c>
      <c r="CX94">
        <f t="shared" si="245"/>
        <v>2.6256011640902878E-3</v>
      </c>
      <c r="CY94">
        <f t="shared" si="246"/>
        <v>0.32375657662478097</v>
      </c>
      <c r="CZ94">
        <f t="shared" si="247"/>
        <v>0.26592776514890465</v>
      </c>
      <c r="DA94">
        <f t="shared" si="248"/>
        <v>0</v>
      </c>
      <c r="DB94">
        <f t="shared" si="249"/>
        <v>0</v>
      </c>
      <c r="DC94">
        <f t="shared" si="250"/>
        <v>0</v>
      </c>
      <c r="DD94">
        <f t="shared" si="251"/>
        <v>0</v>
      </c>
      <c r="DE94">
        <f t="shared" si="252"/>
        <v>6.4911570928367301E-2</v>
      </c>
      <c r="DF94">
        <f t="shared" si="253"/>
        <v>1.3840987537833919E-3</v>
      </c>
      <c r="DG94">
        <f t="shared" si="254"/>
        <v>0</v>
      </c>
      <c r="DH94">
        <f t="shared" si="255"/>
        <v>0</v>
      </c>
      <c r="DI94">
        <f t="shared" si="256"/>
        <v>1.8371439003296533E-3</v>
      </c>
      <c r="DJ94">
        <f t="shared" si="257"/>
        <v>0</v>
      </c>
      <c r="DK94">
        <f t="shared" si="258"/>
        <v>0</v>
      </c>
      <c r="DM94">
        <f t="shared" si="259"/>
        <v>2.8593775816159157</v>
      </c>
    </row>
    <row r="95" spans="1:117">
      <c r="A95" s="117" t="s">
        <v>317</v>
      </c>
      <c r="B95" s="117" t="s">
        <v>319</v>
      </c>
      <c r="C95" s="117">
        <v>2.7010000000000001</v>
      </c>
      <c r="F95" s="117">
        <v>6380</v>
      </c>
      <c r="G95" s="117">
        <v>3593</v>
      </c>
      <c r="H95" s="43">
        <f t="shared" si="181"/>
        <v>2.6198519283830355E+22</v>
      </c>
      <c r="I95" s="43">
        <f t="shared" si="182"/>
        <v>7.4911458711716762E+22</v>
      </c>
      <c r="J95" s="42">
        <f t="shared" si="183"/>
        <v>109.9425844</v>
      </c>
      <c r="K95" s="42">
        <f t="shared" si="211"/>
        <v>34.868961949000003</v>
      </c>
      <c r="L95" s="42">
        <f t="shared" si="212"/>
        <v>102.47280123940864</v>
      </c>
      <c r="M95" s="79">
        <f t="shared" si="184"/>
        <v>98.504728444026497</v>
      </c>
      <c r="O95" s="52" t="str">
        <f t="shared" si="185"/>
        <v>Basalt</v>
      </c>
      <c r="P95" s="117">
        <v>45.718390804597696</v>
      </c>
      <c r="Q95" s="60"/>
      <c r="R95" s="117">
        <v>0.56513409961685823</v>
      </c>
      <c r="S95" s="60"/>
      <c r="T95" s="117">
        <v>17.729885057471265</v>
      </c>
      <c r="U95" s="60"/>
      <c r="V95" s="117">
        <v>0</v>
      </c>
      <c r="W95" s="117">
        <v>7.8639846743295019</v>
      </c>
      <c r="X95" s="117">
        <v>0.14367816091954019</v>
      </c>
      <c r="Y95" s="117">
        <v>10.067049808429118</v>
      </c>
      <c r="Z95" s="117">
        <v>11.50383141762452</v>
      </c>
      <c r="AA95" s="60"/>
      <c r="AB95" s="60"/>
      <c r="AC95" s="60"/>
      <c r="AD95" s="60"/>
      <c r="AE95" s="117">
        <v>2.0689655172413794</v>
      </c>
      <c r="AF95" s="117">
        <v>6.7049808429118785E-2</v>
      </c>
      <c r="AG95" s="60"/>
      <c r="AH95" s="60"/>
      <c r="AI95" s="117">
        <v>5.7471264367816091E-2</v>
      </c>
      <c r="AJ95" s="60"/>
      <c r="AK95" s="60"/>
      <c r="AL95" s="60"/>
      <c r="AM95" s="86">
        <f t="shared" si="213"/>
        <v>95.785440613026822</v>
      </c>
      <c r="AO95" s="71">
        <f t="shared" si="178"/>
        <v>1.5427686873143702</v>
      </c>
      <c r="AQ95" s="97" t="str">
        <f t="shared" si="187"/>
        <v>Basalt</v>
      </c>
      <c r="AR95" s="73">
        <f t="shared" si="188"/>
        <v>49.324216579507137</v>
      </c>
      <c r="AS95" s="73">
        <f t="shared" si="189"/>
        <v>0</v>
      </c>
      <c r="AT95" s="73">
        <f t="shared" si="190"/>
        <v>0.4584626052671395</v>
      </c>
      <c r="AU95" s="73">
        <f t="shared" si="191"/>
        <v>0</v>
      </c>
      <c r="AV95" s="73">
        <f t="shared" si="192"/>
        <v>11.271332918812144</v>
      </c>
      <c r="AW95" s="73">
        <f t="shared" si="193"/>
        <v>0</v>
      </c>
      <c r="AX95" s="73">
        <f t="shared" si="194"/>
        <v>0</v>
      </c>
      <c r="AY95" s="73">
        <f t="shared" si="195"/>
        <v>7.0943901805912253</v>
      </c>
      <c r="AZ95" s="73">
        <f t="shared" si="196"/>
        <v>0.13128005820451435</v>
      </c>
      <c r="BA95" s="73">
        <f t="shared" si="197"/>
        <v>16.187828831239045</v>
      </c>
      <c r="BB95" s="73">
        <f t="shared" si="198"/>
        <v>13.29638825744523</v>
      </c>
      <c r="BC95" s="73">
        <f t="shared" si="199"/>
        <v>0</v>
      </c>
      <c r="BD95" s="73">
        <f t="shared" si="200"/>
        <v>0</v>
      </c>
      <c r="BE95" s="73">
        <f t="shared" si="201"/>
        <v>0</v>
      </c>
      <c r="BF95" s="73">
        <f t="shared" si="202"/>
        <v>0</v>
      </c>
      <c r="BG95" s="73">
        <f t="shared" si="203"/>
        <v>2.1637190309455763</v>
      </c>
      <c r="BH95" s="73">
        <f t="shared" si="204"/>
        <v>4.6136625126113058E-2</v>
      </c>
      <c r="BI95" s="73">
        <f t="shared" si="205"/>
        <v>0</v>
      </c>
      <c r="BJ95" s="73">
        <f t="shared" si="206"/>
        <v>0</v>
      </c>
      <c r="BK95" s="73">
        <f t="shared" si="207"/>
        <v>2.6244912861852189E-2</v>
      </c>
      <c r="BL95" s="73">
        <f t="shared" si="208"/>
        <v>0</v>
      </c>
      <c r="BM95" s="73">
        <f t="shared" si="209"/>
        <v>0</v>
      </c>
      <c r="BN95" s="73">
        <f t="shared" si="210"/>
        <v>0</v>
      </c>
      <c r="BQ95">
        <f t="shared" si="214"/>
        <v>29.633989320967885</v>
      </c>
      <c r="BR95">
        <f t="shared" si="215"/>
        <v>0</v>
      </c>
      <c r="BS95">
        <f t="shared" si="216"/>
        <v>0.36631162160844444</v>
      </c>
      <c r="BT95">
        <f t="shared" si="217"/>
        <v>0</v>
      </c>
      <c r="BU95">
        <f t="shared" si="218"/>
        <v>11.492251044020861</v>
      </c>
      <c r="BV95">
        <f t="shared" si="219"/>
        <v>0</v>
      </c>
      <c r="BW95">
        <f t="shared" si="220"/>
        <v>0</v>
      </c>
      <c r="BX95">
        <f t="shared" si="221"/>
        <v>5.0973193447547951</v>
      </c>
      <c r="BY95">
        <f t="shared" si="222"/>
        <v>9.3130073290282472E-2</v>
      </c>
      <c r="BZ95">
        <f t="shared" si="223"/>
        <v>6.5253138018724597</v>
      </c>
      <c r="CA95">
        <f t="shared" si="224"/>
        <v>7.4566145347752846</v>
      </c>
      <c r="CB95">
        <f t="shared" si="225"/>
        <v>0</v>
      </c>
      <c r="CC95">
        <f t="shared" si="226"/>
        <v>0</v>
      </c>
      <c r="CD95">
        <f t="shared" si="227"/>
        <v>0</v>
      </c>
      <c r="CE95">
        <f t="shared" si="228"/>
        <v>0</v>
      </c>
      <c r="CF95">
        <f t="shared" si="229"/>
        <v>1.3410730553800683</v>
      </c>
      <c r="CG95">
        <f t="shared" si="230"/>
        <v>4.3460700868798496E-2</v>
      </c>
      <c r="CH95">
        <f t="shared" si="231"/>
        <v>0</v>
      </c>
      <c r="CI95">
        <f t="shared" si="232"/>
        <v>0</v>
      </c>
      <c r="CJ95">
        <f t="shared" si="233"/>
        <v>3.7252029316113003E-2</v>
      </c>
      <c r="CK95">
        <f t="shared" si="234"/>
        <v>0</v>
      </c>
      <c r="CL95">
        <f t="shared" si="235"/>
        <v>0</v>
      </c>
      <c r="CN95">
        <f t="shared" si="236"/>
        <v>62.086715526854988</v>
      </c>
      <c r="CP95">
        <f t="shared" si="237"/>
        <v>1.479726497385214</v>
      </c>
      <c r="CQ95">
        <f t="shared" si="238"/>
        <v>0</v>
      </c>
      <c r="CR95">
        <f t="shared" si="239"/>
        <v>1.3753878158014184E-2</v>
      </c>
      <c r="CS95">
        <f t="shared" si="240"/>
        <v>0</v>
      </c>
      <c r="CT95">
        <f t="shared" si="241"/>
        <v>0.56356664594060724</v>
      </c>
      <c r="CU95">
        <f t="shared" si="242"/>
        <v>0</v>
      </c>
      <c r="CV95">
        <f t="shared" si="243"/>
        <v>0</v>
      </c>
      <c r="CW95">
        <f t="shared" si="244"/>
        <v>0.14188780361182451</v>
      </c>
      <c r="CX95">
        <f t="shared" si="245"/>
        <v>2.6256011640902869E-3</v>
      </c>
      <c r="CY95">
        <f t="shared" si="246"/>
        <v>0.32375657662478091</v>
      </c>
      <c r="CZ95">
        <f t="shared" si="247"/>
        <v>0.26592776514890459</v>
      </c>
      <c r="DA95">
        <f t="shared" si="248"/>
        <v>0</v>
      </c>
      <c r="DB95">
        <f t="shared" si="249"/>
        <v>0</v>
      </c>
      <c r="DC95">
        <f t="shared" si="250"/>
        <v>0</v>
      </c>
      <c r="DD95">
        <f t="shared" si="251"/>
        <v>0</v>
      </c>
      <c r="DE95">
        <f t="shared" si="252"/>
        <v>6.4911570928367288E-2</v>
      </c>
      <c r="DF95">
        <f t="shared" si="253"/>
        <v>1.3840987537833917E-3</v>
      </c>
      <c r="DG95">
        <f t="shared" si="254"/>
        <v>0</v>
      </c>
      <c r="DH95">
        <f t="shared" si="255"/>
        <v>0</v>
      </c>
      <c r="DI95">
        <f t="shared" si="256"/>
        <v>1.8371439003296533E-3</v>
      </c>
      <c r="DJ95">
        <f t="shared" si="257"/>
        <v>0</v>
      </c>
      <c r="DK95">
        <f t="shared" si="258"/>
        <v>0</v>
      </c>
      <c r="DM95">
        <f t="shared" si="259"/>
        <v>2.8593775816159153</v>
      </c>
    </row>
    <row r="96" spans="1:117" ht="31">
      <c r="A96" s="117" t="s">
        <v>317</v>
      </c>
      <c r="B96" s="117" t="s">
        <v>320</v>
      </c>
      <c r="C96" s="117">
        <v>2.3490000000000002</v>
      </c>
      <c r="F96" s="117">
        <v>5799</v>
      </c>
      <c r="G96" s="117">
        <v>3565</v>
      </c>
      <c r="H96" s="43">
        <f t="shared" si="181"/>
        <v>2.1974131488849878E+22</v>
      </c>
      <c r="I96" s="43">
        <f t="shared" si="182"/>
        <v>6.9193574231260483E+22</v>
      </c>
      <c r="J96" s="42">
        <f t="shared" si="183"/>
        <v>78.993113949000005</v>
      </c>
      <c r="K96" s="42">
        <f t="shared" si="211"/>
        <v>29.853969525000004</v>
      </c>
      <c r="L96" s="42">
        <f t="shared" si="212"/>
        <v>87.771935377709028</v>
      </c>
      <c r="M96" s="79">
        <f t="shared" si="184"/>
        <v>83.925520269939895</v>
      </c>
      <c r="O96" s="52" t="str">
        <f t="shared" si="185"/>
        <v>Haplogranite</v>
      </c>
      <c r="P96" s="117">
        <v>78.015175718849832</v>
      </c>
      <c r="R96" s="117">
        <v>0</v>
      </c>
      <c r="T96" s="117">
        <v>11.771166134185302</v>
      </c>
      <c r="V96" s="117">
        <v>0</v>
      </c>
      <c r="W96" s="117">
        <v>0</v>
      </c>
      <c r="X96" s="117">
        <v>0</v>
      </c>
      <c r="Y96" s="117">
        <v>0</v>
      </c>
      <c r="Z96" s="117">
        <v>0</v>
      </c>
      <c r="AE96" s="117">
        <v>5.4812300319488809</v>
      </c>
      <c r="AF96" s="117">
        <v>4.5826677316293924</v>
      </c>
      <c r="AI96" s="117">
        <v>0</v>
      </c>
      <c r="AM96" s="86">
        <f t="shared" si="213"/>
        <v>99.850239616613408</v>
      </c>
      <c r="AO96" s="71">
        <f t="shared" si="178"/>
        <v>1.5510541711476518</v>
      </c>
      <c r="AQ96" s="97" t="str">
        <f t="shared" si="187"/>
        <v>Haplogranite</v>
      </c>
      <c r="AR96" s="73">
        <f t="shared" si="188"/>
        <v>83.718647015271799</v>
      </c>
      <c r="AS96" s="73">
        <f t="shared" si="189"/>
        <v>0</v>
      </c>
      <c r="AT96" s="73">
        <f t="shared" si="190"/>
        <v>0</v>
      </c>
      <c r="AU96" s="73">
        <f t="shared" si="191"/>
        <v>0</v>
      </c>
      <c r="AV96" s="73">
        <f t="shared" si="192"/>
        <v>7.4432515486919746</v>
      </c>
      <c r="AW96" s="73">
        <f t="shared" si="193"/>
        <v>0</v>
      </c>
      <c r="AX96" s="73">
        <f t="shared" si="194"/>
        <v>0</v>
      </c>
      <c r="AY96" s="73">
        <f t="shared" si="195"/>
        <v>0</v>
      </c>
      <c r="AZ96" s="73">
        <f t="shared" si="196"/>
        <v>0</v>
      </c>
      <c r="BA96" s="73">
        <f t="shared" si="197"/>
        <v>0</v>
      </c>
      <c r="BB96" s="73">
        <f t="shared" si="198"/>
        <v>0</v>
      </c>
      <c r="BC96" s="73">
        <f t="shared" si="199"/>
        <v>0</v>
      </c>
      <c r="BD96" s="73">
        <f t="shared" si="200"/>
        <v>0</v>
      </c>
      <c r="BE96" s="73">
        <f t="shared" si="201"/>
        <v>0</v>
      </c>
      <c r="BF96" s="73">
        <f t="shared" si="202"/>
        <v>0</v>
      </c>
      <c r="BG96" s="73">
        <f t="shared" si="203"/>
        <v>5.7016360365178924</v>
      </c>
      <c r="BH96" s="73">
        <f t="shared" si="204"/>
        <v>3.1364653995183476</v>
      </c>
      <c r="BI96" s="73">
        <f t="shared" si="205"/>
        <v>0</v>
      </c>
      <c r="BJ96" s="73">
        <f t="shared" si="206"/>
        <v>0</v>
      </c>
      <c r="BK96" s="73">
        <f t="shared" si="207"/>
        <v>0</v>
      </c>
      <c r="BL96" s="73">
        <f t="shared" si="208"/>
        <v>0</v>
      </c>
      <c r="BM96" s="73">
        <f t="shared" si="209"/>
        <v>0</v>
      </c>
      <c r="BN96" s="73">
        <f t="shared" si="210"/>
        <v>0</v>
      </c>
      <c r="BQ96">
        <f t="shared" si="214"/>
        <v>50.298163126775293</v>
      </c>
      <c r="BR96">
        <f t="shared" si="215"/>
        <v>0</v>
      </c>
      <c r="BS96">
        <f t="shared" si="216"/>
        <v>0</v>
      </c>
      <c r="BT96">
        <f t="shared" si="217"/>
        <v>0</v>
      </c>
      <c r="BU96">
        <f t="shared" si="218"/>
        <v>7.5891392790463366</v>
      </c>
      <c r="BV96">
        <f t="shared" si="219"/>
        <v>0</v>
      </c>
      <c r="BW96">
        <f t="shared" si="220"/>
        <v>0</v>
      </c>
      <c r="BX96">
        <f t="shared" si="221"/>
        <v>0</v>
      </c>
      <c r="BY96">
        <f t="shared" si="222"/>
        <v>0</v>
      </c>
      <c r="BZ96">
        <f t="shared" si="223"/>
        <v>0</v>
      </c>
      <c r="CA96">
        <f t="shared" si="224"/>
        <v>0</v>
      </c>
      <c r="CB96">
        <f t="shared" si="225"/>
        <v>0</v>
      </c>
      <c r="CC96">
        <f t="shared" si="226"/>
        <v>0</v>
      </c>
      <c r="CD96">
        <f t="shared" si="227"/>
        <v>0</v>
      </c>
      <c r="CE96">
        <f t="shared" si="228"/>
        <v>0</v>
      </c>
      <c r="CF96">
        <f t="shared" si="229"/>
        <v>3.5338740154337893</v>
      </c>
      <c r="CG96">
        <f t="shared" si="230"/>
        <v>2.9545504063462835</v>
      </c>
      <c r="CH96">
        <f t="shared" si="231"/>
        <v>0</v>
      </c>
      <c r="CI96">
        <f t="shared" si="232"/>
        <v>0</v>
      </c>
      <c r="CJ96">
        <f t="shared" si="233"/>
        <v>0</v>
      </c>
      <c r="CK96">
        <f t="shared" si="234"/>
        <v>0</v>
      </c>
      <c r="CL96">
        <f t="shared" si="235"/>
        <v>0</v>
      </c>
      <c r="CN96">
        <f t="shared" si="236"/>
        <v>64.375726827601696</v>
      </c>
      <c r="CP96">
        <f t="shared" si="237"/>
        <v>2.5115594104581538</v>
      </c>
      <c r="CQ96">
        <f t="shared" si="238"/>
        <v>0</v>
      </c>
      <c r="CR96">
        <f t="shared" si="239"/>
        <v>0</v>
      </c>
      <c r="CS96">
        <f t="shared" si="240"/>
        <v>0</v>
      </c>
      <c r="CT96">
        <f t="shared" si="241"/>
        <v>0.37216257743459874</v>
      </c>
      <c r="CU96">
        <f t="shared" si="242"/>
        <v>0</v>
      </c>
      <c r="CV96">
        <f t="shared" si="243"/>
        <v>0</v>
      </c>
      <c r="CW96">
        <f t="shared" si="244"/>
        <v>0</v>
      </c>
      <c r="CX96">
        <f t="shared" si="245"/>
        <v>0</v>
      </c>
      <c r="CY96">
        <f t="shared" si="246"/>
        <v>0</v>
      </c>
      <c r="CZ96">
        <f t="shared" si="247"/>
        <v>0</v>
      </c>
      <c r="DA96">
        <f t="shared" si="248"/>
        <v>0</v>
      </c>
      <c r="DB96">
        <f t="shared" si="249"/>
        <v>0</v>
      </c>
      <c r="DC96">
        <f t="shared" si="250"/>
        <v>0</v>
      </c>
      <c r="DD96">
        <f t="shared" si="251"/>
        <v>0</v>
      </c>
      <c r="DE96">
        <f t="shared" si="252"/>
        <v>0.17104908109553676</v>
      </c>
      <c r="DF96">
        <f t="shared" si="253"/>
        <v>9.4093961985550423E-2</v>
      </c>
      <c r="DG96">
        <f t="shared" si="254"/>
        <v>0</v>
      </c>
      <c r="DH96">
        <f t="shared" si="255"/>
        <v>0</v>
      </c>
      <c r="DI96">
        <f t="shared" si="256"/>
        <v>0</v>
      </c>
      <c r="DJ96">
        <f t="shared" si="257"/>
        <v>0</v>
      </c>
      <c r="DK96">
        <f t="shared" si="258"/>
        <v>0</v>
      </c>
      <c r="DM96">
        <f t="shared" si="259"/>
        <v>3.1488650309738397</v>
      </c>
    </row>
    <row r="97" spans="1:117" ht="31">
      <c r="A97" s="117" t="s">
        <v>317</v>
      </c>
      <c r="B97" s="117" t="s">
        <v>320</v>
      </c>
      <c r="C97" s="117">
        <v>2.359</v>
      </c>
      <c r="F97" s="117">
        <v>5812</v>
      </c>
      <c r="G97" s="117">
        <v>3568</v>
      </c>
      <c r="H97" s="43">
        <f t="shared" si="181"/>
        <v>2.2067678238483124E+22</v>
      </c>
      <c r="I97" s="43">
        <f t="shared" si="182"/>
        <v>6.9488140319941873E+22</v>
      </c>
      <c r="J97" s="42">
        <f t="shared" si="183"/>
        <v>79.685472496000003</v>
      </c>
      <c r="K97" s="42">
        <f t="shared" si="211"/>
        <v>30.031542016</v>
      </c>
      <c r="L97" s="42">
        <f t="shared" si="212"/>
        <v>88.297032692355273</v>
      </c>
      <c r="M97" s="79">
        <f t="shared" si="184"/>
        <v>84.434242892769333</v>
      </c>
      <c r="O97" s="52" t="str">
        <f t="shared" si="185"/>
        <v>Haplogranite</v>
      </c>
      <c r="P97" s="117">
        <v>78.015175718849832</v>
      </c>
      <c r="R97" s="117">
        <v>0</v>
      </c>
      <c r="T97" s="117">
        <v>11.771166134185302</v>
      </c>
      <c r="V97" s="117">
        <v>0</v>
      </c>
      <c r="W97" s="117">
        <v>0</v>
      </c>
      <c r="X97" s="117">
        <v>0</v>
      </c>
      <c r="Y97" s="117">
        <v>0</v>
      </c>
      <c r="Z97" s="117">
        <v>0</v>
      </c>
      <c r="AE97" s="117">
        <v>5.4812300319488809</v>
      </c>
      <c r="AF97" s="117">
        <v>4.5826677316293924</v>
      </c>
      <c r="AI97" s="117">
        <v>0</v>
      </c>
      <c r="AM97" s="86">
        <f t="shared" si="213"/>
        <v>99.850239616613408</v>
      </c>
      <c r="AO97" s="71">
        <f t="shared" si="178"/>
        <v>1.5510541711476518</v>
      </c>
      <c r="AQ97" s="97" t="str">
        <f t="shared" si="187"/>
        <v>Haplogranite</v>
      </c>
      <c r="AR97" s="73">
        <f t="shared" si="188"/>
        <v>83.718647015271799</v>
      </c>
      <c r="AS97" s="73">
        <f t="shared" si="189"/>
        <v>0</v>
      </c>
      <c r="AT97" s="73">
        <f t="shared" si="190"/>
        <v>0</v>
      </c>
      <c r="AU97" s="73">
        <f t="shared" si="191"/>
        <v>0</v>
      </c>
      <c r="AV97" s="73">
        <f t="shared" si="192"/>
        <v>7.4432515486919746</v>
      </c>
      <c r="AW97" s="73">
        <f t="shared" si="193"/>
        <v>0</v>
      </c>
      <c r="AX97" s="73">
        <f t="shared" si="194"/>
        <v>0</v>
      </c>
      <c r="AY97" s="73">
        <f t="shared" si="195"/>
        <v>0</v>
      </c>
      <c r="AZ97" s="73">
        <f t="shared" si="196"/>
        <v>0</v>
      </c>
      <c r="BA97" s="73">
        <f t="shared" si="197"/>
        <v>0</v>
      </c>
      <c r="BB97" s="73">
        <f t="shared" si="198"/>
        <v>0</v>
      </c>
      <c r="BC97" s="73">
        <f t="shared" si="199"/>
        <v>0</v>
      </c>
      <c r="BD97" s="73">
        <f t="shared" si="200"/>
        <v>0</v>
      </c>
      <c r="BE97" s="73">
        <f t="shared" si="201"/>
        <v>0</v>
      </c>
      <c r="BF97" s="73">
        <f t="shared" si="202"/>
        <v>0</v>
      </c>
      <c r="BG97" s="73">
        <f t="shared" si="203"/>
        <v>5.7016360365178924</v>
      </c>
      <c r="BH97" s="73">
        <f t="shared" si="204"/>
        <v>3.1364653995183476</v>
      </c>
      <c r="BI97" s="73">
        <f t="shared" si="205"/>
        <v>0</v>
      </c>
      <c r="BJ97" s="73">
        <f t="shared" si="206"/>
        <v>0</v>
      </c>
      <c r="BK97" s="73">
        <f t="shared" si="207"/>
        <v>0</v>
      </c>
      <c r="BL97" s="73">
        <f t="shared" si="208"/>
        <v>0</v>
      </c>
      <c r="BM97" s="73">
        <f t="shared" si="209"/>
        <v>0</v>
      </c>
      <c r="BN97" s="73">
        <f t="shared" si="210"/>
        <v>0</v>
      </c>
      <c r="BQ97">
        <f t="shared" si="214"/>
        <v>50.298163126775293</v>
      </c>
      <c r="BR97">
        <f t="shared" si="215"/>
        <v>0</v>
      </c>
      <c r="BS97">
        <f t="shared" si="216"/>
        <v>0</v>
      </c>
      <c r="BT97">
        <f t="shared" si="217"/>
        <v>0</v>
      </c>
      <c r="BU97">
        <f t="shared" si="218"/>
        <v>7.5891392790463366</v>
      </c>
      <c r="BV97">
        <f t="shared" si="219"/>
        <v>0</v>
      </c>
      <c r="BW97">
        <f t="shared" si="220"/>
        <v>0</v>
      </c>
      <c r="BX97">
        <f t="shared" si="221"/>
        <v>0</v>
      </c>
      <c r="BY97">
        <f t="shared" si="222"/>
        <v>0</v>
      </c>
      <c r="BZ97">
        <f t="shared" si="223"/>
        <v>0</v>
      </c>
      <c r="CA97">
        <f t="shared" si="224"/>
        <v>0</v>
      </c>
      <c r="CB97">
        <f t="shared" si="225"/>
        <v>0</v>
      </c>
      <c r="CC97">
        <f t="shared" si="226"/>
        <v>0</v>
      </c>
      <c r="CD97">
        <f t="shared" si="227"/>
        <v>0</v>
      </c>
      <c r="CE97">
        <f t="shared" si="228"/>
        <v>0</v>
      </c>
      <c r="CF97">
        <f t="shared" si="229"/>
        <v>3.5338740154337893</v>
      </c>
      <c r="CG97">
        <f t="shared" si="230"/>
        <v>2.9545504063462835</v>
      </c>
      <c r="CH97">
        <f t="shared" si="231"/>
        <v>0</v>
      </c>
      <c r="CI97">
        <f t="shared" si="232"/>
        <v>0</v>
      </c>
      <c r="CJ97">
        <f t="shared" si="233"/>
        <v>0</v>
      </c>
      <c r="CK97">
        <f t="shared" si="234"/>
        <v>0</v>
      </c>
      <c r="CL97">
        <f t="shared" si="235"/>
        <v>0</v>
      </c>
      <c r="CN97">
        <f t="shared" si="236"/>
        <v>64.375726827601696</v>
      </c>
      <c r="CP97">
        <f t="shared" si="237"/>
        <v>2.5115594104581538</v>
      </c>
      <c r="CQ97">
        <f t="shared" si="238"/>
        <v>0</v>
      </c>
      <c r="CR97">
        <f t="shared" si="239"/>
        <v>0</v>
      </c>
      <c r="CS97">
        <f t="shared" si="240"/>
        <v>0</v>
      </c>
      <c r="CT97">
        <f t="shared" si="241"/>
        <v>0.37216257743459874</v>
      </c>
      <c r="CU97">
        <f t="shared" si="242"/>
        <v>0</v>
      </c>
      <c r="CV97">
        <f t="shared" si="243"/>
        <v>0</v>
      </c>
      <c r="CW97">
        <f t="shared" si="244"/>
        <v>0</v>
      </c>
      <c r="CX97">
        <f t="shared" si="245"/>
        <v>0</v>
      </c>
      <c r="CY97">
        <f t="shared" si="246"/>
        <v>0</v>
      </c>
      <c r="CZ97">
        <f t="shared" si="247"/>
        <v>0</v>
      </c>
      <c r="DA97">
        <f t="shared" si="248"/>
        <v>0</v>
      </c>
      <c r="DB97">
        <f t="shared" si="249"/>
        <v>0</v>
      </c>
      <c r="DC97">
        <f t="shared" si="250"/>
        <v>0</v>
      </c>
      <c r="DD97">
        <f t="shared" si="251"/>
        <v>0</v>
      </c>
      <c r="DE97">
        <f t="shared" si="252"/>
        <v>0.17104908109553676</v>
      </c>
      <c r="DF97">
        <f t="shared" si="253"/>
        <v>9.4093961985550423E-2</v>
      </c>
      <c r="DG97">
        <f t="shared" si="254"/>
        <v>0</v>
      </c>
      <c r="DH97">
        <f t="shared" si="255"/>
        <v>0</v>
      </c>
      <c r="DI97">
        <f t="shared" si="256"/>
        <v>0</v>
      </c>
      <c r="DJ97">
        <f t="shared" si="257"/>
        <v>0</v>
      </c>
      <c r="DK97">
        <f t="shared" si="258"/>
        <v>0</v>
      </c>
      <c r="DM97">
        <f t="shared" si="259"/>
        <v>3.1488650309738397</v>
      </c>
    </row>
    <row r="98" spans="1:117" ht="31">
      <c r="A98" s="117" t="s">
        <v>317</v>
      </c>
      <c r="B98" s="117" t="s">
        <v>320</v>
      </c>
      <c r="C98" s="117">
        <v>2.3170000000000002</v>
      </c>
      <c r="F98" s="117">
        <v>5781.6670000000004</v>
      </c>
      <c r="G98" s="117">
        <v>3479</v>
      </c>
      <c r="H98" s="43">
        <f t="shared" si="181"/>
        <v>2.1674781890023487E+22</v>
      </c>
      <c r="I98" s="43">
        <f t="shared" si="182"/>
        <v>6.8250962747480009E+22</v>
      </c>
      <c r="J98" s="42">
        <f t="shared" si="183"/>
        <v>77.451919033525826</v>
      </c>
      <c r="K98" s="42">
        <f t="shared" si="211"/>
        <v>28.043672797000003</v>
      </c>
      <c r="L98" s="42">
        <f t="shared" si="212"/>
        <v>82.365429700440956</v>
      </c>
      <c r="M98" s="79">
        <f t="shared" si="184"/>
        <v>78.571413606485621</v>
      </c>
      <c r="O98" s="52" t="str">
        <f t="shared" si="185"/>
        <v>Haplogranite</v>
      </c>
      <c r="P98" s="117">
        <v>76.093095724997568</v>
      </c>
      <c r="R98" s="117">
        <v>0</v>
      </c>
      <c r="T98" s="117">
        <v>11.481156879929884</v>
      </c>
      <c r="V98" s="117">
        <v>0</v>
      </c>
      <c r="W98" s="117">
        <v>0</v>
      </c>
      <c r="X98" s="117">
        <v>0</v>
      </c>
      <c r="Y98" s="117">
        <v>0</v>
      </c>
      <c r="Z98" s="117">
        <v>0</v>
      </c>
      <c r="AE98" s="117">
        <v>5.3461875547765114</v>
      </c>
      <c r="AF98" s="117">
        <v>4.4697633654688866</v>
      </c>
      <c r="AI98" s="117">
        <v>0</v>
      </c>
      <c r="AM98" s="86">
        <f t="shared" si="213"/>
        <v>97.390203525172851</v>
      </c>
      <c r="AO98" s="71">
        <f t="shared" si="178"/>
        <v>1.5128404497239152</v>
      </c>
      <c r="AQ98" s="97" t="str">
        <f t="shared" si="187"/>
        <v>Haplogranite</v>
      </c>
      <c r="AR98" s="73">
        <f t="shared" si="188"/>
        <v>83.71864701527177</v>
      </c>
      <c r="AS98" s="73">
        <f t="shared" si="189"/>
        <v>0</v>
      </c>
      <c r="AT98" s="73">
        <f t="shared" si="190"/>
        <v>0</v>
      </c>
      <c r="AU98" s="73">
        <f t="shared" si="191"/>
        <v>0</v>
      </c>
      <c r="AV98" s="73">
        <f t="shared" si="192"/>
        <v>7.4432515486919701</v>
      </c>
      <c r="AW98" s="73">
        <f t="shared" si="193"/>
        <v>0</v>
      </c>
      <c r="AX98" s="73">
        <f t="shared" si="194"/>
        <v>0</v>
      </c>
      <c r="AY98" s="73">
        <f t="shared" si="195"/>
        <v>0</v>
      </c>
      <c r="AZ98" s="73">
        <f t="shared" si="196"/>
        <v>0</v>
      </c>
      <c r="BA98" s="73">
        <f t="shared" si="197"/>
        <v>0</v>
      </c>
      <c r="BB98" s="73">
        <f t="shared" si="198"/>
        <v>0</v>
      </c>
      <c r="BC98" s="73">
        <f t="shared" si="199"/>
        <v>0</v>
      </c>
      <c r="BD98" s="73">
        <f t="shared" si="200"/>
        <v>0</v>
      </c>
      <c r="BE98" s="73">
        <f t="shared" si="201"/>
        <v>0</v>
      </c>
      <c r="BF98" s="73">
        <f t="shared" si="202"/>
        <v>0</v>
      </c>
      <c r="BG98" s="73">
        <f t="shared" si="203"/>
        <v>5.7016360365178915</v>
      </c>
      <c r="BH98" s="73">
        <f t="shared" si="204"/>
        <v>3.1364653995183467</v>
      </c>
      <c r="BI98" s="73">
        <f t="shared" si="205"/>
        <v>0</v>
      </c>
      <c r="BJ98" s="73">
        <f t="shared" si="206"/>
        <v>0</v>
      </c>
      <c r="BK98" s="73">
        <f t="shared" si="207"/>
        <v>0</v>
      </c>
      <c r="BL98" s="73">
        <f t="shared" si="208"/>
        <v>0</v>
      </c>
      <c r="BM98" s="73">
        <f t="shared" si="209"/>
        <v>0</v>
      </c>
      <c r="BN98" s="73">
        <f t="shared" si="210"/>
        <v>0</v>
      </c>
      <c r="BQ98">
        <f t="shared" si="214"/>
        <v>50.298163126775279</v>
      </c>
      <c r="BR98">
        <f t="shared" si="215"/>
        <v>0</v>
      </c>
      <c r="BS98">
        <f t="shared" si="216"/>
        <v>0</v>
      </c>
      <c r="BT98">
        <f t="shared" si="217"/>
        <v>0</v>
      </c>
      <c r="BU98">
        <f t="shared" si="218"/>
        <v>7.5891392790463321</v>
      </c>
      <c r="BV98">
        <f t="shared" si="219"/>
        <v>0</v>
      </c>
      <c r="BW98">
        <f t="shared" si="220"/>
        <v>0</v>
      </c>
      <c r="BX98">
        <f t="shared" si="221"/>
        <v>0</v>
      </c>
      <c r="BY98">
        <f t="shared" si="222"/>
        <v>0</v>
      </c>
      <c r="BZ98">
        <f t="shared" si="223"/>
        <v>0</v>
      </c>
      <c r="CA98">
        <f t="shared" si="224"/>
        <v>0</v>
      </c>
      <c r="CB98">
        <f t="shared" si="225"/>
        <v>0</v>
      </c>
      <c r="CC98">
        <f t="shared" si="226"/>
        <v>0</v>
      </c>
      <c r="CD98">
        <f t="shared" si="227"/>
        <v>0</v>
      </c>
      <c r="CE98">
        <f t="shared" si="228"/>
        <v>0</v>
      </c>
      <c r="CF98">
        <f t="shared" si="229"/>
        <v>3.5338740154337889</v>
      </c>
      <c r="CG98">
        <f t="shared" si="230"/>
        <v>2.9545504063462831</v>
      </c>
      <c r="CH98">
        <f t="shared" si="231"/>
        <v>0</v>
      </c>
      <c r="CI98">
        <f t="shared" si="232"/>
        <v>0</v>
      </c>
      <c r="CJ98">
        <f t="shared" si="233"/>
        <v>0</v>
      </c>
      <c r="CK98">
        <f t="shared" si="234"/>
        <v>0</v>
      </c>
      <c r="CL98">
        <f t="shared" si="235"/>
        <v>0</v>
      </c>
      <c r="CN98">
        <f t="shared" si="236"/>
        <v>64.375726827601682</v>
      </c>
      <c r="CP98">
        <f t="shared" si="237"/>
        <v>2.5115594104581533</v>
      </c>
      <c r="CQ98">
        <f t="shared" si="238"/>
        <v>0</v>
      </c>
      <c r="CR98">
        <f t="shared" si="239"/>
        <v>0</v>
      </c>
      <c r="CS98">
        <f t="shared" si="240"/>
        <v>0</v>
      </c>
      <c r="CT98">
        <f t="shared" si="241"/>
        <v>0.37216257743459852</v>
      </c>
      <c r="CU98">
        <f t="shared" si="242"/>
        <v>0</v>
      </c>
      <c r="CV98">
        <f t="shared" si="243"/>
        <v>0</v>
      </c>
      <c r="CW98">
        <f t="shared" si="244"/>
        <v>0</v>
      </c>
      <c r="CX98">
        <f t="shared" si="245"/>
        <v>0</v>
      </c>
      <c r="CY98">
        <f t="shared" si="246"/>
        <v>0</v>
      </c>
      <c r="CZ98">
        <f t="shared" si="247"/>
        <v>0</v>
      </c>
      <c r="DA98">
        <f t="shared" si="248"/>
        <v>0</v>
      </c>
      <c r="DB98">
        <f t="shared" si="249"/>
        <v>0</v>
      </c>
      <c r="DC98">
        <f t="shared" si="250"/>
        <v>0</v>
      </c>
      <c r="DD98">
        <f t="shared" si="251"/>
        <v>0</v>
      </c>
      <c r="DE98">
        <f t="shared" si="252"/>
        <v>0.17104908109553674</v>
      </c>
      <c r="DF98">
        <f t="shared" si="253"/>
        <v>9.4093961985550409E-2</v>
      </c>
      <c r="DG98">
        <f t="shared" si="254"/>
        <v>0</v>
      </c>
      <c r="DH98">
        <f t="shared" si="255"/>
        <v>0</v>
      </c>
      <c r="DI98">
        <f t="shared" si="256"/>
        <v>0</v>
      </c>
      <c r="DJ98">
        <f t="shared" si="257"/>
        <v>0</v>
      </c>
      <c r="DK98">
        <f t="shared" si="258"/>
        <v>0</v>
      </c>
      <c r="DM98">
        <f t="shared" si="259"/>
        <v>3.1488650309738389</v>
      </c>
    </row>
    <row r="99" spans="1:117" ht="31">
      <c r="A99" s="117" t="s">
        <v>317</v>
      </c>
      <c r="B99" s="117" t="s">
        <v>320</v>
      </c>
      <c r="C99" s="117">
        <v>2.2999999999999998</v>
      </c>
      <c r="F99" s="117">
        <v>5744.875</v>
      </c>
      <c r="G99" s="117">
        <v>3469</v>
      </c>
      <c r="H99" s="43">
        <f t="shared" si="181"/>
        <v>2.1515752415646963E+22</v>
      </c>
      <c r="I99" s="43">
        <f t="shared" si="182"/>
        <v>6.7750200396721643E+22</v>
      </c>
      <c r="J99" s="42">
        <f t="shared" si="183"/>
        <v>75.908254160937489</v>
      </c>
      <c r="K99" s="42">
        <f t="shared" si="211"/>
        <v>27.678110299999997</v>
      </c>
      <c r="L99" s="42">
        <f t="shared" si="212"/>
        <v>81.28169647864226</v>
      </c>
      <c r="M99" s="79">
        <f t="shared" si="184"/>
        <v>77.515517360775519</v>
      </c>
      <c r="O99" s="52" t="str">
        <f t="shared" si="185"/>
        <v>Haplogranite</v>
      </c>
      <c r="P99" s="117">
        <v>75.337446972618594</v>
      </c>
      <c r="R99" s="117">
        <v>0</v>
      </c>
      <c r="T99" s="117">
        <v>11.367142306209024</v>
      </c>
      <c r="V99" s="117">
        <v>0</v>
      </c>
      <c r="W99" s="117">
        <v>0</v>
      </c>
      <c r="X99" s="117">
        <v>0</v>
      </c>
      <c r="Y99" s="117">
        <v>0</v>
      </c>
      <c r="Z99" s="117">
        <v>0</v>
      </c>
      <c r="AE99" s="117">
        <v>5.2930967990744318</v>
      </c>
      <c r="AF99" s="117">
        <v>4.4253760123409176</v>
      </c>
      <c r="AI99" s="117">
        <v>0</v>
      </c>
      <c r="AM99" s="86">
        <f t="shared" si="213"/>
        <v>96.423062090242965</v>
      </c>
      <c r="AO99" s="71">
        <f t="shared" si="178"/>
        <v>1.4978170630750949</v>
      </c>
      <c r="AQ99" s="97" t="str">
        <f t="shared" si="187"/>
        <v>Haplogranite</v>
      </c>
      <c r="AR99" s="73">
        <f t="shared" si="188"/>
        <v>83.718647015271785</v>
      </c>
      <c r="AS99" s="73">
        <f t="shared" si="189"/>
        <v>0</v>
      </c>
      <c r="AT99" s="73">
        <f t="shared" si="190"/>
        <v>0</v>
      </c>
      <c r="AU99" s="73">
        <f t="shared" si="191"/>
        <v>0</v>
      </c>
      <c r="AV99" s="73">
        <f t="shared" si="192"/>
        <v>7.443251548691971</v>
      </c>
      <c r="AW99" s="73">
        <f t="shared" si="193"/>
        <v>0</v>
      </c>
      <c r="AX99" s="73">
        <f t="shared" si="194"/>
        <v>0</v>
      </c>
      <c r="AY99" s="73">
        <f t="shared" si="195"/>
        <v>0</v>
      </c>
      <c r="AZ99" s="73">
        <f t="shared" si="196"/>
        <v>0</v>
      </c>
      <c r="BA99" s="73">
        <f t="shared" si="197"/>
        <v>0</v>
      </c>
      <c r="BB99" s="73">
        <f t="shared" si="198"/>
        <v>0</v>
      </c>
      <c r="BC99" s="73">
        <f t="shared" si="199"/>
        <v>0</v>
      </c>
      <c r="BD99" s="73">
        <f t="shared" si="200"/>
        <v>0</v>
      </c>
      <c r="BE99" s="73">
        <f t="shared" si="201"/>
        <v>0</v>
      </c>
      <c r="BF99" s="73">
        <f t="shared" si="202"/>
        <v>0</v>
      </c>
      <c r="BG99" s="73">
        <f t="shared" si="203"/>
        <v>5.7016360365178933</v>
      </c>
      <c r="BH99" s="73">
        <f t="shared" si="204"/>
        <v>3.1364653995183471</v>
      </c>
      <c r="BI99" s="73">
        <f t="shared" si="205"/>
        <v>0</v>
      </c>
      <c r="BJ99" s="73">
        <f t="shared" si="206"/>
        <v>0</v>
      </c>
      <c r="BK99" s="73">
        <f t="shared" si="207"/>
        <v>0</v>
      </c>
      <c r="BL99" s="73">
        <f t="shared" si="208"/>
        <v>0</v>
      </c>
      <c r="BM99" s="73">
        <f t="shared" si="209"/>
        <v>0</v>
      </c>
      <c r="BN99" s="73">
        <f t="shared" si="210"/>
        <v>0</v>
      </c>
      <c r="BQ99">
        <f t="shared" si="214"/>
        <v>50.298163126775286</v>
      </c>
      <c r="BR99">
        <f t="shared" si="215"/>
        <v>0</v>
      </c>
      <c r="BS99">
        <f t="shared" si="216"/>
        <v>0</v>
      </c>
      <c r="BT99">
        <f t="shared" si="217"/>
        <v>0</v>
      </c>
      <c r="BU99">
        <f t="shared" si="218"/>
        <v>7.5891392790463321</v>
      </c>
      <c r="BV99">
        <f t="shared" si="219"/>
        <v>0</v>
      </c>
      <c r="BW99">
        <f t="shared" si="220"/>
        <v>0</v>
      </c>
      <c r="BX99">
        <f t="shared" si="221"/>
        <v>0</v>
      </c>
      <c r="BY99">
        <f t="shared" si="222"/>
        <v>0</v>
      </c>
      <c r="BZ99">
        <f t="shared" si="223"/>
        <v>0</v>
      </c>
      <c r="CA99">
        <f t="shared" si="224"/>
        <v>0</v>
      </c>
      <c r="CB99">
        <f t="shared" si="225"/>
        <v>0</v>
      </c>
      <c r="CC99">
        <f t="shared" si="226"/>
        <v>0</v>
      </c>
      <c r="CD99">
        <f t="shared" si="227"/>
        <v>0</v>
      </c>
      <c r="CE99">
        <f t="shared" si="228"/>
        <v>0</v>
      </c>
      <c r="CF99">
        <f t="shared" si="229"/>
        <v>3.5338740154337898</v>
      </c>
      <c r="CG99">
        <f t="shared" si="230"/>
        <v>2.9545504063462831</v>
      </c>
      <c r="CH99">
        <f t="shared" si="231"/>
        <v>0</v>
      </c>
      <c r="CI99">
        <f t="shared" si="232"/>
        <v>0</v>
      </c>
      <c r="CJ99">
        <f t="shared" si="233"/>
        <v>0</v>
      </c>
      <c r="CK99">
        <f t="shared" si="234"/>
        <v>0</v>
      </c>
      <c r="CL99">
        <f t="shared" si="235"/>
        <v>0</v>
      </c>
      <c r="CN99">
        <f t="shared" si="236"/>
        <v>64.375726827601682</v>
      </c>
      <c r="CP99">
        <f t="shared" si="237"/>
        <v>2.5115594104581538</v>
      </c>
      <c r="CQ99">
        <f t="shared" si="238"/>
        <v>0</v>
      </c>
      <c r="CR99">
        <f t="shared" si="239"/>
        <v>0</v>
      </c>
      <c r="CS99">
        <f t="shared" si="240"/>
        <v>0</v>
      </c>
      <c r="CT99">
        <f t="shared" si="241"/>
        <v>0.37216257743459852</v>
      </c>
      <c r="CU99">
        <f t="shared" si="242"/>
        <v>0</v>
      </c>
      <c r="CV99">
        <f t="shared" si="243"/>
        <v>0</v>
      </c>
      <c r="CW99">
        <f t="shared" si="244"/>
        <v>0</v>
      </c>
      <c r="CX99">
        <f t="shared" si="245"/>
        <v>0</v>
      </c>
      <c r="CY99">
        <f t="shared" si="246"/>
        <v>0</v>
      </c>
      <c r="CZ99">
        <f t="shared" si="247"/>
        <v>0</v>
      </c>
      <c r="DA99">
        <f t="shared" si="248"/>
        <v>0</v>
      </c>
      <c r="DB99">
        <f t="shared" si="249"/>
        <v>0</v>
      </c>
      <c r="DC99">
        <f t="shared" si="250"/>
        <v>0</v>
      </c>
      <c r="DD99">
        <f t="shared" si="251"/>
        <v>0</v>
      </c>
      <c r="DE99">
        <f t="shared" si="252"/>
        <v>0.17104908109553679</v>
      </c>
      <c r="DF99">
        <f t="shared" si="253"/>
        <v>9.4093961985550409E-2</v>
      </c>
      <c r="DG99">
        <f t="shared" si="254"/>
        <v>0</v>
      </c>
      <c r="DH99">
        <f t="shared" si="255"/>
        <v>0</v>
      </c>
      <c r="DI99">
        <f t="shared" si="256"/>
        <v>0</v>
      </c>
      <c r="DJ99">
        <f t="shared" si="257"/>
        <v>0</v>
      </c>
      <c r="DK99">
        <f t="shared" si="258"/>
        <v>0</v>
      </c>
      <c r="DM99">
        <f t="shared" si="259"/>
        <v>3.1488650309738397</v>
      </c>
    </row>
    <row r="100" spans="1:117" ht="31">
      <c r="A100" s="117" t="s">
        <v>317</v>
      </c>
      <c r="B100" s="117" t="s">
        <v>320</v>
      </c>
      <c r="C100" s="117">
        <v>2.274</v>
      </c>
      <c r="F100" s="117">
        <v>5726.2</v>
      </c>
      <c r="G100" s="117">
        <v>3404</v>
      </c>
      <c r="H100" s="43">
        <f t="shared" si="181"/>
        <v>2.1272530866600512E+22</v>
      </c>
      <c r="I100" s="43">
        <f t="shared" si="182"/>
        <v>6.6984328566149998E+22</v>
      </c>
      <c r="J100" s="42">
        <f t="shared" si="183"/>
        <v>74.563019284559999</v>
      </c>
      <c r="K100" s="42">
        <f t="shared" si="211"/>
        <v>26.349329184000002</v>
      </c>
      <c r="L100" s="42">
        <f t="shared" si="212"/>
        <v>77.315165542361981</v>
      </c>
      <c r="M100" s="79">
        <f t="shared" si="184"/>
        <v>73.591560623218953</v>
      </c>
      <c r="O100" s="52" t="str">
        <f t="shared" si="185"/>
        <v>Haplogranite</v>
      </c>
      <c r="P100" s="117">
        <v>74.242280285035633</v>
      </c>
      <c r="R100" s="117">
        <v>0</v>
      </c>
      <c r="T100" s="117">
        <v>11.20190023752969</v>
      </c>
      <c r="V100" s="117">
        <v>0</v>
      </c>
      <c r="W100" s="117">
        <v>0</v>
      </c>
      <c r="X100" s="117">
        <v>0</v>
      </c>
      <c r="Y100" s="117">
        <v>0</v>
      </c>
      <c r="Z100" s="117">
        <v>0</v>
      </c>
      <c r="AE100" s="117">
        <v>5.2161520190023758</v>
      </c>
      <c r="AF100" s="117">
        <v>4.3610451306413296</v>
      </c>
      <c r="AI100" s="117">
        <v>0</v>
      </c>
      <c r="AM100" s="86">
        <f t="shared" si="213"/>
        <v>95.021377672209027</v>
      </c>
      <c r="AO100" s="71">
        <f t="shared" si="178"/>
        <v>1.476043570376711</v>
      </c>
      <c r="AQ100" s="97" t="str">
        <f t="shared" si="187"/>
        <v>Haplogranite</v>
      </c>
      <c r="AR100" s="73">
        <f t="shared" si="188"/>
        <v>83.718647015271799</v>
      </c>
      <c r="AS100" s="73">
        <f t="shared" si="189"/>
        <v>0</v>
      </c>
      <c r="AT100" s="73">
        <f t="shared" si="190"/>
        <v>0</v>
      </c>
      <c r="AU100" s="73">
        <f t="shared" si="191"/>
        <v>0</v>
      </c>
      <c r="AV100" s="73">
        <f t="shared" si="192"/>
        <v>7.4432515486919719</v>
      </c>
      <c r="AW100" s="73">
        <f t="shared" si="193"/>
        <v>0</v>
      </c>
      <c r="AX100" s="73">
        <f t="shared" si="194"/>
        <v>0</v>
      </c>
      <c r="AY100" s="73">
        <f t="shared" si="195"/>
        <v>0</v>
      </c>
      <c r="AZ100" s="73">
        <f t="shared" si="196"/>
        <v>0</v>
      </c>
      <c r="BA100" s="73">
        <f t="shared" si="197"/>
        <v>0</v>
      </c>
      <c r="BB100" s="73">
        <f t="shared" si="198"/>
        <v>0</v>
      </c>
      <c r="BC100" s="73">
        <f t="shared" si="199"/>
        <v>0</v>
      </c>
      <c r="BD100" s="73">
        <f t="shared" si="200"/>
        <v>0</v>
      </c>
      <c r="BE100" s="73">
        <f t="shared" si="201"/>
        <v>0</v>
      </c>
      <c r="BF100" s="73">
        <f t="shared" si="202"/>
        <v>0</v>
      </c>
      <c r="BG100" s="73">
        <f t="shared" si="203"/>
        <v>5.7016360365178942</v>
      </c>
      <c r="BH100" s="73">
        <f t="shared" si="204"/>
        <v>3.1364653995183471</v>
      </c>
      <c r="BI100" s="73">
        <f t="shared" si="205"/>
        <v>0</v>
      </c>
      <c r="BJ100" s="73">
        <f t="shared" si="206"/>
        <v>0</v>
      </c>
      <c r="BK100" s="73">
        <f t="shared" si="207"/>
        <v>0</v>
      </c>
      <c r="BL100" s="73">
        <f t="shared" si="208"/>
        <v>0</v>
      </c>
      <c r="BM100" s="73">
        <f t="shared" si="209"/>
        <v>0</v>
      </c>
      <c r="BN100" s="73">
        <f t="shared" si="210"/>
        <v>0</v>
      </c>
      <c r="BQ100">
        <f t="shared" si="214"/>
        <v>50.298163126775293</v>
      </c>
      <c r="BR100">
        <f t="shared" si="215"/>
        <v>0</v>
      </c>
      <c r="BS100">
        <f t="shared" si="216"/>
        <v>0</v>
      </c>
      <c r="BT100">
        <f t="shared" si="217"/>
        <v>0</v>
      </c>
      <c r="BU100">
        <f t="shared" si="218"/>
        <v>7.5891392790463339</v>
      </c>
      <c r="BV100">
        <f t="shared" si="219"/>
        <v>0</v>
      </c>
      <c r="BW100">
        <f t="shared" si="220"/>
        <v>0</v>
      </c>
      <c r="BX100">
        <f t="shared" si="221"/>
        <v>0</v>
      </c>
      <c r="BY100">
        <f t="shared" si="222"/>
        <v>0</v>
      </c>
      <c r="BZ100">
        <f t="shared" si="223"/>
        <v>0</v>
      </c>
      <c r="CA100">
        <f t="shared" si="224"/>
        <v>0</v>
      </c>
      <c r="CB100">
        <f t="shared" si="225"/>
        <v>0</v>
      </c>
      <c r="CC100">
        <f t="shared" si="226"/>
        <v>0</v>
      </c>
      <c r="CD100">
        <f t="shared" si="227"/>
        <v>0</v>
      </c>
      <c r="CE100">
        <f t="shared" si="228"/>
        <v>0</v>
      </c>
      <c r="CF100">
        <f t="shared" si="229"/>
        <v>3.5338740154337906</v>
      </c>
      <c r="CG100">
        <f t="shared" si="230"/>
        <v>2.9545504063462831</v>
      </c>
      <c r="CH100">
        <f t="shared" si="231"/>
        <v>0</v>
      </c>
      <c r="CI100">
        <f t="shared" si="232"/>
        <v>0</v>
      </c>
      <c r="CJ100">
        <f t="shared" si="233"/>
        <v>0</v>
      </c>
      <c r="CK100">
        <f t="shared" si="234"/>
        <v>0</v>
      </c>
      <c r="CL100">
        <f t="shared" si="235"/>
        <v>0</v>
      </c>
      <c r="CN100">
        <f t="shared" si="236"/>
        <v>64.375726827601696</v>
      </c>
      <c r="CP100">
        <f t="shared" si="237"/>
        <v>2.5115594104581538</v>
      </c>
      <c r="CQ100">
        <f t="shared" si="238"/>
        <v>0</v>
      </c>
      <c r="CR100">
        <f t="shared" si="239"/>
        <v>0</v>
      </c>
      <c r="CS100">
        <f t="shared" si="240"/>
        <v>0</v>
      </c>
      <c r="CT100">
        <f t="shared" si="241"/>
        <v>0.37216257743459857</v>
      </c>
      <c r="CU100">
        <f t="shared" si="242"/>
        <v>0</v>
      </c>
      <c r="CV100">
        <f t="shared" si="243"/>
        <v>0</v>
      </c>
      <c r="CW100">
        <f t="shared" si="244"/>
        <v>0</v>
      </c>
      <c r="CX100">
        <f t="shared" si="245"/>
        <v>0</v>
      </c>
      <c r="CY100">
        <f t="shared" si="246"/>
        <v>0</v>
      </c>
      <c r="CZ100">
        <f t="shared" si="247"/>
        <v>0</v>
      </c>
      <c r="DA100">
        <f t="shared" si="248"/>
        <v>0</v>
      </c>
      <c r="DB100">
        <f t="shared" si="249"/>
        <v>0</v>
      </c>
      <c r="DC100">
        <f t="shared" si="250"/>
        <v>0</v>
      </c>
      <c r="DD100">
        <f t="shared" si="251"/>
        <v>0</v>
      </c>
      <c r="DE100">
        <f t="shared" si="252"/>
        <v>0.17104908109553685</v>
      </c>
      <c r="DF100">
        <f t="shared" si="253"/>
        <v>9.4093961985550409E-2</v>
      </c>
      <c r="DG100">
        <f t="shared" si="254"/>
        <v>0</v>
      </c>
      <c r="DH100">
        <f t="shared" si="255"/>
        <v>0</v>
      </c>
      <c r="DI100">
        <f t="shared" si="256"/>
        <v>0</v>
      </c>
      <c r="DJ100">
        <f t="shared" si="257"/>
        <v>0</v>
      </c>
      <c r="DK100">
        <f t="shared" si="258"/>
        <v>0</v>
      </c>
      <c r="DM100">
        <f t="shared" si="259"/>
        <v>3.1488650309738397</v>
      </c>
    </row>
    <row r="101" spans="1:117">
      <c r="A101" s="117" t="s">
        <v>321</v>
      </c>
      <c r="B101" s="117" t="s">
        <v>318</v>
      </c>
      <c r="C101" s="117">
        <v>2.5129999999999999</v>
      </c>
      <c r="F101" s="117">
        <v>6240</v>
      </c>
      <c r="G101" s="117">
        <v>3700</v>
      </c>
      <c r="H101" s="43">
        <f t="shared" si="181"/>
        <v>2.3508428137109828E+22</v>
      </c>
      <c r="I101" s="43">
        <f t="shared" si="182"/>
        <v>7.2861541989725724E+22</v>
      </c>
      <c r="J101" s="42">
        <f t="shared" si="183"/>
        <v>97.850188799999998</v>
      </c>
      <c r="K101" s="42">
        <f t="shared" si="211"/>
        <v>34.402970000000003</v>
      </c>
      <c r="L101" s="42">
        <f t="shared" si="212"/>
        <v>101.29395561985473</v>
      </c>
      <c r="M101" s="79">
        <f t="shared" si="184"/>
        <v>97.273735309892203</v>
      </c>
      <c r="O101" s="52" t="str">
        <f t="shared" si="185"/>
        <v>Andesite</v>
      </c>
      <c r="P101" s="117">
        <v>62.474969963956752</v>
      </c>
      <c r="R101" s="117">
        <v>0.55066079295154191</v>
      </c>
      <c r="T101" s="117">
        <v>20.034040849018826</v>
      </c>
      <c r="V101" s="117">
        <v>3.0036043251902282E-2</v>
      </c>
      <c r="W101" s="117">
        <v>0</v>
      </c>
      <c r="X101" s="117">
        <v>2.0024028834601526E-2</v>
      </c>
      <c r="Y101" s="117">
        <v>3.2238686423708454</v>
      </c>
      <c r="Z101" s="117">
        <v>9.0909090909090917</v>
      </c>
      <c r="AE101" s="117">
        <v>3.5242290748898681</v>
      </c>
      <c r="AF101" s="117">
        <v>0.93111734080897091</v>
      </c>
      <c r="AI101" s="117">
        <v>0.12014417300760913</v>
      </c>
      <c r="AM101" s="86">
        <f t="shared" si="213"/>
        <v>100</v>
      </c>
      <c r="AO101" s="71">
        <f t="shared" si="178"/>
        <v>1.5533891068836103</v>
      </c>
      <c r="AQ101" s="97" t="str">
        <f t="shared" si="187"/>
        <v>Andesite</v>
      </c>
      <c r="AR101" s="73">
        <f t="shared" si="188"/>
        <v>66.941567362020095</v>
      </c>
      <c r="AS101" s="73">
        <f t="shared" si="189"/>
        <v>0</v>
      </c>
      <c r="AT101" s="73">
        <f t="shared" si="190"/>
        <v>0.44366699398097614</v>
      </c>
      <c r="AU101" s="73">
        <f t="shared" si="191"/>
        <v>0</v>
      </c>
      <c r="AV101" s="73">
        <f t="shared" si="192"/>
        <v>12.64906641302812</v>
      </c>
      <c r="AW101" s="73">
        <f t="shared" si="193"/>
        <v>0</v>
      </c>
      <c r="AX101" s="73">
        <f t="shared" si="194"/>
        <v>1.2108343831769505E-2</v>
      </c>
      <c r="AY101" s="73">
        <f t="shared" si="195"/>
        <v>0</v>
      </c>
      <c r="AZ101" s="73">
        <f t="shared" si="196"/>
        <v>1.8171049962365123E-2</v>
      </c>
      <c r="BA101" s="73">
        <f t="shared" si="197"/>
        <v>5.1485422916685497</v>
      </c>
      <c r="BB101" s="73">
        <f t="shared" si="198"/>
        <v>10.435639177708673</v>
      </c>
      <c r="BC101" s="73">
        <f t="shared" si="199"/>
        <v>0</v>
      </c>
      <c r="BD101" s="73">
        <f t="shared" si="200"/>
        <v>0</v>
      </c>
      <c r="BE101" s="73">
        <f t="shared" si="201"/>
        <v>0</v>
      </c>
      <c r="BF101" s="73">
        <f t="shared" si="202"/>
        <v>0</v>
      </c>
      <c r="BG101" s="73">
        <f t="shared" si="203"/>
        <v>3.6604316560521455</v>
      </c>
      <c r="BH101" s="73">
        <f t="shared" si="204"/>
        <v>0.63631660532222345</v>
      </c>
      <c r="BI101" s="73">
        <f t="shared" si="205"/>
        <v>0</v>
      </c>
      <c r="BJ101" s="73">
        <f t="shared" si="206"/>
        <v>0</v>
      </c>
      <c r="BK101" s="73">
        <f t="shared" si="207"/>
        <v>5.4490106425116876E-2</v>
      </c>
      <c r="BL101" s="73">
        <f t="shared" si="208"/>
        <v>0</v>
      </c>
      <c r="BM101" s="73">
        <f t="shared" si="209"/>
        <v>0</v>
      </c>
      <c r="BN101" s="73">
        <f t="shared" si="210"/>
        <v>0</v>
      </c>
      <c r="BQ101">
        <f t="shared" ref="BQ101:BQ164" si="260">(AR101/100)*$AR$3</f>
        <v>40.218493671101669</v>
      </c>
      <c r="BR101">
        <f t="shared" ref="BR101:BR164" si="261">(AS101/100)*$AS$3</f>
        <v>0</v>
      </c>
      <c r="BS101">
        <f t="shared" ref="BS101:BS164" si="262">(AT101/100)*$AT$3</f>
        <v>0.35448992819079994</v>
      </c>
      <c r="BT101">
        <f t="shared" ref="BT101:BT164" si="263">(AU101/100)*$AU$3</f>
        <v>0</v>
      </c>
      <c r="BU101">
        <f t="shared" ref="BU101:BU164" si="264">(AV101/100)*$AV$3</f>
        <v>12.89698811472347</v>
      </c>
      <c r="BV101">
        <f t="shared" ref="BV101:BV164" si="265">(AW101/100)*$AW$3</f>
        <v>0</v>
      </c>
      <c r="BW101">
        <f t="shared" ref="BW101:BW164" si="266">(AX101/100)*$AX$3</f>
        <v>1.9335814264952719E-2</v>
      </c>
      <c r="BX101">
        <f t="shared" ref="BX101:BX164" si="267">(AY101/100)*$AY$3</f>
        <v>0</v>
      </c>
      <c r="BY101">
        <f t="shared" ref="BY101:BY164" si="268">(AZ101/100)*$AZ$3</f>
        <v>1.2890542843301817E-2</v>
      </c>
      <c r="BZ101">
        <f t="shared" ref="BZ101:BZ164" si="269">(BA101/100)*$BA$3</f>
        <v>2.0753773977715926</v>
      </c>
      <c r="CA101">
        <f t="shared" ref="CA101:CA164" si="270">(BB101/100)*$BB$3</f>
        <v>5.8523064508590235</v>
      </c>
      <c r="CB101">
        <f t="shared" ref="CB101:CB164" si="271">(BC101/100)*$BC$3</f>
        <v>0</v>
      </c>
      <c r="CC101">
        <f t="shared" ref="CC101:CC164" si="272">(BD101/100)*$BD$3</f>
        <v>0</v>
      </c>
      <c r="CD101">
        <f t="shared" ref="CD101:CD164" si="273">(BE101/100)*$BE$3</f>
        <v>0</v>
      </c>
      <c r="CE101">
        <f t="shared" ref="CE101:CE164" si="274">(BF101/100)*$BF$3</f>
        <v>0</v>
      </c>
      <c r="CF101">
        <f t="shared" ref="CF101:CF164" si="275">(BG101/100)*$BG$3</f>
        <v>2.2687355404211194</v>
      </c>
      <c r="CG101">
        <f t="shared" ref="CG101:CG164" si="276">(BH101/100)*$BH$3</f>
        <v>0.59941024221353456</v>
      </c>
      <c r="CH101">
        <f t="shared" ref="CH101:CH164" si="277">(BI101/100)*$BI$3</f>
        <v>0</v>
      </c>
      <c r="CI101">
        <f t="shared" ref="CI101:CI164" si="278">(BJ101/100)*$BJ$3</f>
        <v>0</v>
      </c>
      <c r="CJ101">
        <f t="shared" ref="CJ101:CJ164" si="279">(BK101/100)*$BK$3</f>
        <v>7.7343257059810891E-2</v>
      </c>
      <c r="CK101">
        <f t="shared" ref="CK101:CK164" si="280">(BL101/100)*$BL$3</f>
        <v>0</v>
      </c>
      <c r="CL101">
        <f t="shared" ref="CL101:CL164" si="281">(BN101/100)*$BN$3</f>
        <v>0</v>
      </c>
      <c r="CN101">
        <f t="shared" si="236"/>
        <v>64.37537095944927</v>
      </c>
      <c r="CP101">
        <f t="shared" si="237"/>
        <v>2.0082470208606029</v>
      </c>
      <c r="CQ101">
        <f t="shared" si="238"/>
        <v>0</v>
      </c>
      <c r="CR101">
        <f t="shared" si="239"/>
        <v>1.3310009819429282E-2</v>
      </c>
      <c r="CS101">
        <f t="shared" si="240"/>
        <v>0</v>
      </c>
      <c r="CT101">
        <f t="shared" si="241"/>
        <v>0.63245332065140603</v>
      </c>
      <c r="CU101">
        <f t="shared" si="242"/>
        <v>0</v>
      </c>
      <c r="CV101">
        <f t="shared" si="243"/>
        <v>6.0541719158847514E-4</v>
      </c>
      <c r="CW101">
        <f t="shared" si="244"/>
        <v>0</v>
      </c>
      <c r="CX101">
        <f t="shared" si="245"/>
        <v>3.6342099924730246E-4</v>
      </c>
      <c r="CY101">
        <f t="shared" si="246"/>
        <v>0.10297084583337099</v>
      </c>
      <c r="CZ101">
        <f t="shared" si="247"/>
        <v>0.20871278355417344</v>
      </c>
      <c r="DA101">
        <f t="shared" si="248"/>
        <v>0</v>
      </c>
      <c r="DB101">
        <f t="shared" si="249"/>
        <v>0</v>
      </c>
      <c r="DC101">
        <f t="shared" si="250"/>
        <v>0</v>
      </c>
      <c r="DD101">
        <f t="shared" si="251"/>
        <v>0</v>
      </c>
      <c r="DE101">
        <f t="shared" si="252"/>
        <v>0.10981294968156435</v>
      </c>
      <c r="DF101">
        <f t="shared" si="253"/>
        <v>1.9089498159666703E-2</v>
      </c>
      <c r="DG101">
        <f t="shared" si="254"/>
        <v>0</v>
      </c>
      <c r="DH101">
        <f t="shared" si="255"/>
        <v>0</v>
      </c>
      <c r="DI101">
        <f t="shared" si="256"/>
        <v>3.8143074497581811E-3</v>
      </c>
      <c r="DJ101">
        <f t="shared" si="257"/>
        <v>0</v>
      </c>
      <c r="DK101">
        <f t="shared" si="258"/>
        <v>0</v>
      </c>
      <c r="DM101">
        <f t="shared" si="259"/>
        <v>3.0993795742008072</v>
      </c>
    </row>
    <row r="102" spans="1:117">
      <c r="A102" s="117" t="s">
        <v>321</v>
      </c>
      <c r="B102" s="117" t="s">
        <v>318</v>
      </c>
      <c r="C102" s="117">
        <v>2.5070000000000001</v>
      </c>
      <c r="F102" s="117">
        <v>6250</v>
      </c>
      <c r="G102" s="117">
        <v>3730</v>
      </c>
      <c r="H102" s="43">
        <f t="shared" si="181"/>
        <v>2.3452299777053062E+22</v>
      </c>
      <c r="I102" s="43">
        <f t="shared" si="182"/>
        <v>7.2687578897032382E+22</v>
      </c>
      <c r="J102" s="42">
        <f t="shared" si="183"/>
        <v>97.9296875</v>
      </c>
      <c r="K102" s="42">
        <f t="shared" si="211"/>
        <v>34.879640300000005</v>
      </c>
      <c r="L102" s="42">
        <f t="shared" si="212"/>
        <v>102.72853864014159</v>
      </c>
      <c r="M102" s="79">
        <f t="shared" si="184"/>
        <v>98.717916946120098</v>
      </c>
      <c r="O102" s="52" t="str">
        <f t="shared" si="185"/>
        <v>Andesite</v>
      </c>
      <c r="P102" s="117">
        <v>62.287881812737076</v>
      </c>
      <c r="R102" s="117">
        <v>0.54901177879816343</v>
      </c>
      <c r="T102" s="117">
        <v>19.97404671591136</v>
      </c>
      <c r="V102" s="117">
        <v>2.9946097025354362E-2</v>
      </c>
      <c r="W102" s="117">
        <v>0</v>
      </c>
      <c r="X102" s="117">
        <v>1.9964064683569576E-2</v>
      </c>
      <c r="Y102" s="117">
        <v>3.2142144140547022</v>
      </c>
      <c r="Z102" s="117">
        <v>9.0636853663405876</v>
      </c>
      <c r="AE102" s="117">
        <v>3.5136753843082458</v>
      </c>
      <c r="AF102" s="117">
        <v>0.92832900778598537</v>
      </c>
      <c r="AI102" s="117">
        <v>0.11978438810141745</v>
      </c>
      <c r="AM102" s="86">
        <f t="shared" si="213"/>
        <v>99.70053902974648</v>
      </c>
      <c r="AO102" s="71">
        <f t="shared" si="178"/>
        <v>1.5487373127923243</v>
      </c>
      <c r="AQ102" s="97" t="str">
        <f t="shared" si="187"/>
        <v>Andesite</v>
      </c>
      <c r="AR102" s="73">
        <f t="shared" si="188"/>
        <v>66.941567362020066</v>
      </c>
      <c r="AS102" s="73">
        <f t="shared" si="189"/>
        <v>0</v>
      </c>
      <c r="AT102" s="73">
        <f t="shared" si="190"/>
        <v>0.44366699398097609</v>
      </c>
      <c r="AU102" s="73">
        <f t="shared" si="191"/>
        <v>0</v>
      </c>
      <c r="AV102" s="73">
        <f t="shared" si="192"/>
        <v>12.649066413028113</v>
      </c>
      <c r="AW102" s="73">
        <f t="shared" si="193"/>
        <v>0</v>
      </c>
      <c r="AX102" s="73">
        <f t="shared" si="194"/>
        <v>1.2108343831769501E-2</v>
      </c>
      <c r="AY102" s="73">
        <f t="shared" si="195"/>
        <v>0</v>
      </c>
      <c r="AZ102" s="73">
        <f t="shared" si="196"/>
        <v>1.8171049962365116E-2</v>
      </c>
      <c r="BA102" s="73">
        <f t="shared" si="197"/>
        <v>5.1485422916685488</v>
      </c>
      <c r="BB102" s="73">
        <f t="shared" si="198"/>
        <v>10.435639177708671</v>
      </c>
      <c r="BC102" s="73">
        <f t="shared" si="199"/>
        <v>0</v>
      </c>
      <c r="BD102" s="73">
        <f t="shared" si="200"/>
        <v>0</v>
      </c>
      <c r="BE102" s="73">
        <f t="shared" si="201"/>
        <v>0</v>
      </c>
      <c r="BF102" s="73">
        <f t="shared" si="202"/>
        <v>0</v>
      </c>
      <c r="BG102" s="73">
        <f t="shared" si="203"/>
        <v>3.660431656052145</v>
      </c>
      <c r="BH102" s="73">
        <f t="shared" si="204"/>
        <v>0.63631660532222334</v>
      </c>
      <c r="BI102" s="73">
        <f t="shared" si="205"/>
        <v>0</v>
      </c>
      <c r="BJ102" s="73">
        <f t="shared" si="206"/>
        <v>0</v>
      </c>
      <c r="BK102" s="73">
        <f t="shared" si="207"/>
        <v>5.4490106425116855E-2</v>
      </c>
      <c r="BL102" s="73">
        <f t="shared" si="208"/>
        <v>0</v>
      </c>
      <c r="BM102" s="73">
        <f t="shared" si="209"/>
        <v>0</v>
      </c>
      <c r="BN102" s="73">
        <f t="shared" si="210"/>
        <v>0</v>
      </c>
      <c r="BQ102">
        <f t="shared" si="260"/>
        <v>40.218493671101655</v>
      </c>
      <c r="BR102">
        <f t="shared" si="261"/>
        <v>0</v>
      </c>
      <c r="BS102">
        <f t="shared" si="262"/>
        <v>0.35448992819079994</v>
      </c>
      <c r="BT102">
        <f t="shared" si="263"/>
        <v>0</v>
      </c>
      <c r="BU102">
        <f t="shared" si="264"/>
        <v>12.896988114723463</v>
      </c>
      <c r="BV102">
        <f t="shared" si="265"/>
        <v>0</v>
      </c>
      <c r="BW102">
        <f t="shared" si="266"/>
        <v>1.9335814264952716E-2</v>
      </c>
      <c r="BX102">
        <f t="shared" si="267"/>
        <v>0</v>
      </c>
      <c r="BY102">
        <f t="shared" si="268"/>
        <v>1.2890542843301813E-2</v>
      </c>
      <c r="BZ102">
        <f t="shared" si="269"/>
        <v>2.0753773977715921</v>
      </c>
      <c r="CA102">
        <f t="shared" si="270"/>
        <v>5.8523064508590226</v>
      </c>
      <c r="CB102">
        <f t="shared" si="271"/>
        <v>0</v>
      </c>
      <c r="CC102">
        <f t="shared" si="272"/>
        <v>0</v>
      </c>
      <c r="CD102">
        <f t="shared" si="273"/>
        <v>0</v>
      </c>
      <c r="CE102">
        <f t="shared" si="274"/>
        <v>0</v>
      </c>
      <c r="CF102">
        <f t="shared" si="275"/>
        <v>2.2687355404211194</v>
      </c>
      <c r="CG102">
        <f t="shared" si="276"/>
        <v>0.59941024221353434</v>
      </c>
      <c r="CH102">
        <f t="shared" si="277"/>
        <v>0</v>
      </c>
      <c r="CI102">
        <f t="shared" si="278"/>
        <v>0</v>
      </c>
      <c r="CJ102">
        <f t="shared" si="279"/>
        <v>7.7343257059810863E-2</v>
      </c>
      <c r="CK102">
        <f t="shared" si="280"/>
        <v>0</v>
      </c>
      <c r="CL102">
        <f t="shared" si="281"/>
        <v>0</v>
      </c>
      <c r="CN102">
        <f t="shared" si="236"/>
        <v>64.375370959449256</v>
      </c>
      <c r="CP102">
        <f t="shared" si="237"/>
        <v>2.008247020860602</v>
      </c>
      <c r="CQ102">
        <f t="shared" si="238"/>
        <v>0</v>
      </c>
      <c r="CR102">
        <f t="shared" si="239"/>
        <v>1.3310009819429282E-2</v>
      </c>
      <c r="CS102">
        <f t="shared" si="240"/>
        <v>0</v>
      </c>
      <c r="CT102">
        <f t="shared" si="241"/>
        <v>0.63245332065140558</v>
      </c>
      <c r="CU102">
        <f t="shared" si="242"/>
        <v>0</v>
      </c>
      <c r="CV102">
        <f t="shared" si="243"/>
        <v>6.0541719158847503E-4</v>
      </c>
      <c r="CW102">
        <f t="shared" si="244"/>
        <v>0</v>
      </c>
      <c r="CX102">
        <f t="shared" si="245"/>
        <v>3.6342099924730235E-4</v>
      </c>
      <c r="CY102">
        <f t="shared" si="246"/>
        <v>0.10297084583337097</v>
      </c>
      <c r="CZ102">
        <f t="shared" si="247"/>
        <v>0.20871278355417341</v>
      </c>
      <c r="DA102">
        <f t="shared" si="248"/>
        <v>0</v>
      </c>
      <c r="DB102">
        <f t="shared" si="249"/>
        <v>0</v>
      </c>
      <c r="DC102">
        <f t="shared" si="250"/>
        <v>0</v>
      </c>
      <c r="DD102">
        <f t="shared" si="251"/>
        <v>0</v>
      </c>
      <c r="DE102">
        <f t="shared" si="252"/>
        <v>0.10981294968156435</v>
      </c>
      <c r="DF102">
        <f t="shared" si="253"/>
        <v>1.90894981596667E-2</v>
      </c>
      <c r="DG102">
        <f t="shared" si="254"/>
        <v>0</v>
      </c>
      <c r="DH102">
        <f t="shared" si="255"/>
        <v>0</v>
      </c>
      <c r="DI102">
        <f t="shared" si="256"/>
        <v>3.8143074497581802E-3</v>
      </c>
      <c r="DJ102">
        <f t="shared" si="257"/>
        <v>0</v>
      </c>
      <c r="DK102">
        <f t="shared" si="258"/>
        <v>0</v>
      </c>
      <c r="DM102">
        <f t="shared" si="259"/>
        <v>3.0993795742008063</v>
      </c>
    </row>
    <row r="103" spans="1:117">
      <c r="A103" s="117" t="s">
        <v>321</v>
      </c>
      <c r="B103" s="117" t="s">
        <v>318</v>
      </c>
      <c r="C103" s="117">
        <v>2.4969999999999999</v>
      </c>
      <c r="F103" s="117">
        <v>6230</v>
      </c>
      <c r="G103" s="117">
        <v>3750</v>
      </c>
      <c r="H103" s="43">
        <f t="shared" si="181"/>
        <v>2.3358752510291783E+22</v>
      </c>
      <c r="I103" s="43">
        <f t="shared" si="182"/>
        <v>7.2397640409210151E+22</v>
      </c>
      <c r="J103" s="42">
        <f t="shared" si="183"/>
        <v>96.915811300000001</v>
      </c>
      <c r="K103" s="42">
        <f t="shared" si="211"/>
        <v>35.114062500000003</v>
      </c>
      <c r="L103" s="42">
        <f t="shared" si="212"/>
        <v>103.43942544061969</v>
      </c>
      <c r="M103" s="79">
        <f t="shared" si="184"/>
        <v>99.444801439833213</v>
      </c>
      <c r="O103" s="52" t="str">
        <f t="shared" si="185"/>
        <v>Andesite</v>
      </c>
      <c r="P103" s="117">
        <v>61.855670103092784</v>
      </c>
      <c r="R103" s="117">
        <v>0.54520222045995248</v>
      </c>
      <c r="T103" s="117">
        <v>19.835448057097544</v>
      </c>
      <c r="V103" s="117">
        <v>2.9738302934179225E-2</v>
      </c>
      <c r="W103" s="117">
        <v>0</v>
      </c>
      <c r="X103" s="117">
        <v>1.9825535289452814E-2</v>
      </c>
      <c r="Y103" s="117">
        <v>3.1919111816019039</v>
      </c>
      <c r="Z103" s="117">
        <v>9.0007930214115781</v>
      </c>
      <c r="AE103" s="117">
        <v>3.4892942109436955</v>
      </c>
      <c r="AF103" s="117">
        <v>0.92188739095955596</v>
      </c>
      <c r="AI103" s="117">
        <v>0.1189532117367169</v>
      </c>
      <c r="AM103" s="86">
        <f t="shared" si="213"/>
        <v>99.008723235527384</v>
      </c>
      <c r="AO103" s="71">
        <f t="shared" si="178"/>
        <v>1.5379907216052244</v>
      </c>
      <c r="AQ103" s="97" t="str">
        <f t="shared" si="187"/>
        <v>Andesite</v>
      </c>
      <c r="AR103" s="73">
        <f t="shared" si="188"/>
        <v>66.941567362020052</v>
      </c>
      <c r="AS103" s="73">
        <f t="shared" si="189"/>
        <v>0</v>
      </c>
      <c r="AT103" s="73">
        <f t="shared" si="190"/>
        <v>0.44366699398097603</v>
      </c>
      <c r="AU103" s="73">
        <f t="shared" si="191"/>
        <v>0</v>
      </c>
      <c r="AV103" s="73">
        <f t="shared" si="192"/>
        <v>12.649066413028113</v>
      </c>
      <c r="AW103" s="73">
        <f t="shared" si="193"/>
        <v>0</v>
      </c>
      <c r="AX103" s="73">
        <f t="shared" si="194"/>
        <v>1.2108343831769503E-2</v>
      </c>
      <c r="AY103" s="73">
        <f t="shared" si="195"/>
        <v>0</v>
      </c>
      <c r="AZ103" s="73">
        <f t="shared" si="196"/>
        <v>1.8171049962365113E-2</v>
      </c>
      <c r="BA103" s="73">
        <f t="shared" si="197"/>
        <v>5.1485422916685488</v>
      </c>
      <c r="BB103" s="73">
        <f t="shared" si="198"/>
        <v>10.435639177708671</v>
      </c>
      <c r="BC103" s="73">
        <f t="shared" si="199"/>
        <v>0</v>
      </c>
      <c r="BD103" s="73">
        <f t="shared" si="200"/>
        <v>0</v>
      </c>
      <c r="BE103" s="73">
        <f t="shared" si="201"/>
        <v>0</v>
      </c>
      <c r="BF103" s="73">
        <f t="shared" si="202"/>
        <v>0</v>
      </c>
      <c r="BG103" s="73">
        <f t="shared" si="203"/>
        <v>3.6604316560521446</v>
      </c>
      <c r="BH103" s="73">
        <f t="shared" si="204"/>
        <v>0.63631660532222323</v>
      </c>
      <c r="BI103" s="73">
        <f t="shared" si="205"/>
        <v>0</v>
      </c>
      <c r="BJ103" s="73">
        <f t="shared" si="206"/>
        <v>0</v>
      </c>
      <c r="BK103" s="73">
        <f t="shared" si="207"/>
        <v>5.4490106425116862E-2</v>
      </c>
      <c r="BL103" s="73">
        <f t="shared" si="208"/>
        <v>0</v>
      </c>
      <c r="BM103" s="73">
        <f t="shared" si="209"/>
        <v>0</v>
      </c>
      <c r="BN103" s="73">
        <f t="shared" si="210"/>
        <v>0</v>
      </c>
      <c r="BQ103">
        <f t="shared" si="260"/>
        <v>40.218493671101648</v>
      </c>
      <c r="BR103">
        <f t="shared" si="261"/>
        <v>0</v>
      </c>
      <c r="BS103">
        <f t="shared" si="262"/>
        <v>0.35448992819079989</v>
      </c>
      <c r="BT103">
        <f t="shared" si="263"/>
        <v>0</v>
      </c>
      <c r="BU103">
        <f t="shared" si="264"/>
        <v>12.896988114723463</v>
      </c>
      <c r="BV103">
        <f t="shared" si="265"/>
        <v>0</v>
      </c>
      <c r="BW103">
        <f t="shared" si="266"/>
        <v>1.9335814264952719E-2</v>
      </c>
      <c r="BX103">
        <f t="shared" si="267"/>
        <v>0</v>
      </c>
      <c r="BY103">
        <f t="shared" si="268"/>
        <v>1.289054284330181E-2</v>
      </c>
      <c r="BZ103">
        <f t="shared" si="269"/>
        <v>2.0753773977715921</v>
      </c>
      <c r="CA103">
        <f t="shared" si="270"/>
        <v>5.8523064508590226</v>
      </c>
      <c r="CB103">
        <f t="shared" si="271"/>
        <v>0</v>
      </c>
      <c r="CC103">
        <f t="shared" si="272"/>
        <v>0</v>
      </c>
      <c r="CD103">
        <f t="shared" si="273"/>
        <v>0</v>
      </c>
      <c r="CE103">
        <f t="shared" si="274"/>
        <v>0</v>
      </c>
      <c r="CF103">
        <f t="shared" si="275"/>
        <v>2.2687355404211194</v>
      </c>
      <c r="CG103">
        <f t="shared" si="276"/>
        <v>0.59941024221353434</v>
      </c>
      <c r="CH103">
        <f t="shared" si="277"/>
        <v>0</v>
      </c>
      <c r="CI103">
        <f t="shared" si="278"/>
        <v>0</v>
      </c>
      <c r="CJ103">
        <f t="shared" si="279"/>
        <v>7.7343257059810863E-2</v>
      </c>
      <c r="CK103">
        <f t="shared" si="280"/>
        <v>0</v>
      </c>
      <c r="CL103">
        <f t="shared" si="281"/>
        <v>0</v>
      </c>
      <c r="CN103">
        <f t="shared" si="236"/>
        <v>64.375370959449242</v>
      </c>
      <c r="CP103">
        <f t="shared" si="237"/>
        <v>2.0082470208606016</v>
      </c>
      <c r="CQ103">
        <f t="shared" si="238"/>
        <v>0</v>
      </c>
      <c r="CR103">
        <f t="shared" si="239"/>
        <v>1.3310009819429281E-2</v>
      </c>
      <c r="CS103">
        <f t="shared" si="240"/>
        <v>0</v>
      </c>
      <c r="CT103">
        <f t="shared" si="241"/>
        <v>0.63245332065140558</v>
      </c>
      <c r="CU103">
        <f t="shared" si="242"/>
        <v>0</v>
      </c>
      <c r="CV103">
        <f t="shared" si="243"/>
        <v>6.0541719158847514E-4</v>
      </c>
      <c r="CW103">
        <f t="shared" si="244"/>
        <v>0</v>
      </c>
      <c r="CX103">
        <f t="shared" si="245"/>
        <v>3.6342099924730224E-4</v>
      </c>
      <c r="CY103">
        <f t="shared" si="246"/>
        <v>0.10297084583337097</v>
      </c>
      <c r="CZ103">
        <f t="shared" si="247"/>
        <v>0.20871278355417341</v>
      </c>
      <c r="DA103">
        <f t="shared" si="248"/>
        <v>0</v>
      </c>
      <c r="DB103">
        <f t="shared" si="249"/>
        <v>0</v>
      </c>
      <c r="DC103">
        <f t="shared" si="250"/>
        <v>0</v>
      </c>
      <c r="DD103">
        <f t="shared" si="251"/>
        <v>0</v>
      </c>
      <c r="DE103">
        <f t="shared" si="252"/>
        <v>0.10981294968156434</v>
      </c>
      <c r="DF103">
        <f t="shared" si="253"/>
        <v>1.9089498159666696E-2</v>
      </c>
      <c r="DG103">
        <f t="shared" si="254"/>
        <v>0</v>
      </c>
      <c r="DH103">
        <f t="shared" si="255"/>
        <v>0</v>
      </c>
      <c r="DI103">
        <f t="shared" si="256"/>
        <v>3.8143074497581802E-3</v>
      </c>
      <c r="DJ103">
        <f t="shared" si="257"/>
        <v>0</v>
      </c>
      <c r="DK103">
        <f t="shared" si="258"/>
        <v>0</v>
      </c>
      <c r="DM103">
        <f t="shared" si="259"/>
        <v>3.0993795742008055</v>
      </c>
    </row>
    <row r="104" spans="1:117">
      <c r="A104" s="117" t="s">
        <v>321</v>
      </c>
      <c r="B104" s="117" t="s">
        <v>318</v>
      </c>
      <c r="C104" s="117">
        <v>2.4649999999999999</v>
      </c>
      <c r="F104" s="117">
        <v>6060</v>
      </c>
      <c r="G104" s="117">
        <v>3550</v>
      </c>
      <c r="H104" s="43">
        <f t="shared" si="181"/>
        <v>2.305940125665568E+22</v>
      </c>
      <c r="I104" s="43">
        <f t="shared" si="182"/>
        <v>7.146983724817903E+22</v>
      </c>
      <c r="J104" s="42">
        <f t="shared" si="183"/>
        <v>90.523674</v>
      </c>
      <c r="K104" s="42">
        <f t="shared" si="211"/>
        <v>31.0651625</v>
      </c>
      <c r="L104" s="42">
        <f t="shared" si="212"/>
        <v>91.317110082149568</v>
      </c>
      <c r="M104" s="79">
        <f t="shared" si="184"/>
        <v>87.373678699715185</v>
      </c>
      <c r="O104" s="52" t="str">
        <f t="shared" si="185"/>
        <v>Andesite</v>
      </c>
      <c r="P104" s="117">
        <v>60.830571261454466</v>
      </c>
      <c r="R104" s="117">
        <v>0.53616689413140972</v>
      </c>
      <c r="T104" s="117">
        <v>19.506726457399104</v>
      </c>
      <c r="V104" s="117">
        <v>2.924546695262234E-2</v>
      </c>
      <c r="W104" s="117">
        <v>0</v>
      </c>
      <c r="X104" s="117">
        <v>1.9496977968414896E-2</v>
      </c>
      <c r="Y104" s="117">
        <v>3.1390134529147984</v>
      </c>
      <c r="Z104" s="117">
        <v>8.8516279976603638</v>
      </c>
      <c r="AE104" s="117">
        <v>3.431468122441022</v>
      </c>
      <c r="AF104" s="117">
        <v>0.90660947553129267</v>
      </c>
      <c r="AI104" s="117">
        <v>0.11698186781048936</v>
      </c>
      <c r="AM104" s="86">
        <f t="shared" si="213"/>
        <v>97.367907974263971</v>
      </c>
      <c r="AO104" s="71">
        <f t="shared" si="178"/>
        <v>1.5125024760726751</v>
      </c>
      <c r="AQ104" s="97" t="str">
        <f t="shared" si="187"/>
        <v>Andesite</v>
      </c>
      <c r="AR104" s="73">
        <f t="shared" si="188"/>
        <v>66.941567362020066</v>
      </c>
      <c r="AS104" s="73">
        <f t="shared" si="189"/>
        <v>0</v>
      </c>
      <c r="AT104" s="73">
        <f t="shared" si="190"/>
        <v>0.44366699398097614</v>
      </c>
      <c r="AU104" s="73">
        <f t="shared" si="191"/>
        <v>0</v>
      </c>
      <c r="AV104" s="73">
        <f t="shared" si="192"/>
        <v>12.649066413028116</v>
      </c>
      <c r="AW104" s="73">
        <f t="shared" si="193"/>
        <v>0</v>
      </c>
      <c r="AX104" s="73">
        <f t="shared" si="194"/>
        <v>1.2108343831769503E-2</v>
      </c>
      <c r="AY104" s="73">
        <f t="shared" si="195"/>
        <v>0</v>
      </c>
      <c r="AZ104" s="73">
        <f t="shared" si="196"/>
        <v>1.8171049962365116E-2</v>
      </c>
      <c r="BA104" s="73">
        <f t="shared" si="197"/>
        <v>5.1485422916685488</v>
      </c>
      <c r="BB104" s="73">
        <f t="shared" si="198"/>
        <v>10.435639177708676</v>
      </c>
      <c r="BC104" s="73">
        <f t="shared" si="199"/>
        <v>0</v>
      </c>
      <c r="BD104" s="73">
        <f t="shared" si="200"/>
        <v>0</v>
      </c>
      <c r="BE104" s="73">
        <f t="shared" si="201"/>
        <v>0</v>
      </c>
      <c r="BF104" s="73">
        <f t="shared" si="202"/>
        <v>0</v>
      </c>
      <c r="BG104" s="73">
        <f t="shared" si="203"/>
        <v>3.6604316560521455</v>
      </c>
      <c r="BH104" s="73">
        <f t="shared" si="204"/>
        <v>0.63631660532222323</v>
      </c>
      <c r="BI104" s="73">
        <f t="shared" si="205"/>
        <v>0</v>
      </c>
      <c r="BJ104" s="73">
        <f t="shared" si="206"/>
        <v>0</v>
      </c>
      <c r="BK104" s="73">
        <f t="shared" si="207"/>
        <v>5.4490106425116862E-2</v>
      </c>
      <c r="BL104" s="73">
        <f t="shared" si="208"/>
        <v>0</v>
      </c>
      <c r="BM104" s="73">
        <f t="shared" si="209"/>
        <v>0</v>
      </c>
      <c r="BN104" s="73">
        <f t="shared" si="210"/>
        <v>0</v>
      </c>
      <c r="BQ104">
        <f t="shared" si="260"/>
        <v>40.218493671101655</v>
      </c>
      <c r="BR104">
        <f t="shared" si="261"/>
        <v>0</v>
      </c>
      <c r="BS104">
        <f t="shared" si="262"/>
        <v>0.35448992819079994</v>
      </c>
      <c r="BT104">
        <f t="shared" si="263"/>
        <v>0</v>
      </c>
      <c r="BU104">
        <f t="shared" si="264"/>
        <v>12.896988114723465</v>
      </c>
      <c r="BV104">
        <f t="shared" si="265"/>
        <v>0</v>
      </c>
      <c r="BW104">
        <f t="shared" si="266"/>
        <v>1.9335814264952719E-2</v>
      </c>
      <c r="BX104">
        <f t="shared" si="267"/>
        <v>0</v>
      </c>
      <c r="BY104">
        <f t="shared" si="268"/>
        <v>1.2890542843301813E-2</v>
      </c>
      <c r="BZ104">
        <f t="shared" si="269"/>
        <v>2.0753773977715921</v>
      </c>
      <c r="CA104">
        <f t="shared" si="270"/>
        <v>5.8523064508590252</v>
      </c>
      <c r="CB104">
        <f t="shared" si="271"/>
        <v>0</v>
      </c>
      <c r="CC104">
        <f t="shared" si="272"/>
        <v>0</v>
      </c>
      <c r="CD104">
        <f t="shared" si="273"/>
        <v>0</v>
      </c>
      <c r="CE104">
        <f t="shared" si="274"/>
        <v>0</v>
      </c>
      <c r="CF104">
        <f t="shared" si="275"/>
        <v>2.2687355404211194</v>
      </c>
      <c r="CG104">
        <f t="shared" si="276"/>
        <v>0.59941024221353434</v>
      </c>
      <c r="CH104">
        <f t="shared" si="277"/>
        <v>0</v>
      </c>
      <c r="CI104">
        <f t="shared" si="278"/>
        <v>0</v>
      </c>
      <c r="CJ104">
        <f t="shared" si="279"/>
        <v>7.7343257059810863E-2</v>
      </c>
      <c r="CK104">
        <f t="shared" si="280"/>
        <v>0</v>
      </c>
      <c r="CL104">
        <f t="shared" si="281"/>
        <v>0</v>
      </c>
      <c r="CN104">
        <f t="shared" si="236"/>
        <v>64.375370959449256</v>
      </c>
      <c r="CP104">
        <f t="shared" si="237"/>
        <v>2.008247020860602</v>
      </c>
      <c r="CQ104">
        <f t="shared" si="238"/>
        <v>0</v>
      </c>
      <c r="CR104">
        <f t="shared" si="239"/>
        <v>1.3310009819429282E-2</v>
      </c>
      <c r="CS104">
        <f t="shared" si="240"/>
        <v>0</v>
      </c>
      <c r="CT104">
        <f t="shared" si="241"/>
        <v>0.6324533206514058</v>
      </c>
      <c r="CU104">
        <f t="shared" si="242"/>
        <v>0</v>
      </c>
      <c r="CV104">
        <f t="shared" si="243"/>
        <v>6.0541719158847514E-4</v>
      </c>
      <c r="CW104">
        <f t="shared" si="244"/>
        <v>0</v>
      </c>
      <c r="CX104">
        <f t="shared" si="245"/>
        <v>3.6342099924730235E-4</v>
      </c>
      <c r="CY104">
        <f t="shared" si="246"/>
        <v>0.10297084583337097</v>
      </c>
      <c r="CZ104">
        <f t="shared" si="247"/>
        <v>0.20871278355417353</v>
      </c>
      <c r="DA104">
        <f t="shared" si="248"/>
        <v>0</v>
      </c>
      <c r="DB104">
        <f t="shared" si="249"/>
        <v>0</v>
      </c>
      <c r="DC104">
        <f t="shared" si="250"/>
        <v>0</v>
      </c>
      <c r="DD104">
        <f t="shared" si="251"/>
        <v>0</v>
      </c>
      <c r="DE104">
        <f t="shared" si="252"/>
        <v>0.10981294968156435</v>
      </c>
      <c r="DF104">
        <f t="shared" si="253"/>
        <v>1.9089498159666696E-2</v>
      </c>
      <c r="DG104">
        <f t="shared" si="254"/>
        <v>0</v>
      </c>
      <c r="DH104">
        <f t="shared" si="255"/>
        <v>0</v>
      </c>
      <c r="DI104">
        <f t="shared" si="256"/>
        <v>3.8143074497581802E-3</v>
      </c>
      <c r="DJ104">
        <f t="shared" si="257"/>
        <v>0</v>
      </c>
      <c r="DK104">
        <f t="shared" si="258"/>
        <v>0</v>
      </c>
      <c r="DM104">
        <f t="shared" si="259"/>
        <v>3.0993795742008063</v>
      </c>
    </row>
    <row r="105" spans="1:117">
      <c r="A105" s="117" t="s">
        <v>321</v>
      </c>
      <c r="B105" s="117" t="s">
        <v>318</v>
      </c>
      <c r="C105" s="117">
        <v>2.4369999999999998</v>
      </c>
      <c r="F105" s="117">
        <v>6090</v>
      </c>
      <c r="G105" s="117">
        <v>3620</v>
      </c>
      <c r="H105" s="43">
        <f t="shared" si="181"/>
        <v>2.2797468909724095E+22</v>
      </c>
      <c r="I105" s="43">
        <f t="shared" si="182"/>
        <v>7.0658009482276798E+22</v>
      </c>
      <c r="J105" s="42">
        <f t="shared" si="183"/>
        <v>90.383699699999994</v>
      </c>
      <c r="K105" s="42">
        <f t="shared" si="211"/>
        <v>31.935422799999998</v>
      </c>
      <c r="L105" s="42">
        <f t="shared" si="212"/>
        <v>93.949227543488234</v>
      </c>
      <c r="M105" s="79">
        <f t="shared" si="184"/>
        <v>90.050589702111935</v>
      </c>
      <c r="O105" s="52" t="str">
        <f t="shared" si="185"/>
        <v>Andesite</v>
      </c>
      <c r="P105" s="117">
        <v>60.359837492745214</v>
      </c>
      <c r="R105" s="117">
        <v>0.53201779841361974</v>
      </c>
      <c r="T105" s="117">
        <v>19.355774811375507</v>
      </c>
      <c r="V105" s="117">
        <v>2.9019152640742889E-2</v>
      </c>
      <c r="W105" s="117">
        <v>0</v>
      </c>
      <c r="X105" s="117">
        <v>1.9346101760495261E-2</v>
      </c>
      <c r="Y105" s="117">
        <v>3.1147223834397373</v>
      </c>
      <c r="Z105" s="117">
        <v>8.7831301992648498</v>
      </c>
      <c r="AE105" s="117">
        <v>3.4049139098471661</v>
      </c>
      <c r="AF105" s="117">
        <v>0.8995937318630296</v>
      </c>
      <c r="AI105" s="117">
        <v>0.11607661056297155</v>
      </c>
      <c r="AM105" s="86">
        <f t="shared" si="213"/>
        <v>96.614432191913338</v>
      </c>
      <c r="AO105" s="71">
        <f t="shared" si="178"/>
        <v>1.5007980653466337</v>
      </c>
      <c r="AQ105" s="97" t="str">
        <f t="shared" si="187"/>
        <v>Andesite</v>
      </c>
      <c r="AR105" s="73">
        <f t="shared" si="188"/>
        <v>66.941567362020081</v>
      </c>
      <c r="AS105" s="73">
        <f t="shared" si="189"/>
        <v>0</v>
      </c>
      <c r="AT105" s="73">
        <f t="shared" si="190"/>
        <v>0.4436669939809762</v>
      </c>
      <c r="AU105" s="73">
        <f t="shared" si="191"/>
        <v>0</v>
      </c>
      <c r="AV105" s="73">
        <f t="shared" si="192"/>
        <v>12.649066413028116</v>
      </c>
      <c r="AW105" s="73">
        <f t="shared" si="193"/>
        <v>0</v>
      </c>
      <c r="AX105" s="73">
        <f t="shared" si="194"/>
        <v>1.2108343831769505E-2</v>
      </c>
      <c r="AY105" s="73">
        <f t="shared" si="195"/>
        <v>0</v>
      </c>
      <c r="AZ105" s="73">
        <f t="shared" si="196"/>
        <v>1.8171049962365123E-2</v>
      </c>
      <c r="BA105" s="73">
        <f t="shared" si="197"/>
        <v>5.1485422916685506</v>
      </c>
      <c r="BB105" s="73">
        <f t="shared" si="198"/>
        <v>10.435639177708676</v>
      </c>
      <c r="BC105" s="73">
        <f t="shared" si="199"/>
        <v>0</v>
      </c>
      <c r="BD105" s="73">
        <f t="shared" si="200"/>
        <v>0</v>
      </c>
      <c r="BE105" s="73">
        <f t="shared" si="201"/>
        <v>0</v>
      </c>
      <c r="BF105" s="73">
        <f t="shared" si="202"/>
        <v>0</v>
      </c>
      <c r="BG105" s="73">
        <f t="shared" si="203"/>
        <v>3.660431656052145</v>
      </c>
      <c r="BH105" s="73">
        <f t="shared" si="204"/>
        <v>0.63631660532222334</v>
      </c>
      <c r="BI105" s="73">
        <f t="shared" si="205"/>
        <v>0</v>
      </c>
      <c r="BJ105" s="73">
        <f t="shared" si="206"/>
        <v>0</v>
      </c>
      <c r="BK105" s="73">
        <f t="shared" si="207"/>
        <v>5.4490106425116876E-2</v>
      </c>
      <c r="BL105" s="73">
        <f t="shared" si="208"/>
        <v>0</v>
      </c>
      <c r="BM105" s="73">
        <f t="shared" si="209"/>
        <v>0</v>
      </c>
      <c r="BN105" s="73">
        <f t="shared" si="210"/>
        <v>0</v>
      </c>
      <c r="BQ105">
        <f t="shared" si="260"/>
        <v>40.218493671101662</v>
      </c>
      <c r="BR105">
        <f t="shared" si="261"/>
        <v>0</v>
      </c>
      <c r="BS105">
        <f t="shared" si="262"/>
        <v>0.3544899281908</v>
      </c>
      <c r="BT105">
        <f t="shared" si="263"/>
        <v>0</v>
      </c>
      <c r="BU105">
        <f t="shared" si="264"/>
        <v>12.896988114723465</v>
      </c>
      <c r="BV105">
        <f t="shared" si="265"/>
        <v>0</v>
      </c>
      <c r="BW105">
        <f t="shared" si="266"/>
        <v>1.9335814264952719E-2</v>
      </c>
      <c r="BX105">
        <f t="shared" si="267"/>
        <v>0</v>
      </c>
      <c r="BY105">
        <f t="shared" si="268"/>
        <v>1.2890542843301817E-2</v>
      </c>
      <c r="BZ105">
        <f t="shared" si="269"/>
        <v>2.075377397771593</v>
      </c>
      <c r="CA105">
        <f t="shared" si="270"/>
        <v>5.8523064508590252</v>
      </c>
      <c r="CB105">
        <f t="shared" si="271"/>
        <v>0</v>
      </c>
      <c r="CC105">
        <f t="shared" si="272"/>
        <v>0</v>
      </c>
      <c r="CD105">
        <f t="shared" si="273"/>
        <v>0</v>
      </c>
      <c r="CE105">
        <f t="shared" si="274"/>
        <v>0</v>
      </c>
      <c r="CF105">
        <f t="shared" si="275"/>
        <v>2.2687355404211194</v>
      </c>
      <c r="CG105">
        <f t="shared" si="276"/>
        <v>0.59941024221353434</v>
      </c>
      <c r="CH105">
        <f t="shared" si="277"/>
        <v>0</v>
      </c>
      <c r="CI105">
        <f t="shared" si="278"/>
        <v>0</v>
      </c>
      <c r="CJ105">
        <f t="shared" si="279"/>
        <v>7.7343257059810891E-2</v>
      </c>
      <c r="CK105">
        <f t="shared" si="280"/>
        <v>0</v>
      </c>
      <c r="CL105">
        <f t="shared" si="281"/>
        <v>0</v>
      </c>
      <c r="CN105">
        <f t="shared" si="236"/>
        <v>64.375370959449256</v>
      </c>
      <c r="CP105">
        <f t="shared" si="237"/>
        <v>2.0082470208606025</v>
      </c>
      <c r="CQ105">
        <f t="shared" si="238"/>
        <v>0</v>
      </c>
      <c r="CR105">
        <f t="shared" si="239"/>
        <v>1.3310009819429286E-2</v>
      </c>
      <c r="CS105">
        <f t="shared" si="240"/>
        <v>0</v>
      </c>
      <c r="CT105">
        <f t="shared" si="241"/>
        <v>0.6324533206514058</v>
      </c>
      <c r="CU105">
        <f t="shared" si="242"/>
        <v>0</v>
      </c>
      <c r="CV105">
        <f t="shared" si="243"/>
        <v>6.0541719158847514E-4</v>
      </c>
      <c r="CW105">
        <f t="shared" si="244"/>
        <v>0</v>
      </c>
      <c r="CX105">
        <f t="shared" si="245"/>
        <v>3.6342099924730246E-4</v>
      </c>
      <c r="CY105">
        <f t="shared" si="246"/>
        <v>0.10297084583337102</v>
      </c>
      <c r="CZ105">
        <f t="shared" si="247"/>
        <v>0.20871278355417353</v>
      </c>
      <c r="DA105">
        <f t="shared" si="248"/>
        <v>0</v>
      </c>
      <c r="DB105">
        <f t="shared" si="249"/>
        <v>0</v>
      </c>
      <c r="DC105">
        <f t="shared" si="250"/>
        <v>0</v>
      </c>
      <c r="DD105">
        <f t="shared" si="251"/>
        <v>0</v>
      </c>
      <c r="DE105">
        <f t="shared" si="252"/>
        <v>0.10981294968156435</v>
      </c>
      <c r="DF105">
        <f t="shared" si="253"/>
        <v>1.90894981596667E-2</v>
      </c>
      <c r="DG105">
        <f t="shared" si="254"/>
        <v>0</v>
      </c>
      <c r="DH105">
        <f t="shared" si="255"/>
        <v>0</v>
      </c>
      <c r="DI105">
        <f t="shared" si="256"/>
        <v>3.8143074497581811E-3</v>
      </c>
      <c r="DJ105">
        <f t="shared" si="257"/>
        <v>0</v>
      </c>
      <c r="DK105">
        <f t="shared" si="258"/>
        <v>0</v>
      </c>
      <c r="DM105">
        <f t="shared" si="259"/>
        <v>3.0993795742008068</v>
      </c>
    </row>
    <row r="106" spans="1:117">
      <c r="A106" s="117" t="s">
        <v>322</v>
      </c>
      <c r="B106" s="117" t="s">
        <v>323</v>
      </c>
      <c r="C106" s="117">
        <v>2.331</v>
      </c>
      <c r="F106" s="117">
        <v>5780</v>
      </c>
      <c r="G106" s="117">
        <v>3593</v>
      </c>
      <c r="H106" s="43">
        <f t="shared" si="181"/>
        <v>2.1641150688907997E+22</v>
      </c>
      <c r="I106" s="43">
        <f t="shared" si="182"/>
        <v>6.8166511307813686E+22</v>
      </c>
      <c r="J106" s="42">
        <f t="shared" si="183"/>
        <v>77.874980400000013</v>
      </c>
      <c r="K106" s="42">
        <f t="shared" si="211"/>
        <v>30.092391818999999</v>
      </c>
      <c r="L106" s="42">
        <f t="shared" si="212"/>
        <v>88.514326306608083</v>
      </c>
      <c r="M106" s="79">
        <f t="shared" si="184"/>
        <v>84.724449942433324</v>
      </c>
      <c r="O106" s="52" t="str">
        <f t="shared" si="185"/>
        <v>Rhyolite</v>
      </c>
      <c r="P106" s="117">
        <v>76.369452219112361</v>
      </c>
      <c r="R106" s="117">
        <v>6.9972011195521808E-2</v>
      </c>
      <c r="T106" s="117">
        <v>12.495001999200321</v>
      </c>
      <c r="V106" s="117">
        <v>0.37984806077568978</v>
      </c>
      <c r="W106" s="117">
        <v>0.83966413434626164</v>
      </c>
      <c r="X106" s="117">
        <v>0</v>
      </c>
      <c r="Y106" s="117">
        <v>5.9976009596161534E-2</v>
      </c>
      <c r="Z106" s="117">
        <v>0.41983206717313082</v>
      </c>
      <c r="AE106" s="117">
        <v>3.9984006397441028</v>
      </c>
      <c r="AF106" s="117">
        <v>4.7980807676929231</v>
      </c>
      <c r="AI106" s="117">
        <v>1.9992003198720514E-2</v>
      </c>
      <c r="AM106" s="86">
        <f t="shared" si="213"/>
        <v>99.450219912035195</v>
      </c>
      <c r="AO106" s="71">
        <f t="shared" si="178"/>
        <v>1.5331794013861146</v>
      </c>
      <c r="AQ106" s="97" t="str">
        <f t="shared" si="187"/>
        <v>Rhyolite</v>
      </c>
      <c r="AR106" s="73">
        <f t="shared" si="188"/>
        <v>82.908064336763616</v>
      </c>
      <c r="AS106" s="73">
        <f t="shared" si="189"/>
        <v>0</v>
      </c>
      <c r="AT106" s="73">
        <f t="shared" si="190"/>
        <v>5.7119526924148165E-2</v>
      </c>
      <c r="AU106" s="73">
        <f t="shared" si="191"/>
        <v>0</v>
      </c>
      <c r="AV106" s="73">
        <f t="shared" si="192"/>
        <v>7.993068362311968</v>
      </c>
      <c r="AW106" s="73">
        <f t="shared" si="193"/>
        <v>0</v>
      </c>
      <c r="AX106" s="73">
        <f t="shared" si="194"/>
        <v>0.15514551197149712</v>
      </c>
      <c r="AY106" s="73">
        <f t="shared" si="195"/>
        <v>0.7622296787038727</v>
      </c>
      <c r="AZ106" s="73">
        <f t="shared" si="196"/>
        <v>0</v>
      </c>
      <c r="BA106" s="73">
        <f t="shared" si="197"/>
        <v>9.7044693650765915E-2</v>
      </c>
      <c r="BB106" s="73">
        <f t="shared" si="198"/>
        <v>0.48828639813546054</v>
      </c>
      <c r="BC106" s="73">
        <f t="shared" si="199"/>
        <v>0</v>
      </c>
      <c r="BD106" s="73">
        <f t="shared" si="200"/>
        <v>0</v>
      </c>
      <c r="BE106" s="73">
        <f t="shared" si="201"/>
        <v>0</v>
      </c>
      <c r="BF106" s="73">
        <f t="shared" si="202"/>
        <v>0</v>
      </c>
      <c r="BG106" s="73">
        <f t="shared" si="203"/>
        <v>4.2076708627109554</v>
      </c>
      <c r="BH106" s="73">
        <f t="shared" si="204"/>
        <v>3.3221839499468149</v>
      </c>
      <c r="BI106" s="73">
        <f t="shared" si="205"/>
        <v>0</v>
      </c>
      <c r="BJ106" s="73">
        <f t="shared" si="206"/>
        <v>0</v>
      </c>
      <c r="BK106" s="73">
        <f t="shared" si="207"/>
        <v>9.1866788808942154E-3</v>
      </c>
      <c r="BL106" s="73">
        <f t="shared" si="208"/>
        <v>0</v>
      </c>
      <c r="BM106" s="73">
        <f t="shared" si="209"/>
        <v>0</v>
      </c>
      <c r="BN106" s="73">
        <f t="shared" si="210"/>
        <v>0</v>
      </c>
      <c r="BQ106">
        <f t="shared" si="260"/>
        <v>49.811165053527581</v>
      </c>
      <c r="BR106">
        <f t="shared" si="261"/>
        <v>0</v>
      </c>
      <c r="BS106">
        <f t="shared" si="262"/>
        <v>4.5638502012394389E-2</v>
      </c>
      <c r="BT106">
        <f t="shared" si="263"/>
        <v>0</v>
      </c>
      <c r="BU106">
        <f t="shared" si="264"/>
        <v>8.1497325022132827</v>
      </c>
      <c r="BV106">
        <f t="shared" si="265"/>
        <v>0</v>
      </c>
      <c r="BW106">
        <f t="shared" si="266"/>
        <v>0.24775186806728375</v>
      </c>
      <c r="BX106">
        <f t="shared" si="267"/>
        <v>0.54766202414873255</v>
      </c>
      <c r="BY106">
        <f t="shared" si="268"/>
        <v>0</v>
      </c>
      <c r="BZ106">
        <f t="shared" si="269"/>
        <v>3.9118716010623743E-2</v>
      </c>
      <c r="CA106">
        <f t="shared" si="270"/>
        <v>0.27383101207436628</v>
      </c>
      <c r="CB106">
        <f t="shared" si="271"/>
        <v>0</v>
      </c>
      <c r="CC106">
        <f t="shared" si="272"/>
        <v>0</v>
      </c>
      <c r="CD106">
        <f t="shared" si="273"/>
        <v>0</v>
      </c>
      <c r="CE106">
        <f t="shared" si="274"/>
        <v>0</v>
      </c>
      <c r="CF106">
        <f t="shared" si="275"/>
        <v>2.6079144007082502</v>
      </c>
      <c r="CG106">
        <f t="shared" si="276"/>
        <v>3.1294972808499</v>
      </c>
      <c r="CH106">
        <f t="shared" si="277"/>
        <v>0</v>
      </c>
      <c r="CI106">
        <f t="shared" si="278"/>
        <v>0</v>
      </c>
      <c r="CJ106">
        <f t="shared" si="279"/>
        <v>1.303957200354125E-2</v>
      </c>
      <c r="CK106">
        <f t="shared" si="280"/>
        <v>0</v>
      </c>
      <c r="CL106">
        <f t="shared" si="281"/>
        <v>0</v>
      </c>
      <c r="CN106">
        <f t="shared" si="236"/>
        <v>64.865350931615964</v>
      </c>
      <c r="CP106">
        <f t="shared" si="237"/>
        <v>2.4872419301029085</v>
      </c>
      <c r="CQ106">
        <f t="shared" si="238"/>
        <v>0</v>
      </c>
      <c r="CR106">
        <f t="shared" si="239"/>
        <v>1.7135858077244452E-3</v>
      </c>
      <c r="CS106">
        <f t="shared" si="240"/>
        <v>0</v>
      </c>
      <c r="CT106">
        <f t="shared" si="241"/>
        <v>0.3996534181155984</v>
      </c>
      <c r="CU106">
        <f t="shared" si="242"/>
        <v>0</v>
      </c>
      <c r="CV106">
        <f t="shared" si="243"/>
        <v>7.7572755985748556E-3</v>
      </c>
      <c r="CW106">
        <f t="shared" si="244"/>
        <v>1.5244593574077455E-2</v>
      </c>
      <c r="CX106">
        <f t="shared" si="245"/>
        <v>0</v>
      </c>
      <c r="CY106">
        <f t="shared" si="246"/>
        <v>1.9408938730153182E-3</v>
      </c>
      <c r="CZ106">
        <f t="shared" si="247"/>
        <v>9.765727962709211E-3</v>
      </c>
      <c r="DA106">
        <f t="shared" si="248"/>
        <v>0</v>
      </c>
      <c r="DB106">
        <f t="shared" si="249"/>
        <v>0</v>
      </c>
      <c r="DC106">
        <f t="shared" si="250"/>
        <v>0</v>
      </c>
      <c r="DD106">
        <f t="shared" si="251"/>
        <v>0</v>
      </c>
      <c r="DE106">
        <f t="shared" si="252"/>
        <v>0.12623012588132868</v>
      </c>
      <c r="DF106">
        <f t="shared" si="253"/>
        <v>9.9665518498404451E-2</v>
      </c>
      <c r="DG106">
        <f t="shared" si="254"/>
        <v>0</v>
      </c>
      <c r="DH106">
        <f t="shared" si="255"/>
        <v>0</v>
      </c>
      <c r="DI106">
        <f t="shared" si="256"/>
        <v>6.4306752166259516E-4</v>
      </c>
      <c r="DJ106">
        <f t="shared" si="257"/>
        <v>0</v>
      </c>
      <c r="DK106">
        <f t="shared" si="258"/>
        <v>0</v>
      </c>
      <c r="DM106">
        <f t="shared" si="259"/>
        <v>3.1498561369360041</v>
      </c>
    </row>
    <row r="107" spans="1:117">
      <c r="A107" s="117" t="s">
        <v>322</v>
      </c>
      <c r="B107" s="117" t="s">
        <v>323</v>
      </c>
      <c r="C107" s="117">
        <v>2.3820000000000001</v>
      </c>
      <c r="F107" s="117">
        <v>5825</v>
      </c>
      <c r="G107" s="117">
        <v>3603</v>
      </c>
      <c r="H107" s="43">
        <f t="shared" si="181"/>
        <v>2.2012848534179428E+22</v>
      </c>
      <c r="I107" s="43">
        <f t="shared" si="182"/>
        <v>6.9379708734114305E+22</v>
      </c>
      <c r="J107" s="42">
        <f t="shared" si="183"/>
        <v>80.822748750000002</v>
      </c>
      <c r="K107" s="42">
        <f t="shared" si="211"/>
        <v>30.922192637999999</v>
      </c>
      <c r="L107" s="42">
        <f t="shared" si="212"/>
        <v>90.973450892363886</v>
      </c>
      <c r="M107" s="79">
        <f t="shared" si="184"/>
        <v>87.115027410441272</v>
      </c>
      <c r="O107" s="52" t="str">
        <f t="shared" si="185"/>
        <v>Rhyolite</v>
      </c>
      <c r="P107" s="117">
        <v>73.705179282868514</v>
      </c>
      <c r="R107" s="117">
        <v>0.25896414342629476</v>
      </c>
      <c r="T107" s="117">
        <v>13.844621513944222</v>
      </c>
      <c r="V107" s="117">
        <v>0.39840637450199196</v>
      </c>
      <c r="W107" s="117">
        <v>1.2948207171314738</v>
      </c>
      <c r="X107" s="117">
        <v>0</v>
      </c>
      <c r="Y107" s="117">
        <v>0.2788844621513944</v>
      </c>
      <c r="Z107" s="117">
        <v>1.1952191235059757</v>
      </c>
      <c r="AE107" s="117">
        <v>4.0836653386454174</v>
      </c>
      <c r="AF107" s="117">
        <v>4.482071713147409</v>
      </c>
      <c r="AI107" s="117">
        <v>5.9760956175298793E-2</v>
      </c>
      <c r="AM107" s="86">
        <f t="shared" si="213"/>
        <v>99.601593625497983</v>
      </c>
      <c r="AO107" s="71">
        <f t="shared" si="178"/>
        <v>1.5284453949037891</v>
      </c>
      <c r="AQ107" s="97" t="str">
        <f t="shared" si="187"/>
        <v>Rhyolite</v>
      </c>
      <c r="AR107" s="73">
        <f t="shared" si="188"/>
        <v>80.263511335187502</v>
      </c>
      <c r="AS107" s="73">
        <f t="shared" si="189"/>
        <v>0</v>
      </c>
      <c r="AT107" s="73">
        <f t="shared" si="190"/>
        <v>0.21205227105921201</v>
      </c>
      <c r="AU107" s="73">
        <f t="shared" si="191"/>
        <v>0</v>
      </c>
      <c r="AV107" s="73">
        <f t="shared" si="192"/>
        <v>8.8838523689935549</v>
      </c>
      <c r="AW107" s="73">
        <f t="shared" si="193"/>
        <v>0</v>
      </c>
      <c r="AX107" s="73">
        <f t="shared" si="194"/>
        <v>0.16322949231088157</v>
      </c>
      <c r="AY107" s="73">
        <f t="shared" si="195"/>
        <v>1.1790519455553961</v>
      </c>
      <c r="AZ107" s="73">
        <f t="shared" si="196"/>
        <v>0</v>
      </c>
      <c r="BA107" s="73">
        <f t="shared" si="197"/>
        <v>0.45264902850377758</v>
      </c>
      <c r="BB107" s="73">
        <f t="shared" si="198"/>
        <v>1.3944071483839877</v>
      </c>
      <c r="BC107" s="73">
        <f t="shared" si="199"/>
        <v>0</v>
      </c>
      <c r="BD107" s="73">
        <f t="shared" si="200"/>
        <v>0</v>
      </c>
      <c r="BE107" s="73">
        <f t="shared" si="201"/>
        <v>0</v>
      </c>
      <c r="BF107" s="73">
        <f t="shared" si="202"/>
        <v>0</v>
      </c>
      <c r="BG107" s="73">
        <f t="shared" si="203"/>
        <v>4.3107083846083896</v>
      </c>
      <c r="BH107" s="73">
        <f t="shared" si="204"/>
        <v>3.1129917548317683</v>
      </c>
      <c r="BI107" s="73">
        <f t="shared" si="205"/>
        <v>0</v>
      </c>
      <c r="BJ107" s="73">
        <f t="shared" si="206"/>
        <v>0</v>
      </c>
      <c r="BK107" s="73">
        <f t="shared" si="207"/>
        <v>2.7546270565511496E-2</v>
      </c>
      <c r="BL107" s="73">
        <f t="shared" si="208"/>
        <v>0</v>
      </c>
      <c r="BM107" s="73">
        <f t="shared" si="209"/>
        <v>0</v>
      </c>
      <c r="BN107" s="73">
        <f t="shared" si="210"/>
        <v>0</v>
      </c>
      <c r="BQ107">
        <f t="shared" si="260"/>
        <v>48.222317610180646</v>
      </c>
      <c r="BR107">
        <f t="shared" si="261"/>
        <v>0</v>
      </c>
      <c r="BS107">
        <f t="shared" si="262"/>
        <v>0.1694297645763104</v>
      </c>
      <c r="BT107">
        <f t="shared" si="263"/>
        <v>0</v>
      </c>
      <c r="BU107">
        <f t="shared" si="264"/>
        <v>9.0579758754258286</v>
      </c>
      <c r="BV107">
        <f t="shared" si="265"/>
        <v>0</v>
      </c>
      <c r="BW107">
        <f t="shared" si="266"/>
        <v>0.2606611762712468</v>
      </c>
      <c r="BX107">
        <f t="shared" si="267"/>
        <v>0.84714882288155202</v>
      </c>
      <c r="BY107">
        <f t="shared" si="268"/>
        <v>0</v>
      </c>
      <c r="BZ107">
        <f t="shared" si="269"/>
        <v>0.18246282338987274</v>
      </c>
      <c r="CA107">
        <f t="shared" si="270"/>
        <v>0.78198352881374023</v>
      </c>
      <c r="CB107">
        <f t="shared" si="271"/>
        <v>0</v>
      </c>
      <c r="CC107">
        <f t="shared" si="272"/>
        <v>0</v>
      </c>
      <c r="CD107">
        <f t="shared" si="273"/>
        <v>0</v>
      </c>
      <c r="CE107">
        <f t="shared" si="274"/>
        <v>0</v>
      </c>
      <c r="CF107">
        <f t="shared" si="275"/>
        <v>2.6717770567802797</v>
      </c>
      <c r="CG107">
        <f t="shared" si="276"/>
        <v>2.932438233051526</v>
      </c>
      <c r="CH107">
        <f t="shared" si="277"/>
        <v>0</v>
      </c>
      <c r="CI107">
        <f t="shared" si="278"/>
        <v>0</v>
      </c>
      <c r="CJ107">
        <f t="shared" si="279"/>
        <v>3.9099176440687021E-2</v>
      </c>
      <c r="CK107">
        <f t="shared" si="280"/>
        <v>0</v>
      </c>
      <c r="CL107">
        <f t="shared" si="281"/>
        <v>0</v>
      </c>
      <c r="CN107">
        <f t="shared" si="236"/>
        <v>65.165294067811686</v>
      </c>
      <c r="CP107">
        <f t="shared" si="237"/>
        <v>2.407905340055625</v>
      </c>
      <c r="CQ107">
        <f t="shared" si="238"/>
        <v>0</v>
      </c>
      <c r="CR107">
        <f t="shared" si="239"/>
        <v>6.3615681317763604E-3</v>
      </c>
      <c r="CS107">
        <f t="shared" si="240"/>
        <v>0</v>
      </c>
      <c r="CT107">
        <f t="shared" si="241"/>
        <v>0.44419261844967778</v>
      </c>
      <c r="CU107">
        <f t="shared" si="242"/>
        <v>0</v>
      </c>
      <c r="CV107">
        <f t="shared" si="243"/>
        <v>8.1614746155440794E-3</v>
      </c>
      <c r="CW107">
        <f t="shared" si="244"/>
        <v>2.358103891110792E-2</v>
      </c>
      <c r="CX107">
        <f t="shared" si="245"/>
        <v>0</v>
      </c>
      <c r="CY107">
        <f t="shared" si="246"/>
        <v>9.0529805700755514E-3</v>
      </c>
      <c r="CZ107">
        <f t="shared" si="247"/>
        <v>2.7888142967679753E-2</v>
      </c>
      <c r="DA107">
        <f t="shared" si="248"/>
        <v>0</v>
      </c>
      <c r="DB107">
        <f t="shared" si="249"/>
        <v>0</v>
      </c>
      <c r="DC107">
        <f t="shared" si="250"/>
        <v>0</v>
      </c>
      <c r="DD107">
        <f t="shared" si="251"/>
        <v>0</v>
      </c>
      <c r="DE107">
        <f t="shared" si="252"/>
        <v>0.12932125153825169</v>
      </c>
      <c r="DF107">
        <f t="shared" si="253"/>
        <v>9.3389752644953056E-2</v>
      </c>
      <c r="DG107">
        <f t="shared" si="254"/>
        <v>0</v>
      </c>
      <c r="DH107">
        <f t="shared" si="255"/>
        <v>0</v>
      </c>
      <c r="DI107">
        <f t="shared" si="256"/>
        <v>1.9282389395858049E-3</v>
      </c>
      <c r="DJ107">
        <f t="shared" si="257"/>
        <v>0</v>
      </c>
      <c r="DK107">
        <f t="shared" si="258"/>
        <v>0</v>
      </c>
      <c r="DM107">
        <f t="shared" si="259"/>
        <v>3.1517824068242768</v>
      </c>
    </row>
    <row r="108" spans="1:117">
      <c r="A108" s="117" t="s">
        <v>322</v>
      </c>
      <c r="B108" s="117" t="s">
        <v>324</v>
      </c>
      <c r="C108" s="117">
        <v>2.371</v>
      </c>
      <c r="F108" s="117">
        <v>5810</v>
      </c>
      <c r="G108" s="117">
        <v>3567</v>
      </c>
      <c r="H108" s="43">
        <f t="shared" si="181"/>
        <v>2.1750233525390108E+22</v>
      </c>
      <c r="I108" s="43">
        <f t="shared" si="182"/>
        <v>6.9030335696213694E+22</v>
      </c>
      <c r="J108" s="42">
        <f t="shared" si="183"/>
        <v>80.035713099999995</v>
      </c>
      <c r="K108" s="42">
        <f t="shared" si="211"/>
        <v>30.167392418999999</v>
      </c>
      <c r="L108" s="42">
        <f t="shared" si="212"/>
        <v>88.73044240517082</v>
      </c>
      <c r="M108" s="79">
        <f t="shared" si="184"/>
        <v>84.879086084030135</v>
      </c>
      <c r="O108" s="52" t="str">
        <f t="shared" si="185"/>
        <v xml:space="preserve">Rhyolite </v>
      </c>
      <c r="P108" s="117">
        <v>73.39817507269629</v>
      </c>
      <c r="R108" s="117">
        <v>0.3609746315050637</v>
      </c>
      <c r="T108" s="117">
        <v>14.43898526020255</v>
      </c>
      <c r="V108" s="117">
        <v>1.7046024265516897</v>
      </c>
      <c r="W108" s="117">
        <v>0.84227414017848201</v>
      </c>
      <c r="X108" s="117">
        <v>0.11029780407099168</v>
      </c>
      <c r="Y108" s="117">
        <v>0.35094755840770081</v>
      </c>
      <c r="Z108" s="117">
        <v>1.2032487716835456</v>
      </c>
      <c r="AE108" s="117">
        <v>3.3089341221297501</v>
      </c>
      <c r="AF108" s="117">
        <v>3.6097463150506375</v>
      </c>
      <c r="AI108" s="117">
        <v>7.0189511681540181E-2</v>
      </c>
      <c r="AM108" s="86">
        <f t="shared" si="213"/>
        <v>99.39837561415824</v>
      </c>
      <c r="AO108" s="71">
        <f t="shared" si="178"/>
        <v>1.5141217909515625</v>
      </c>
      <c r="AQ108" s="97" t="str">
        <f t="shared" si="187"/>
        <v xml:space="preserve">Rhyolite </v>
      </c>
      <c r="AR108" s="73">
        <f t="shared" si="188"/>
        <v>80.68532046013631</v>
      </c>
      <c r="AS108" s="73">
        <f t="shared" si="189"/>
        <v>0</v>
      </c>
      <c r="AT108" s="73">
        <f t="shared" si="190"/>
        <v>0.29837957610404331</v>
      </c>
      <c r="AU108" s="73">
        <f t="shared" si="191"/>
        <v>0</v>
      </c>
      <c r="AV108" s="73">
        <f t="shared" si="192"/>
        <v>9.3528945196991238</v>
      </c>
      <c r="AW108" s="73">
        <f t="shared" si="193"/>
        <v>0</v>
      </c>
      <c r="AX108" s="73">
        <f t="shared" si="194"/>
        <v>0.70499262150646402</v>
      </c>
      <c r="AY108" s="73">
        <f t="shared" si="195"/>
        <v>0.77422267183944082</v>
      </c>
      <c r="AZ108" s="73">
        <f t="shared" si="196"/>
        <v>0.10268685956749198</v>
      </c>
      <c r="BA108" s="73">
        <f t="shared" si="197"/>
        <v>0.57500102302637701</v>
      </c>
      <c r="BB108" s="73">
        <f t="shared" si="198"/>
        <v>1.4170546915545092</v>
      </c>
      <c r="BC108" s="73">
        <f t="shared" si="199"/>
        <v>0</v>
      </c>
      <c r="BD108" s="73">
        <f t="shared" si="200"/>
        <v>0</v>
      </c>
      <c r="BE108" s="73">
        <f t="shared" si="201"/>
        <v>0</v>
      </c>
      <c r="BF108" s="73">
        <f t="shared" si="202"/>
        <v>0</v>
      </c>
      <c r="BG108" s="73">
        <f t="shared" si="203"/>
        <v>3.5259466687889058</v>
      </c>
      <c r="BH108" s="73">
        <f t="shared" si="204"/>
        <v>2.5308416274642318</v>
      </c>
      <c r="BI108" s="73">
        <f t="shared" si="205"/>
        <v>0</v>
      </c>
      <c r="BJ108" s="73">
        <f t="shared" si="206"/>
        <v>0</v>
      </c>
      <c r="BK108" s="73">
        <f t="shared" si="207"/>
        <v>3.265928031308054E-2</v>
      </c>
      <c r="BL108" s="73">
        <f t="shared" si="208"/>
        <v>0</v>
      </c>
      <c r="BM108" s="73">
        <f t="shared" si="209"/>
        <v>0</v>
      </c>
      <c r="BN108" s="73">
        <f t="shared" si="210"/>
        <v>0</v>
      </c>
      <c r="BQ108">
        <f t="shared" si="260"/>
        <v>48.475740532449898</v>
      </c>
      <c r="BR108">
        <f t="shared" si="261"/>
        <v>0</v>
      </c>
      <c r="BS108">
        <f t="shared" si="262"/>
        <v>0.23840528130713062</v>
      </c>
      <c r="BT108">
        <f t="shared" si="263"/>
        <v>0</v>
      </c>
      <c r="BU108">
        <f t="shared" si="264"/>
        <v>9.5362112522852254</v>
      </c>
      <c r="BV108">
        <f t="shared" si="265"/>
        <v>0</v>
      </c>
      <c r="BW108">
        <f t="shared" si="266"/>
        <v>1.1258027172836724</v>
      </c>
      <c r="BX108">
        <f t="shared" si="267"/>
        <v>0.55627898971663814</v>
      </c>
      <c r="BY108">
        <f t="shared" si="268"/>
        <v>7.2846058177178805E-2</v>
      </c>
      <c r="BZ108">
        <f t="shared" si="269"/>
        <v>0.23178291238193258</v>
      </c>
      <c r="CA108">
        <f t="shared" si="270"/>
        <v>0.79468427102376871</v>
      </c>
      <c r="CB108">
        <f t="shared" si="271"/>
        <v>0</v>
      </c>
      <c r="CC108">
        <f t="shared" si="272"/>
        <v>0</v>
      </c>
      <c r="CD108">
        <f t="shared" si="273"/>
        <v>0</v>
      </c>
      <c r="CE108">
        <f t="shared" si="274"/>
        <v>0</v>
      </c>
      <c r="CF108">
        <f t="shared" si="275"/>
        <v>2.1853817453153641</v>
      </c>
      <c r="CG108">
        <f t="shared" si="276"/>
        <v>2.3840528130713068</v>
      </c>
      <c r="CH108">
        <f t="shared" si="277"/>
        <v>0</v>
      </c>
      <c r="CI108">
        <f t="shared" si="278"/>
        <v>0</v>
      </c>
      <c r="CJ108">
        <f t="shared" si="279"/>
        <v>4.6356582476386521E-2</v>
      </c>
      <c r="CK108">
        <f t="shared" si="280"/>
        <v>0</v>
      </c>
      <c r="CL108">
        <f t="shared" si="281"/>
        <v>0</v>
      </c>
      <c r="CN108">
        <f t="shared" si="236"/>
        <v>65.647543155488506</v>
      </c>
      <c r="CP108">
        <f t="shared" si="237"/>
        <v>2.4205596138040892</v>
      </c>
      <c r="CQ108">
        <f t="shared" si="238"/>
        <v>0</v>
      </c>
      <c r="CR108">
        <f t="shared" si="239"/>
        <v>8.9513872831212989E-3</v>
      </c>
      <c r="CS108">
        <f t="shared" si="240"/>
        <v>0</v>
      </c>
      <c r="CT108">
        <f t="shared" si="241"/>
        <v>0.46764472598495616</v>
      </c>
      <c r="CU108">
        <f t="shared" si="242"/>
        <v>0</v>
      </c>
      <c r="CV108">
        <f t="shared" si="243"/>
        <v>3.5249631075323203E-2</v>
      </c>
      <c r="CW108">
        <f t="shared" si="244"/>
        <v>1.5484453436788816E-2</v>
      </c>
      <c r="CX108">
        <f t="shared" si="245"/>
        <v>2.0537371913498395E-3</v>
      </c>
      <c r="CY108">
        <f t="shared" si="246"/>
        <v>1.1500020460527539E-2</v>
      </c>
      <c r="CZ108">
        <f t="shared" si="247"/>
        <v>2.8341093831090184E-2</v>
      </c>
      <c r="DA108">
        <f t="shared" si="248"/>
        <v>0</v>
      </c>
      <c r="DB108">
        <f t="shared" si="249"/>
        <v>0</v>
      </c>
      <c r="DC108">
        <f t="shared" si="250"/>
        <v>0</v>
      </c>
      <c r="DD108">
        <f t="shared" si="251"/>
        <v>0</v>
      </c>
      <c r="DE108">
        <f t="shared" si="252"/>
        <v>0.10577840006366718</v>
      </c>
      <c r="DF108">
        <f t="shared" si="253"/>
        <v>7.5925248823926955E-2</v>
      </c>
      <c r="DG108">
        <f t="shared" si="254"/>
        <v>0</v>
      </c>
      <c r="DH108">
        <f t="shared" si="255"/>
        <v>0</v>
      </c>
      <c r="DI108">
        <f t="shared" si="256"/>
        <v>2.2861496219156378E-3</v>
      </c>
      <c r="DJ108">
        <f t="shared" si="257"/>
        <v>0</v>
      </c>
      <c r="DK108">
        <f t="shared" si="258"/>
        <v>0</v>
      </c>
      <c r="DM108">
        <f t="shared" si="259"/>
        <v>3.1737744615767558</v>
      </c>
    </row>
    <row r="109" spans="1:117">
      <c r="A109" s="117" t="s">
        <v>322</v>
      </c>
      <c r="B109" s="117" t="s">
        <v>318</v>
      </c>
      <c r="C109" s="117">
        <v>2.5710000000000002</v>
      </c>
      <c r="F109" s="117">
        <v>6152</v>
      </c>
      <c r="G109" s="117">
        <v>3616</v>
      </c>
      <c r="H109" s="43">
        <f t="shared" si="181"/>
        <v>2.3136245588196413E+22</v>
      </c>
      <c r="I109" s="43">
        <f t="shared" si="182"/>
        <v>7.2948181931017625E+22</v>
      </c>
      <c r="J109" s="42">
        <f t="shared" si="183"/>
        <v>97.304904383999997</v>
      </c>
      <c r="K109" s="42">
        <f t="shared" si="211"/>
        <v>33.616997376</v>
      </c>
      <c r="L109" s="42">
        <f t="shared" si="212"/>
        <v>98.96635510222923</v>
      </c>
      <c r="M109" s="79">
        <f t="shared" si="184"/>
        <v>94.908759896342232</v>
      </c>
      <c r="O109" s="52" t="str">
        <f t="shared" si="185"/>
        <v>Andesite</v>
      </c>
      <c r="P109" s="117">
        <v>60.478622208871535</v>
      </c>
      <c r="R109" s="117">
        <v>0.7509762691498949</v>
      </c>
      <c r="T109" s="117">
        <v>18.223690798037453</v>
      </c>
      <c r="V109" s="117">
        <v>4.5058576148993694</v>
      </c>
      <c r="W109" s="117">
        <v>2.1027335536197058</v>
      </c>
      <c r="X109" s="117">
        <v>0.22028637228396919</v>
      </c>
      <c r="Y109" s="117">
        <v>2.3029938920596775</v>
      </c>
      <c r="Z109" s="117">
        <v>5.8075498147591871</v>
      </c>
      <c r="AE109" s="117">
        <v>3.0039050765995796</v>
      </c>
      <c r="AF109" s="117">
        <v>1.702212876739762</v>
      </c>
      <c r="AI109" s="117">
        <v>0.22028637228396919</v>
      </c>
      <c r="AM109" s="86">
        <f t="shared" si="213"/>
        <v>99.319114849304086</v>
      </c>
      <c r="AO109" s="71">
        <f t="shared" si="178"/>
        <v>1.4841329315361673</v>
      </c>
      <c r="AQ109" s="97" t="str">
        <f t="shared" si="187"/>
        <v>Andesite</v>
      </c>
      <c r="AR109" s="73">
        <f t="shared" si="188"/>
        <v>67.826461876515154</v>
      </c>
      <c r="AS109" s="73">
        <f t="shared" si="189"/>
        <v>0</v>
      </c>
      <c r="AT109" s="73">
        <f t="shared" si="190"/>
        <v>0.6332958358866988</v>
      </c>
      <c r="AU109" s="73">
        <f t="shared" si="191"/>
        <v>0</v>
      </c>
      <c r="AV109" s="73">
        <f t="shared" si="192"/>
        <v>12.042972912641821</v>
      </c>
      <c r="AW109" s="73">
        <f t="shared" si="193"/>
        <v>0</v>
      </c>
      <c r="AX109" s="73">
        <f t="shared" si="194"/>
        <v>1.9011962159439126</v>
      </c>
      <c r="AY109" s="73">
        <f t="shared" si="195"/>
        <v>1.9718990174609918</v>
      </c>
      <c r="AZ109" s="73">
        <f t="shared" si="196"/>
        <v>0.20922985063840602</v>
      </c>
      <c r="BA109" s="73">
        <f t="shared" si="197"/>
        <v>3.8495253704092822</v>
      </c>
      <c r="BB109" s="73">
        <f t="shared" si="198"/>
        <v>6.9776974861296708</v>
      </c>
      <c r="BC109" s="73">
        <f t="shared" si="199"/>
        <v>0</v>
      </c>
      <c r="BD109" s="73">
        <f t="shared" si="200"/>
        <v>0</v>
      </c>
      <c r="BE109" s="73">
        <f t="shared" si="201"/>
        <v>0</v>
      </c>
      <c r="BF109" s="73">
        <f t="shared" si="202"/>
        <v>0</v>
      </c>
      <c r="BG109" s="73">
        <f t="shared" si="203"/>
        <v>3.2655913060566144</v>
      </c>
      <c r="BH109" s="73">
        <f t="shared" si="204"/>
        <v>1.2175594251732529</v>
      </c>
      <c r="BI109" s="73">
        <f t="shared" si="205"/>
        <v>0</v>
      </c>
      <c r="BJ109" s="73">
        <f t="shared" si="206"/>
        <v>0</v>
      </c>
      <c r="BK109" s="73">
        <f t="shared" si="207"/>
        <v>0.10457070314420545</v>
      </c>
      <c r="BL109" s="73">
        <f t="shared" si="208"/>
        <v>0</v>
      </c>
      <c r="BM109" s="73">
        <f t="shared" si="209"/>
        <v>0</v>
      </c>
      <c r="BN109" s="73">
        <f t="shared" si="210"/>
        <v>0</v>
      </c>
      <c r="BQ109">
        <f t="shared" si="260"/>
        <v>40.750138295410302</v>
      </c>
      <c r="BR109">
        <f t="shared" si="261"/>
        <v>0</v>
      </c>
      <c r="BS109">
        <f t="shared" si="262"/>
        <v>0.50600337287347241</v>
      </c>
      <c r="BT109">
        <f t="shared" si="263"/>
        <v>0</v>
      </c>
      <c r="BU109">
        <f t="shared" si="264"/>
        <v>12.2790151817296</v>
      </c>
      <c r="BV109">
        <f t="shared" si="265"/>
        <v>0</v>
      </c>
      <c r="BW109">
        <f t="shared" si="266"/>
        <v>3.0360202372408338</v>
      </c>
      <c r="BX109">
        <f t="shared" si="267"/>
        <v>1.4168094440457226</v>
      </c>
      <c r="BY109">
        <f t="shared" si="268"/>
        <v>0.14842765604288524</v>
      </c>
      <c r="BZ109">
        <f t="shared" si="269"/>
        <v>1.5517436768119817</v>
      </c>
      <c r="CA109">
        <f t="shared" si="270"/>
        <v>3.9130927502215194</v>
      </c>
      <c r="CB109">
        <f t="shared" si="271"/>
        <v>0</v>
      </c>
      <c r="CC109">
        <f t="shared" si="272"/>
        <v>0</v>
      </c>
      <c r="CD109">
        <f t="shared" si="273"/>
        <v>0</v>
      </c>
      <c r="CE109">
        <f t="shared" si="274"/>
        <v>0</v>
      </c>
      <c r="CF109">
        <f t="shared" si="275"/>
        <v>2.0240134914938896</v>
      </c>
      <c r="CG109">
        <f t="shared" si="276"/>
        <v>1.1469409785132043</v>
      </c>
      <c r="CH109">
        <f t="shared" si="277"/>
        <v>0</v>
      </c>
      <c r="CI109">
        <f t="shared" si="278"/>
        <v>0</v>
      </c>
      <c r="CJ109">
        <f t="shared" si="279"/>
        <v>0.14842765604288521</v>
      </c>
      <c r="CK109">
        <f t="shared" si="280"/>
        <v>0</v>
      </c>
      <c r="CL109">
        <f t="shared" si="281"/>
        <v>0</v>
      </c>
      <c r="CN109">
        <f t="shared" si="236"/>
        <v>66.920632740426285</v>
      </c>
      <c r="CP109">
        <f t="shared" si="237"/>
        <v>2.0347938562954546</v>
      </c>
      <c r="CQ109">
        <f t="shared" si="238"/>
        <v>0</v>
      </c>
      <c r="CR109">
        <f t="shared" si="239"/>
        <v>1.8998875076600964E-2</v>
      </c>
      <c r="CS109">
        <f t="shared" si="240"/>
        <v>0</v>
      </c>
      <c r="CT109">
        <f t="shared" si="241"/>
        <v>0.60214864563209103</v>
      </c>
      <c r="CU109">
        <f t="shared" si="242"/>
        <v>0</v>
      </c>
      <c r="CV109">
        <f t="shared" si="243"/>
        <v>9.5059810797195624E-2</v>
      </c>
      <c r="CW109">
        <f t="shared" si="244"/>
        <v>3.9437980349219838E-2</v>
      </c>
      <c r="CX109">
        <f t="shared" si="245"/>
        <v>4.1845970127681207E-3</v>
      </c>
      <c r="CY109">
        <f t="shared" si="246"/>
        <v>7.6990507408185638E-2</v>
      </c>
      <c r="CZ109">
        <f t="shared" si="247"/>
        <v>0.13955394972259341</v>
      </c>
      <c r="DA109">
        <f t="shared" si="248"/>
        <v>0</v>
      </c>
      <c r="DB109">
        <f t="shared" si="249"/>
        <v>0</v>
      </c>
      <c r="DC109">
        <f t="shared" si="250"/>
        <v>0</v>
      </c>
      <c r="DD109">
        <f t="shared" si="251"/>
        <v>0</v>
      </c>
      <c r="DE109">
        <f t="shared" si="252"/>
        <v>9.7967739181698432E-2</v>
      </c>
      <c r="DF109">
        <f t="shared" si="253"/>
        <v>3.6526782755197586E-2</v>
      </c>
      <c r="DG109">
        <f t="shared" si="254"/>
        <v>0</v>
      </c>
      <c r="DH109">
        <f t="shared" si="255"/>
        <v>0</v>
      </c>
      <c r="DI109">
        <f t="shared" si="256"/>
        <v>7.319949220094382E-3</v>
      </c>
      <c r="DJ109">
        <f t="shared" si="257"/>
        <v>0</v>
      </c>
      <c r="DK109">
        <f t="shared" si="258"/>
        <v>0</v>
      </c>
      <c r="DM109">
        <f t="shared" si="259"/>
        <v>3.1529826934510994</v>
      </c>
    </row>
    <row r="110" spans="1:117">
      <c r="A110" s="117" t="s">
        <v>322</v>
      </c>
      <c r="B110" s="117" t="s">
        <v>319</v>
      </c>
      <c r="C110" s="117">
        <v>2.7770000000000001</v>
      </c>
      <c r="F110" s="117">
        <v>6339</v>
      </c>
      <c r="G110" s="117">
        <v>3625</v>
      </c>
      <c r="H110" s="43">
        <f t="shared" si="181"/>
        <v>2.5062986336902211E+22</v>
      </c>
      <c r="I110" s="43">
        <f t="shared" si="182"/>
        <v>7.6145751377334931E+22</v>
      </c>
      <c r="J110" s="42">
        <f t="shared" si="183"/>
        <v>111.58797161699999</v>
      </c>
      <c r="K110" s="42">
        <f t="shared" si="211"/>
        <v>36.491515624999998</v>
      </c>
      <c r="L110" s="42">
        <f t="shared" si="212"/>
        <v>107.43296084063958</v>
      </c>
      <c r="M110" s="79">
        <f t="shared" si="184"/>
        <v>103.27184610089138</v>
      </c>
      <c r="O110" s="52" t="str">
        <f t="shared" si="185"/>
        <v>Basalt</v>
      </c>
      <c r="P110" s="117">
        <v>49.293657950105199</v>
      </c>
      <c r="R110" s="117">
        <v>1.603045786995291</v>
      </c>
      <c r="T110" s="117">
        <v>16.53140967838894</v>
      </c>
      <c r="V110" s="117">
        <v>7.614467488227632</v>
      </c>
      <c r="W110" s="117">
        <v>4.207995190862639</v>
      </c>
      <c r="X110" s="117">
        <v>0.35066626590521988</v>
      </c>
      <c r="Y110" s="117">
        <v>6.011421701232341</v>
      </c>
      <c r="Z110" s="117">
        <v>9.0171325518485119</v>
      </c>
      <c r="AE110" s="117">
        <v>3.1059012123033765</v>
      </c>
      <c r="AF110" s="117">
        <v>1.4026650636208795</v>
      </c>
      <c r="AI110" s="117">
        <v>0.38072337441138165</v>
      </c>
      <c r="AM110" s="86">
        <f t="shared" si="213"/>
        <v>99.5190862639014</v>
      </c>
      <c r="AO110" s="71">
        <f t="shared" si="178"/>
        <v>1.4914629518894706</v>
      </c>
      <c r="AQ110" s="97" t="str">
        <f t="shared" si="187"/>
        <v>Basalt</v>
      </c>
      <c r="AR110" s="73">
        <f t="shared" si="188"/>
        <v>55.010887718168</v>
      </c>
      <c r="AS110" s="73">
        <f t="shared" si="189"/>
        <v>0</v>
      </c>
      <c r="AT110" s="73">
        <f t="shared" si="190"/>
        <v>1.3451994399941114</v>
      </c>
      <c r="AU110" s="73">
        <f t="shared" si="191"/>
        <v>0</v>
      </c>
      <c r="AV110" s="73">
        <f t="shared" si="192"/>
        <v>10.870952344769012</v>
      </c>
      <c r="AW110" s="73">
        <f t="shared" si="193"/>
        <v>0</v>
      </c>
      <c r="AX110" s="73">
        <f t="shared" si="194"/>
        <v>3.1970493923462038</v>
      </c>
      <c r="AY110" s="73">
        <f t="shared" si="195"/>
        <v>3.9267747744713297</v>
      </c>
      <c r="AZ110" s="73">
        <f t="shared" si="196"/>
        <v>0.33142886893356471</v>
      </c>
      <c r="BA110" s="73">
        <f t="shared" si="197"/>
        <v>9.9988931334218734</v>
      </c>
      <c r="BB110" s="73">
        <f t="shared" si="198"/>
        <v>10.780725273044823</v>
      </c>
      <c r="BC110" s="73">
        <f t="shared" si="199"/>
        <v>0</v>
      </c>
      <c r="BD110" s="73">
        <f t="shared" si="200"/>
        <v>0</v>
      </c>
      <c r="BE110" s="73">
        <f t="shared" si="201"/>
        <v>0</v>
      </c>
      <c r="BF110" s="73">
        <f t="shared" si="202"/>
        <v>0</v>
      </c>
      <c r="BG110" s="73">
        <f t="shared" si="203"/>
        <v>3.3598786835687076</v>
      </c>
      <c r="BH110" s="73">
        <f t="shared" si="204"/>
        <v>0.99836789648182933</v>
      </c>
      <c r="BI110" s="73">
        <f t="shared" si="205"/>
        <v>0</v>
      </c>
      <c r="BJ110" s="73">
        <f t="shared" si="206"/>
        <v>0</v>
      </c>
      <c r="BK110" s="73">
        <f t="shared" si="207"/>
        <v>0.17984247480053731</v>
      </c>
      <c r="BL110" s="73">
        <f t="shared" si="208"/>
        <v>0</v>
      </c>
      <c r="BM110" s="73">
        <f t="shared" si="209"/>
        <v>0</v>
      </c>
      <c r="BN110" s="73">
        <f t="shared" si="210"/>
        <v>0</v>
      </c>
      <c r="BQ110">
        <f t="shared" si="260"/>
        <v>33.050541341075331</v>
      </c>
      <c r="BR110">
        <f t="shared" si="261"/>
        <v>0</v>
      </c>
      <c r="BS110">
        <f t="shared" si="262"/>
        <v>1.0748143525552951</v>
      </c>
      <c r="BT110">
        <f t="shared" si="263"/>
        <v>0</v>
      </c>
      <c r="BU110">
        <f t="shared" si="264"/>
        <v>11.084023010726485</v>
      </c>
      <c r="BV110">
        <f t="shared" si="265"/>
        <v>0</v>
      </c>
      <c r="BW110">
        <f t="shared" si="266"/>
        <v>5.1053681746376531</v>
      </c>
      <c r="BX110">
        <f t="shared" si="267"/>
        <v>2.8213876754576503</v>
      </c>
      <c r="BY110">
        <f t="shared" si="268"/>
        <v>0.23511563962147078</v>
      </c>
      <c r="BZ110">
        <f t="shared" si="269"/>
        <v>4.030553822082358</v>
      </c>
      <c r="CA110">
        <f t="shared" si="270"/>
        <v>6.0458307331235357</v>
      </c>
      <c r="CB110">
        <f t="shared" si="271"/>
        <v>0</v>
      </c>
      <c r="CC110">
        <f t="shared" si="272"/>
        <v>0</v>
      </c>
      <c r="CD110">
        <f t="shared" si="273"/>
        <v>0</v>
      </c>
      <c r="CE110">
        <f t="shared" si="274"/>
        <v>0</v>
      </c>
      <c r="CF110">
        <f t="shared" si="275"/>
        <v>2.0824528080758848</v>
      </c>
      <c r="CG110">
        <f t="shared" si="276"/>
        <v>0.94046255848588334</v>
      </c>
      <c r="CH110">
        <f t="shared" si="277"/>
        <v>0</v>
      </c>
      <c r="CI110">
        <f t="shared" si="278"/>
        <v>0</v>
      </c>
      <c r="CJ110">
        <f t="shared" si="279"/>
        <v>0.25526840873188261</v>
      </c>
      <c r="CK110">
        <f t="shared" si="280"/>
        <v>0</v>
      </c>
      <c r="CL110">
        <f t="shared" si="281"/>
        <v>0</v>
      </c>
      <c r="CN110">
        <f t="shared" si="236"/>
        <v>66.725818524573413</v>
      </c>
      <c r="CP110">
        <f t="shared" si="237"/>
        <v>1.65032663154504</v>
      </c>
      <c r="CQ110">
        <f t="shared" si="238"/>
        <v>0</v>
      </c>
      <c r="CR110">
        <f t="shared" si="239"/>
        <v>4.0355983199823336E-2</v>
      </c>
      <c r="CS110">
        <f t="shared" si="240"/>
        <v>0</v>
      </c>
      <c r="CT110">
        <f t="shared" si="241"/>
        <v>0.54354761723845058</v>
      </c>
      <c r="CU110">
        <f t="shared" si="242"/>
        <v>0</v>
      </c>
      <c r="CV110">
        <f t="shared" si="243"/>
        <v>0.1598524696173102</v>
      </c>
      <c r="CW110">
        <f t="shared" si="244"/>
        <v>7.8535495489426593E-2</v>
      </c>
      <c r="CX110">
        <f t="shared" si="245"/>
        <v>6.6285773786712941E-3</v>
      </c>
      <c r="CY110">
        <f t="shared" si="246"/>
        <v>0.19997786266843748</v>
      </c>
      <c r="CZ110">
        <f t="shared" si="247"/>
        <v>0.21561450546089644</v>
      </c>
      <c r="DA110">
        <f t="shared" si="248"/>
        <v>0</v>
      </c>
      <c r="DB110">
        <f t="shared" si="249"/>
        <v>0</v>
      </c>
      <c r="DC110">
        <f t="shared" si="250"/>
        <v>0</v>
      </c>
      <c r="DD110">
        <f t="shared" si="251"/>
        <v>0</v>
      </c>
      <c r="DE110">
        <f t="shared" si="252"/>
        <v>0.10079636050706123</v>
      </c>
      <c r="DF110">
        <f t="shared" si="253"/>
        <v>2.9951036894454882E-2</v>
      </c>
      <c r="DG110">
        <f t="shared" si="254"/>
        <v>0</v>
      </c>
      <c r="DH110">
        <f t="shared" si="255"/>
        <v>0</v>
      </c>
      <c r="DI110">
        <f t="shared" si="256"/>
        <v>1.2588973236037611E-2</v>
      </c>
      <c r="DJ110">
        <f t="shared" si="257"/>
        <v>0</v>
      </c>
      <c r="DK110">
        <f t="shared" si="258"/>
        <v>0</v>
      </c>
      <c r="DM110">
        <f t="shared" si="259"/>
        <v>3.038175513235609</v>
      </c>
    </row>
    <row r="111" spans="1:117" ht="31">
      <c r="A111" s="117" t="s">
        <v>325</v>
      </c>
      <c r="B111" s="117" t="s">
        <v>320</v>
      </c>
      <c r="C111" s="117">
        <v>2.407</v>
      </c>
      <c r="F111" s="117">
        <v>5578</v>
      </c>
      <c r="G111" s="117">
        <v>3393</v>
      </c>
      <c r="H111" s="43">
        <f t="shared" si="181"/>
        <v>2.2584954410718401E+22</v>
      </c>
      <c r="I111" s="43">
        <f t="shared" si="182"/>
        <v>7.0845870900058121E+22</v>
      </c>
      <c r="J111" s="42">
        <f t="shared" si="183"/>
        <v>74.891600187999998</v>
      </c>
      <c r="K111" s="42">
        <f t="shared" si="211"/>
        <v>27.710464742999999</v>
      </c>
      <c r="L111" s="42">
        <f t="shared" si="212"/>
        <v>81.291664440389965</v>
      </c>
      <c r="M111" s="79">
        <f t="shared" si="184"/>
        <v>77.360412661074633</v>
      </c>
      <c r="O111" s="52" t="str">
        <f t="shared" si="185"/>
        <v>Haplogranite</v>
      </c>
      <c r="P111" s="117">
        <v>72.097209720972089</v>
      </c>
      <c r="R111" s="117">
        <v>0</v>
      </c>
      <c r="T111" s="117">
        <v>10.871087108710869</v>
      </c>
      <c r="V111" s="117">
        <v>0</v>
      </c>
      <c r="W111" s="117">
        <v>0</v>
      </c>
      <c r="X111" s="117">
        <v>0</v>
      </c>
      <c r="Y111" s="117">
        <v>0</v>
      </c>
      <c r="Z111" s="117">
        <v>0</v>
      </c>
      <c r="AE111" s="117">
        <v>12.801280128012801</v>
      </c>
      <c r="AF111" s="117">
        <v>4.2304230423042304</v>
      </c>
      <c r="AI111" s="117">
        <v>0</v>
      </c>
      <c r="AM111" s="86">
        <f t="shared" si="213"/>
        <v>99.999999999999986</v>
      </c>
      <c r="AO111" s="71">
        <f t="shared" si="178"/>
        <v>1.5580890678138288</v>
      </c>
      <c r="AQ111" s="97" t="str">
        <f t="shared" si="187"/>
        <v>Haplogranite</v>
      </c>
      <c r="AR111" s="73">
        <f t="shared" si="188"/>
        <v>77.01871221348533</v>
      </c>
      <c r="AS111" s="73">
        <f t="shared" si="189"/>
        <v>0</v>
      </c>
      <c r="AT111" s="73">
        <f t="shared" si="190"/>
        <v>0</v>
      </c>
      <c r="AU111" s="73">
        <f t="shared" si="191"/>
        <v>0</v>
      </c>
      <c r="AV111" s="73">
        <f t="shared" si="192"/>
        <v>6.8430682030422583</v>
      </c>
      <c r="AW111" s="73">
        <f t="shared" si="193"/>
        <v>0</v>
      </c>
      <c r="AX111" s="73">
        <f t="shared" si="194"/>
        <v>0</v>
      </c>
      <c r="AY111" s="73">
        <f t="shared" si="195"/>
        <v>0</v>
      </c>
      <c r="AZ111" s="73">
        <f t="shared" si="196"/>
        <v>0</v>
      </c>
      <c r="BA111" s="73">
        <f t="shared" si="197"/>
        <v>0</v>
      </c>
      <c r="BB111" s="73">
        <f t="shared" si="198"/>
        <v>0</v>
      </c>
      <c r="BC111" s="73">
        <f t="shared" si="199"/>
        <v>0</v>
      </c>
      <c r="BD111" s="73">
        <f t="shared" si="200"/>
        <v>0</v>
      </c>
      <c r="BE111" s="73">
        <f t="shared" si="201"/>
        <v>0</v>
      </c>
      <c r="BF111" s="73">
        <f t="shared" si="202"/>
        <v>0</v>
      </c>
      <c r="BG111" s="73">
        <f t="shared" si="203"/>
        <v>13.255910065911422</v>
      </c>
      <c r="BH111" s="73">
        <f t="shared" si="204"/>
        <v>2.8823095175610018</v>
      </c>
      <c r="BI111" s="73">
        <f t="shared" si="205"/>
        <v>0</v>
      </c>
      <c r="BJ111" s="73">
        <f t="shared" si="206"/>
        <v>0</v>
      </c>
      <c r="BK111" s="73">
        <f t="shared" si="207"/>
        <v>0</v>
      </c>
      <c r="BL111" s="73">
        <f t="shared" si="208"/>
        <v>0</v>
      </c>
      <c r="BM111" s="73">
        <f t="shared" si="209"/>
        <v>0</v>
      </c>
      <c r="BN111" s="73">
        <f t="shared" si="210"/>
        <v>0</v>
      </c>
      <c r="BQ111">
        <f t="shared" si="260"/>
        <v>46.272842297861985</v>
      </c>
      <c r="BR111">
        <f t="shared" si="261"/>
        <v>0</v>
      </c>
      <c r="BS111">
        <f t="shared" si="262"/>
        <v>0</v>
      </c>
      <c r="BT111">
        <f t="shared" si="263"/>
        <v>0</v>
      </c>
      <c r="BU111">
        <f t="shared" si="264"/>
        <v>6.9771923398218867</v>
      </c>
      <c r="BV111">
        <f t="shared" si="265"/>
        <v>0</v>
      </c>
      <c r="BW111">
        <f t="shared" si="266"/>
        <v>0</v>
      </c>
      <c r="BX111">
        <f t="shared" si="267"/>
        <v>0</v>
      </c>
      <c r="BY111">
        <f t="shared" si="268"/>
        <v>0</v>
      </c>
      <c r="BZ111">
        <f t="shared" si="269"/>
        <v>0</v>
      </c>
      <c r="CA111">
        <f t="shared" si="270"/>
        <v>0</v>
      </c>
      <c r="CB111">
        <f t="shared" si="271"/>
        <v>0</v>
      </c>
      <c r="CC111">
        <f t="shared" si="272"/>
        <v>0</v>
      </c>
      <c r="CD111">
        <f t="shared" si="273"/>
        <v>0</v>
      </c>
      <c r="CE111">
        <f t="shared" si="274"/>
        <v>0</v>
      </c>
      <c r="CF111">
        <f t="shared" si="275"/>
        <v>8.2160130588518996</v>
      </c>
      <c r="CG111">
        <f t="shared" si="276"/>
        <v>2.715135565542464</v>
      </c>
      <c r="CH111">
        <f t="shared" si="277"/>
        <v>0</v>
      </c>
      <c r="CI111">
        <f t="shared" si="278"/>
        <v>0</v>
      </c>
      <c r="CJ111">
        <f t="shared" si="279"/>
        <v>0</v>
      </c>
      <c r="CK111">
        <f t="shared" si="280"/>
        <v>0</v>
      </c>
      <c r="CL111">
        <f t="shared" si="281"/>
        <v>0</v>
      </c>
      <c r="CN111">
        <f t="shared" si="236"/>
        <v>64.181183262078235</v>
      </c>
      <c r="CP111">
        <f t="shared" si="237"/>
        <v>2.3105613664045599</v>
      </c>
      <c r="CQ111">
        <f t="shared" si="238"/>
        <v>0</v>
      </c>
      <c r="CR111">
        <f t="shared" si="239"/>
        <v>0</v>
      </c>
      <c r="CS111">
        <f t="shared" si="240"/>
        <v>0</v>
      </c>
      <c r="CT111">
        <f t="shared" si="241"/>
        <v>0.34215341015211292</v>
      </c>
      <c r="CU111">
        <f t="shared" si="242"/>
        <v>0</v>
      </c>
      <c r="CV111">
        <f t="shared" si="243"/>
        <v>0</v>
      </c>
      <c r="CW111">
        <f t="shared" si="244"/>
        <v>0</v>
      </c>
      <c r="CX111">
        <f t="shared" si="245"/>
        <v>0</v>
      </c>
      <c r="CY111">
        <f t="shared" si="246"/>
        <v>0</v>
      </c>
      <c r="CZ111">
        <f t="shared" si="247"/>
        <v>0</v>
      </c>
      <c r="DA111">
        <f t="shared" si="248"/>
        <v>0</v>
      </c>
      <c r="DB111">
        <f t="shared" si="249"/>
        <v>0</v>
      </c>
      <c r="DC111">
        <f t="shared" si="250"/>
        <v>0</v>
      </c>
      <c r="DD111">
        <f t="shared" si="251"/>
        <v>0</v>
      </c>
      <c r="DE111">
        <f t="shared" si="252"/>
        <v>0.39767730197734263</v>
      </c>
      <c r="DF111">
        <f t="shared" si="253"/>
        <v>8.6469285526830059E-2</v>
      </c>
      <c r="DG111">
        <f t="shared" si="254"/>
        <v>0</v>
      </c>
      <c r="DH111">
        <f t="shared" si="255"/>
        <v>0</v>
      </c>
      <c r="DI111">
        <f t="shared" si="256"/>
        <v>0</v>
      </c>
      <c r="DJ111">
        <f t="shared" si="257"/>
        <v>0</v>
      </c>
      <c r="DK111">
        <f t="shared" si="258"/>
        <v>0</v>
      </c>
      <c r="DM111">
        <f t="shared" si="259"/>
        <v>3.1368613640608451</v>
      </c>
    </row>
    <row r="112" spans="1:117" ht="31">
      <c r="A112" s="117" t="s">
        <v>325</v>
      </c>
      <c r="B112" s="117" t="s">
        <v>320</v>
      </c>
      <c r="C112" s="117">
        <v>2.4689999999999999</v>
      </c>
      <c r="F112" s="117">
        <v>5501</v>
      </c>
      <c r="G112" s="117">
        <v>3279</v>
      </c>
      <c r="H112" s="43">
        <f t="shared" si="181"/>
        <v>2.3233458873971616E+22</v>
      </c>
      <c r="I112" s="43">
        <f t="shared" si="182"/>
        <v>7.2614028053131018E+22</v>
      </c>
      <c r="J112" s="42">
        <f t="shared" si="183"/>
        <v>74.714411468999998</v>
      </c>
      <c r="K112" s="42">
        <f t="shared" si="211"/>
        <v>26.546295428999997</v>
      </c>
      <c r="L112" s="42">
        <f t="shared" si="212"/>
        <v>77.746330433107474</v>
      </c>
      <c r="M112" s="79">
        <f t="shared" si="184"/>
        <v>73.723873659165875</v>
      </c>
      <c r="O112" s="52" t="str">
        <f t="shared" si="185"/>
        <v>Haplogranite</v>
      </c>
      <c r="P112" s="117">
        <v>66.290000000000006</v>
      </c>
      <c r="R112" s="117">
        <v>0</v>
      </c>
      <c r="T112" s="117">
        <v>9.99</v>
      </c>
      <c r="V112" s="117">
        <v>0</v>
      </c>
      <c r="W112" s="117">
        <v>0</v>
      </c>
      <c r="X112" s="117">
        <v>0</v>
      </c>
      <c r="Y112" s="117">
        <v>0</v>
      </c>
      <c r="Z112" s="117">
        <v>0</v>
      </c>
      <c r="AE112" s="117">
        <v>19.829999999999998</v>
      </c>
      <c r="AF112" s="117">
        <v>3.8900000000000006</v>
      </c>
      <c r="AI112" s="117">
        <v>0</v>
      </c>
      <c r="AM112" s="86">
        <f t="shared" si="213"/>
        <v>100</v>
      </c>
      <c r="AO112" s="71">
        <f t="shared" si="178"/>
        <v>1.5625788171182307</v>
      </c>
      <c r="AQ112" s="97" t="str">
        <f t="shared" si="187"/>
        <v>Haplogranite</v>
      </c>
      <c r="AR112" s="73">
        <f t="shared" si="188"/>
        <v>70.611617901608156</v>
      </c>
      <c r="AS112" s="73">
        <f t="shared" si="189"/>
        <v>0</v>
      </c>
      <c r="AT112" s="73">
        <f t="shared" si="190"/>
        <v>0</v>
      </c>
      <c r="AU112" s="73">
        <f t="shared" si="191"/>
        <v>0</v>
      </c>
      <c r="AV112" s="73">
        <f t="shared" si="192"/>
        <v>6.2703780935526545</v>
      </c>
      <c r="AW112" s="73">
        <f t="shared" si="193"/>
        <v>0</v>
      </c>
      <c r="AX112" s="73">
        <f t="shared" si="194"/>
        <v>0</v>
      </c>
      <c r="AY112" s="73">
        <f t="shared" si="195"/>
        <v>0</v>
      </c>
      <c r="AZ112" s="73">
        <f t="shared" si="196"/>
        <v>0</v>
      </c>
      <c r="BA112" s="73">
        <f t="shared" si="197"/>
        <v>0</v>
      </c>
      <c r="BB112" s="73">
        <f t="shared" si="198"/>
        <v>0</v>
      </c>
      <c r="BC112" s="73">
        <f t="shared" si="199"/>
        <v>0</v>
      </c>
      <c r="BD112" s="73">
        <f t="shared" si="200"/>
        <v>0</v>
      </c>
      <c r="BE112" s="73">
        <f t="shared" si="201"/>
        <v>0</v>
      </c>
      <c r="BF112" s="73">
        <f t="shared" si="202"/>
        <v>0</v>
      </c>
      <c r="BG112" s="73">
        <f t="shared" si="203"/>
        <v>20.475249839709672</v>
      </c>
      <c r="BH112" s="73">
        <f t="shared" si="204"/>
        <v>2.6427541651295301</v>
      </c>
      <c r="BI112" s="73">
        <f t="shared" si="205"/>
        <v>0</v>
      </c>
      <c r="BJ112" s="73">
        <f t="shared" si="206"/>
        <v>0</v>
      </c>
      <c r="BK112" s="73">
        <f t="shared" si="207"/>
        <v>0</v>
      </c>
      <c r="BL112" s="73">
        <f t="shared" si="208"/>
        <v>0</v>
      </c>
      <c r="BM112" s="73">
        <f t="shared" si="209"/>
        <v>0</v>
      </c>
      <c r="BN112" s="73">
        <f t="shared" si="210"/>
        <v>0</v>
      </c>
      <c r="BQ112">
        <f t="shared" si="260"/>
        <v>42.423460035286183</v>
      </c>
      <c r="BR112">
        <f t="shared" si="261"/>
        <v>0</v>
      </c>
      <c r="BS112">
        <f t="shared" si="262"/>
        <v>0</v>
      </c>
      <c r="BT112">
        <f t="shared" si="263"/>
        <v>0</v>
      </c>
      <c r="BU112">
        <f t="shared" si="264"/>
        <v>6.3932775041862859</v>
      </c>
      <c r="BV112">
        <f t="shared" si="265"/>
        <v>0</v>
      </c>
      <c r="BW112">
        <f t="shared" si="266"/>
        <v>0</v>
      </c>
      <c r="BX112">
        <f t="shared" si="267"/>
        <v>0</v>
      </c>
      <c r="BY112">
        <f t="shared" si="268"/>
        <v>0</v>
      </c>
      <c r="BZ112">
        <f t="shared" si="269"/>
        <v>0</v>
      </c>
      <c r="CA112">
        <f t="shared" si="270"/>
        <v>0</v>
      </c>
      <c r="CB112">
        <f t="shared" si="271"/>
        <v>0</v>
      </c>
      <c r="CC112">
        <f t="shared" si="272"/>
        <v>0</v>
      </c>
      <c r="CD112">
        <f t="shared" si="273"/>
        <v>0</v>
      </c>
      <c r="CE112">
        <f t="shared" si="274"/>
        <v>0</v>
      </c>
      <c r="CF112">
        <f t="shared" si="275"/>
        <v>12.690559850652054</v>
      </c>
      <c r="CG112">
        <f t="shared" si="276"/>
        <v>2.4894744235520174</v>
      </c>
      <c r="CH112">
        <f t="shared" si="277"/>
        <v>0</v>
      </c>
      <c r="CI112">
        <f t="shared" si="278"/>
        <v>0</v>
      </c>
      <c r="CJ112">
        <f t="shared" si="279"/>
        <v>0</v>
      </c>
      <c r="CK112">
        <f t="shared" si="280"/>
        <v>0</v>
      </c>
      <c r="CL112">
        <f t="shared" si="281"/>
        <v>0</v>
      </c>
      <c r="CN112">
        <f t="shared" si="236"/>
        <v>63.996771813676538</v>
      </c>
      <c r="CP112">
        <f t="shared" si="237"/>
        <v>2.1183485370482447</v>
      </c>
      <c r="CQ112">
        <f t="shared" si="238"/>
        <v>0</v>
      </c>
      <c r="CR112">
        <f t="shared" si="239"/>
        <v>0</v>
      </c>
      <c r="CS112">
        <f t="shared" si="240"/>
        <v>0</v>
      </c>
      <c r="CT112">
        <f t="shared" si="241"/>
        <v>0.31351890467763271</v>
      </c>
      <c r="CU112">
        <f t="shared" si="242"/>
        <v>0</v>
      </c>
      <c r="CV112">
        <f t="shared" si="243"/>
        <v>0</v>
      </c>
      <c r="CW112">
        <f t="shared" si="244"/>
        <v>0</v>
      </c>
      <c r="CX112">
        <f t="shared" si="245"/>
        <v>0</v>
      </c>
      <c r="CY112">
        <f t="shared" si="246"/>
        <v>0</v>
      </c>
      <c r="CZ112">
        <f t="shared" si="247"/>
        <v>0</v>
      </c>
      <c r="DA112">
        <f t="shared" si="248"/>
        <v>0</v>
      </c>
      <c r="DB112">
        <f t="shared" si="249"/>
        <v>0</v>
      </c>
      <c r="DC112">
        <f t="shared" si="250"/>
        <v>0</v>
      </c>
      <c r="DD112">
        <f t="shared" si="251"/>
        <v>0</v>
      </c>
      <c r="DE112">
        <f t="shared" si="252"/>
        <v>0.61425749519129014</v>
      </c>
      <c r="DF112">
        <f t="shared" si="253"/>
        <v>7.9282624953885911E-2</v>
      </c>
      <c r="DG112">
        <f t="shared" si="254"/>
        <v>0</v>
      </c>
      <c r="DH112">
        <f t="shared" si="255"/>
        <v>0</v>
      </c>
      <c r="DI112">
        <f t="shared" si="256"/>
        <v>0</v>
      </c>
      <c r="DJ112">
        <f t="shared" si="257"/>
        <v>0</v>
      </c>
      <c r="DK112">
        <f t="shared" si="258"/>
        <v>0</v>
      </c>
      <c r="DM112">
        <f t="shared" si="259"/>
        <v>3.1254075618710533</v>
      </c>
    </row>
    <row r="113" spans="1:117" ht="31">
      <c r="A113" s="117" t="s">
        <v>326</v>
      </c>
      <c r="B113" s="117" t="s">
        <v>320</v>
      </c>
      <c r="C113" s="119">
        <v>2.3765999999999998</v>
      </c>
      <c r="F113" s="117">
        <v>5790</v>
      </c>
      <c r="G113" s="117">
        <v>3560</v>
      </c>
      <c r="H113" s="43">
        <f t="shared" si="181"/>
        <v>2.221890561567242E+22</v>
      </c>
      <c r="I113" s="43">
        <f t="shared" si="182"/>
        <v>6.9967885476373805E+22</v>
      </c>
      <c r="J113" s="42">
        <f t="shared" si="183"/>
        <v>79.673376059999981</v>
      </c>
      <c r="K113" s="42">
        <f t="shared" si="211"/>
        <v>30.120077759999997</v>
      </c>
      <c r="L113" s="42">
        <f t="shared" si="212"/>
        <v>88.55032120065701</v>
      </c>
      <c r="M113" s="79">
        <f t="shared" si="184"/>
        <v>84.660770904210864</v>
      </c>
      <c r="O113" s="52" t="str">
        <f t="shared" si="185"/>
        <v>Haplogranite</v>
      </c>
      <c r="P113" s="117">
        <v>74.697580645161281</v>
      </c>
      <c r="R113" s="117">
        <v>0</v>
      </c>
      <c r="T113" s="117">
        <v>11.794354838709676</v>
      </c>
      <c r="V113" s="117">
        <v>0</v>
      </c>
      <c r="W113" s="117">
        <v>0</v>
      </c>
      <c r="X113" s="117">
        <v>0</v>
      </c>
      <c r="Y113" s="117">
        <v>0</v>
      </c>
      <c r="Z113" s="117">
        <v>0</v>
      </c>
      <c r="AE113" s="117">
        <v>9.07258064516129</v>
      </c>
      <c r="AF113" s="117">
        <v>4.435483870967742</v>
      </c>
      <c r="AI113" s="117">
        <v>0</v>
      </c>
      <c r="AM113" s="86">
        <f t="shared" si="213"/>
        <v>100</v>
      </c>
      <c r="AO113" s="71">
        <f t="shared" si="178"/>
        <v>1.5524432155559746</v>
      </c>
      <c r="AQ113" s="97" t="str">
        <f t="shared" si="187"/>
        <v>Haplogranite</v>
      </c>
      <c r="AR113" s="73">
        <f t="shared" si="188"/>
        <v>80.086790230977684</v>
      </c>
      <c r="AS113" s="73">
        <f t="shared" si="189"/>
        <v>0</v>
      </c>
      <c r="AT113" s="73">
        <f t="shared" si="190"/>
        <v>0</v>
      </c>
      <c r="AU113" s="73">
        <f t="shared" si="191"/>
        <v>0</v>
      </c>
      <c r="AV113" s="73">
        <f t="shared" si="192"/>
        <v>7.4512414936876272</v>
      </c>
      <c r="AW113" s="73">
        <f t="shared" si="193"/>
        <v>0</v>
      </c>
      <c r="AX113" s="73">
        <f t="shared" si="194"/>
        <v>0</v>
      </c>
      <c r="AY113" s="73">
        <f t="shared" si="195"/>
        <v>0</v>
      </c>
      <c r="AZ113" s="73">
        <f t="shared" si="196"/>
        <v>0</v>
      </c>
      <c r="BA113" s="73">
        <f t="shared" si="197"/>
        <v>0</v>
      </c>
      <c r="BB113" s="73">
        <f t="shared" si="198"/>
        <v>0</v>
      </c>
      <c r="BC113" s="73">
        <f t="shared" si="199"/>
        <v>0</v>
      </c>
      <c r="BD113" s="73">
        <f t="shared" si="200"/>
        <v>0</v>
      </c>
      <c r="BE113" s="73">
        <f t="shared" si="201"/>
        <v>0</v>
      </c>
      <c r="BF113" s="73">
        <f t="shared" si="202"/>
        <v>0</v>
      </c>
      <c r="BG113" s="73">
        <f t="shared" si="203"/>
        <v>9.4289545349168531</v>
      </c>
      <c r="BH113" s="73">
        <f t="shared" si="204"/>
        <v>3.0330137404178403</v>
      </c>
      <c r="BI113" s="73">
        <f t="shared" si="205"/>
        <v>0</v>
      </c>
      <c r="BJ113" s="73">
        <f t="shared" si="206"/>
        <v>0</v>
      </c>
      <c r="BK113" s="73">
        <f t="shared" si="207"/>
        <v>0</v>
      </c>
      <c r="BL113" s="73">
        <f t="shared" si="208"/>
        <v>0</v>
      </c>
      <c r="BM113" s="73">
        <f t="shared" si="209"/>
        <v>0</v>
      </c>
      <c r="BN113" s="73">
        <f t="shared" si="210"/>
        <v>0</v>
      </c>
      <c r="BQ113">
        <f t="shared" si="260"/>
        <v>48.116143570771392</v>
      </c>
      <c r="BR113">
        <f t="shared" si="261"/>
        <v>0</v>
      </c>
      <c r="BS113">
        <f t="shared" si="262"/>
        <v>0</v>
      </c>
      <c r="BT113">
        <f t="shared" si="263"/>
        <v>0</v>
      </c>
      <c r="BU113">
        <f t="shared" si="264"/>
        <v>7.5972858269639039</v>
      </c>
      <c r="BV113">
        <f t="shared" si="265"/>
        <v>0</v>
      </c>
      <c r="BW113">
        <f t="shared" si="266"/>
        <v>0</v>
      </c>
      <c r="BX113">
        <f t="shared" si="267"/>
        <v>0</v>
      </c>
      <c r="BY113">
        <f t="shared" si="268"/>
        <v>0</v>
      </c>
      <c r="BZ113">
        <f t="shared" si="269"/>
        <v>0</v>
      </c>
      <c r="CA113">
        <f t="shared" si="270"/>
        <v>0</v>
      </c>
      <c r="CB113">
        <f t="shared" si="271"/>
        <v>0</v>
      </c>
      <c r="CC113">
        <f t="shared" si="272"/>
        <v>0</v>
      </c>
      <c r="CD113">
        <f t="shared" si="273"/>
        <v>0</v>
      </c>
      <c r="CE113">
        <f t="shared" si="274"/>
        <v>0</v>
      </c>
      <c r="CF113">
        <f t="shared" si="275"/>
        <v>5.8440660207414652</v>
      </c>
      <c r="CG113">
        <f t="shared" si="276"/>
        <v>2.8570989434736056</v>
      </c>
      <c r="CH113">
        <f t="shared" si="277"/>
        <v>0</v>
      </c>
      <c r="CI113">
        <f t="shared" si="278"/>
        <v>0</v>
      </c>
      <c r="CJ113">
        <f t="shared" si="279"/>
        <v>0</v>
      </c>
      <c r="CK113">
        <f t="shared" si="280"/>
        <v>0</v>
      </c>
      <c r="CL113">
        <f t="shared" si="281"/>
        <v>0</v>
      </c>
      <c r="CN113">
        <f t="shared" si="236"/>
        <v>64.414594361950364</v>
      </c>
      <c r="CP113">
        <f>(AR113/100)*$BQ$3</f>
        <v>2.4026037069293307</v>
      </c>
      <c r="CQ113">
        <f t="shared" si="238"/>
        <v>0</v>
      </c>
      <c r="CR113">
        <f t="shared" si="239"/>
        <v>0</v>
      </c>
      <c r="CS113">
        <f t="shared" si="240"/>
        <v>0</v>
      </c>
      <c r="CT113">
        <f t="shared" si="241"/>
        <v>0.37256207468438135</v>
      </c>
      <c r="CU113">
        <f t="shared" si="242"/>
        <v>0</v>
      </c>
      <c r="CV113">
        <f t="shared" si="243"/>
        <v>0</v>
      </c>
      <c r="CW113">
        <f t="shared" si="244"/>
        <v>0</v>
      </c>
      <c r="CX113">
        <f t="shared" si="245"/>
        <v>0</v>
      </c>
      <c r="CY113">
        <f t="shared" si="246"/>
        <v>0</v>
      </c>
      <c r="CZ113">
        <f t="shared" si="247"/>
        <v>0</v>
      </c>
      <c r="DA113">
        <f t="shared" si="248"/>
        <v>0</v>
      </c>
      <c r="DB113">
        <f t="shared" si="249"/>
        <v>0</v>
      </c>
      <c r="DC113">
        <f t="shared" si="250"/>
        <v>0</v>
      </c>
      <c r="DD113">
        <f t="shared" si="251"/>
        <v>0</v>
      </c>
      <c r="DE113">
        <f t="shared" si="252"/>
        <v>0.28286863604750556</v>
      </c>
      <c r="DF113">
        <f t="shared" si="253"/>
        <v>9.0990412212535204E-2</v>
      </c>
      <c r="DG113">
        <f t="shared" si="254"/>
        <v>0</v>
      </c>
      <c r="DH113">
        <f t="shared" si="255"/>
        <v>0</v>
      </c>
      <c r="DI113">
        <f t="shared" si="256"/>
        <v>0</v>
      </c>
      <c r="DJ113">
        <f t="shared" si="257"/>
        <v>0</v>
      </c>
      <c r="DK113">
        <f t="shared" si="258"/>
        <v>0</v>
      </c>
      <c r="DM113">
        <f>SUM(CP113:DK113)</f>
        <v>3.1490248298737527</v>
      </c>
    </row>
    <row r="114" spans="1:117" ht="31">
      <c r="A114" s="117" t="s">
        <v>326</v>
      </c>
      <c r="B114" s="117" t="s">
        <v>320</v>
      </c>
      <c r="C114" s="119">
        <v>2.3645</v>
      </c>
      <c r="F114" s="117">
        <v>5721</v>
      </c>
      <c r="G114" s="117">
        <v>3540</v>
      </c>
      <c r="H114" s="43">
        <f t="shared" si="181"/>
        <v>2.1730168123472935E+22</v>
      </c>
      <c r="I114" s="43">
        <f t="shared" si="182"/>
        <v>6.848639158803356E+22</v>
      </c>
      <c r="J114" s="42">
        <f t="shared" si="183"/>
        <v>77.389709044500009</v>
      </c>
      <c r="K114" s="42">
        <f t="shared" si="211"/>
        <v>29.630968199999998</v>
      </c>
      <c r="L114" s="42">
        <f t="shared" si="212"/>
        <v>87.122804241519205</v>
      </c>
      <c r="M114" s="79">
        <f t="shared" si="184"/>
        <v>83.314122184482002</v>
      </c>
      <c r="O114" s="52" t="str">
        <f t="shared" si="185"/>
        <v>Haplogranite</v>
      </c>
      <c r="P114" s="117">
        <v>74.599999999999994</v>
      </c>
      <c r="R114" s="117">
        <v>0</v>
      </c>
      <c r="T114" s="117">
        <v>11.8</v>
      </c>
      <c r="V114" s="117">
        <v>0</v>
      </c>
      <c r="W114" s="117">
        <v>0</v>
      </c>
      <c r="X114" s="117">
        <v>0</v>
      </c>
      <c r="Y114" s="117">
        <v>0</v>
      </c>
      <c r="Z114" s="117">
        <v>0</v>
      </c>
      <c r="AE114" s="117">
        <v>4.4000000000000004</v>
      </c>
      <c r="AF114" s="117">
        <v>9.1999999999999993</v>
      </c>
      <c r="AI114" s="117">
        <v>0</v>
      </c>
      <c r="AM114" s="86">
        <f t="shared" si="213"/>
        <v>100</v>
      </c>
      <c r="AO114" s="71">
        <f t="shared" si="178"/>
        <v>1.5260646081240361</v>
      </c>
      <c r="AQ114" s="97" t="str">
        <f t="shared" si="187"/>
        <v>Haplogranite</v>
      </c>
      <c r="AR114" s="73">
        <f t="shared" si="188"/>
        <v>81.364691663288212</v>
      </c>
      <c r="AS114" s="73">
        <f t="shared" si="189"/>
        <v>0</v>
      </c>
      <c r="AT114" s="73">
        <f t="shared" si="190"/>
        <v>0</v>
      </c>
      <c r="AU114" s="73">
        <f t="shared" si="191"/>
        <v>0</v>
      </c>
      <c r="AV114" s="73">
        <f t="shared" si="192"/>
        <v>7.5836670910395139</v>
      </c>
      <c r="AW114" s="73">
        <f t="shared" si="193"/>
        <v>0</v>
      </c>
      <c r="AX114" s="73">
        <f t="shared" si="194"/>
        <v>0</v>
      </c>
      <c r="AY114" s="73">
        <f t="shared" si="195"/>
        <v>0</v>
      </c>
      <c r="AZ114" s="73">
        <f t="shared" si="196"/>
        <v>0</v>
      </c>
      <c r="BA114" s="73">
        <f t="shared" si="197"/>
        <v>0</v>
      </c>
      <c r="BB114" s="73">
        <f t="shared" si="198"/>
        <v>0</v>
      </c>
      <c r="BC114" s="73">
        <f t="shared" si="199"/>
        <v>0</v>
      </c>
      <c r="BD114" s="73">
        <f t="shared" si="200"/>
        <v>0</v>
      </c>
      <c r="BE114" s="73">
        <f t="shared" si="201"/>
        <v>0</v>
      </c>
      <c r="BF114" s="73">
        <f t="shared" si="202"/>
        <v>0</v>
      </c>
      <c r="BG114" s="73">
        <f t="shared" si="203"/>
        <v>4.6518765827283151</v>
      </c>
      <c r="BH114" s="73">
        <f t="shared" si="204"/>
        <v>6.3997646629439489</v>
      </c>
      <c r="BI114" s="73">
        <f t="shared" si="205"/>
        <v>0</v>
      </c>
      <c r="BJ114" s="73">
        <f t="shared" si="206"/>
        <v>0</v>
      </c>
      <c r="BK114" s="73">
        <f t="shared" si="207"/>
        <v>0</v>
      </c>
      <c r="BL114" s="73">
        <f t="shared" si="208"/>
        <v>0</v>
      </c>
      <c r="BM114" s="73">
        <f t="shared" si="209"/>
        <v>0</v>
      </c>
      <c r="BN114" s="73">
        <f t="shared" si="210"/>
        <v>0</v>
      </c>
      <c r="BQ114">
        <f t="shared" si="260"/>
        <v>48.883906751303556</v>
      </c>
      <c r="BR114">
        <f t="shared" si="261"/>
        <v>0</v>
      </c>
      <c r="BS114">
        <f t="shared" si="262"/>
        <v>0</v>
      </c>
      <c r="BT114">
        <f t="shared" si="263"/>
        <v>0</v>
      </c>
      <c r="BU114">
        <f t="shared" si="264"/>
        <v>7.7323069660238879</v>
      </c>
      <c r="BV114">
        <f t="shared" si="265"/>
        <v>0</v>
      </c>
      <c r="BW114">
        <f t="shared" si="266"/>
        <v>0</v>
      </c>
      <c r="BX114">
        <f t="shared" si="267"/>
        <v>0</v>
      </c>
      <c r="BY114">
        <f t="shared" si="268"/>
        <v>0</v>
      </c>
      <c r="BZ114">
        <f t="shared" si="269"/>
        <v>0</v>
      </c>
      <c r="CA114">
        <f t="shared" si="270"/>
        <v>0</v>
      </c>
      <c r="CB114">
        <f t="shared" si="271"/>
        <v>0</v>
      </c>
      <c r="CC114">
        <f t="shared" si="272"/>
        <v>0</v>
      </c>
      <c r="CD114">
        <f t="shared" si="273"/>
        <v>0</v>
      </c>
      <c r="CE114">
        <f t="shared" si="274"/>
        <v>0</v>
      </c>
      <c r="CF114">
        <f t="shared" si="275"/>
        <v>2.8832331059750094</v>
      </c>
      <c r="CG114">
        <f t="shared" si="276"/>
        <v>6.0285783124932006</v>
      </c>
      <c r="CH114">
        <f t="shared" si="277"/>
        <v>0</v>
      </c>
      <c r="CI114">
        <f t="shared" si="278"/>
        <v>0</v>
      </c>
      <c r="CJ114">
        <f t="shared" si="279"/>
        <v>0</v>
      </c>
      <c r="CK114">
        <f t="shared" si="280"/>
        <v>0</v>
      </c>
      <c r="CL114">
        <f t="shared" si="281"/>
        <v>0</v>
      </c>
      <c r="CN114">
        <f t="shared" si="236"/>
        <v>65.528025135795644</v>
      </c>
      <c r="CP114">
        <f t="shared" ref="CP114:CP127" si="282">(AR114/100)*$BQ$3</f>
        <v>2.4409407498986466</v>
      </c>
      <c r="CQ114">
        <f t="shared" ref="CQ114:CQ127" si="283">(AS114/100)*$BR$3</f>
        <v>0</v>
      </c>
      <c r="CR114">
        <f t="shared" ref="CR114:CR127" si="284">(AT114/100)*$BS$3</f>
        <v>0</v>
      </c>
      <c r="CS114">
        <f t="shared" ref="CS114:CS127" si="285">(AU114/100)*$BT$3</f>
        <v>0</v>
      </c>
      <c r="CT114">
        <f t="shared" ref="CT114:CT127" si="286">(AV114/100)*$BU$3</f>
        <v>0.37918335455197572</v>
      </c>
      <c r="CU114">
        <f t="shared" ref="CU114:CU127" si="287">(AW114/100)*$BV$3</f>
        <v>0</v>
      </c>
      <c r="CV114">
        <f t="shared" ref="CV114:CV127" si="288">(AX114/100)*$BW$3</f>
        <v>0</v>
      </c>
      <c r="CW114">
        <f t="shared" ref="CW114:CW127" si="289">(AY114/100)*$BX$3</f>
        <v>0</v>
      </c>
      <c r="CX114">
        <f t="shared" ref="CX114:CX127" si="290">(AZ114/100)*$BY$3</f>
        <v>0</v>
      </c>
      <c r="CY114">
        <f t="shared" ref="CY114:CY127" si="291">(BA114/100)*$BZ$3</f>
        <v>0</v>
      </c>
      <c r="CZ114">
        <f t="shared" ref="CZ114:CZ127" si="292">(BB114/100)*$CA$3</f>
        <v>0</v>
      </c>
      <c r="DA114">
        <f t="shared" ref="DA114:DA127" si="293">(BC114/100)*$CB$3</f>
        <v>0</v>
      </c>
      <c r="DB114">
        <f t="shared" ref="DB114:DB127" si="294">(BD114/100)*$CC$3</f>
        <v>0</v>
      </c>
      <c r="DC114">
        <f t="shared" ref="DC114:DC127" si="295">(BE114/100)*$CD$3</f>
        <v>0</v>
      </c>
      <c r="DD114">
        <f t="shared" ref="DD114:DD127" si="296">(BF114/100)*$CE$3</f>
        <v>0</v>
      </c>
      <c r="DE114">
        <f t="shared" ref="DE114:DE127" si="297">(BG114/100)*$CF$3</f>
        <v>0.13955629748184945</v>
      </c>
      <c r="DF114">
        <f t="shared" ref="DF114:DF127" si="298">(BH114/100)*$CG$3</f>
        <v>0.19199293988831848</v>
      </c>
      <c r="DG114">
        <f t="shared" ref="DG114:DG127" si="299">(BI114/100)*$CH$3</f>
        <v>0</v>
      </c>
      <c r="DH114">
        <f t="shared" ref="DH114:DH127" si="300">(BJ114/100)*$CI$3</f>
        <v>0</v>
      </c>
      <c r="DI114">
        <f t="shared" ref="DI114:DI127" si="301">(BK114/100)*$CJ$3</f>
        <v>0</v>
      </c>
      <c r="DJ114">
        <f t="shared" ref="DJ114:DJ127" si="302">(BL114/100)*$CK$3</f>
        <v>0</v>
      </c>
      <c r="DK114">
        <f t="shared" ref="DK114:DK127" si="303">(BN114/100)*$CL$3</f>
        <v>0</v>
      </c>
      <c r="DM114">
        <f t="shared" ref="DM114:DM127" si="304">SUM(CP114:DK114)</f>
        <v>3.1516733418207905</v>
      </c>
    </row>
    <row r="115" spans="1:117">
      <c r="A115" s="117" t="s">
        <v>327</v>
      </c>
      <c r="B115" s="117" t="s">
        <v>328</v>
      </c>
      <c r="C115" s="117">
        <v>2.4159999999999999</v>
      </c>
      <c r="F115" s="117">
        <v>5883</v>
      </c>
      <c r="G115" s="117">
        <v>3580</v>
      </c>
      <c r="H115" s="43">
        <f t="shared" si="181"/>
        <v>2.2209523473414126E+22</v>
      </c>
      <c r="I115" s="43">
        <f t="shared" si="182"/>
        <v>7.0572852490698565E+22</v>
      </c>
      <c r="J115" s="42">
        <f t="shared" si="183"/>
        <v>83.617008623999993</v>
      </c>
      <c r="K115" s="42">
        <f t="shared" si="211"/>
        <v>30.9644224</v>
      </c>
      <c r="L115" s="42">
        <f t="shared" si="212"/>
        <v>91.084119373931301</v>
      </c>
      <c r="M115" s="79">
        <f t="shared" si="184"/>
        <v>87.144525245112604</v>
      </c>
      <c r="O115" s="52" t="str">
        <f t="shared" si="185"/>
        <v>rhyolite</v>
      </c>
      <c r="P115" s="117">
        <v>73.599339467187463</v>
      </c>
      <c r="R115" s="117">
        <v>0.17067000008498331</v>
      </c>
      <c r="T115" s="117">
        <v>15.454399330824719</v>
      </c>
      <c r="V115" s="117">
        <v>0</v>
      </c>
      <c r="W115" s="117">
        <v>0.88827281136667591</v>
      </c>
      <c r="X115" s="117">
        <v>0</v>
      </c>
      <c r="Y115" s="117">
        <v>0.19071347229303839</v>
      </c>
      <c r="Z115" s="117">
        <v>0.83884991004131604</v>
      </c>
      <c r="AE115" s="117">
        <v>3.9260847529382961</v>
      </c>
      <c r="AF115" s="117">
        <v>4.9316702552635014</v>
      </c>
      <c r="AI115" s="117">
        <v>0</v>
      </c>
      <c r="AM115" s="86">
        <f t="shared" si="213"/>
        <v>99.999999999999986</v>
      </c>
      <c r="AO115" s="71">
        <f t="shared" si="178"/>
        <v>1.526481210479449</v>
      </c>
      <c r="AQ115" s="97" t="str">
        <f t="shared" si="187"/>
        <v>rhyolite</v>
      </c>
      <c r="AR115" s="73">
        <f t="shared" si="188"/>
        <v>80.251383791488507</v>
      </c>
      <c r="AS115" s="73">
        <f t="shared" si="189"/>
        <v>0</v>
      </c>
      <c r="AT115" s="73">
        <f t="shared" si="190"/>
        <v>0.13993261382582731</v>
      </c>
      <c r="AU115" s="73">
        <f t="shared" si="191"/>
        <v>0</v>
      </c>
      <c r="AV115" s="73">
        <f t="shared" si="192"/>
        <v>9.9295791093758297</v>
      </c>
      <c r="AW115" s="73">
        <f t="shared" si="193"/>
        <v>0</v>
      </c>
      <c r="AX115" s="73">
        <f t="shared" si="194"/>
        <v>0</v>
      </c>
      <c r="AY115" s="73">
        <f t="shared" si="195"/>
        <v>0.80989391103136099</v>
      </c>
      <c r="AZ115" s="73">
        <f t="shared" si="196"/>
        <v>0</v>
      </c>
      <c r="BA115" s="73">
        <f t="shared" si="197"/>
        <v>0.30993963145446118</v>
      </c>
      <c r="BB115" s="73">
        <f t="shared" si="198"/>
        <v>0.97990685184617798</v>
      </c>
      <c r="BC115" s="73">
        <f t="shared" si="199"/>
        <v>0</v>
      </c>
      <c r="BD115" s="73">
        <f t="shared" si="200"/>
        <v>0</v>
      </c>
      <c r="BE115" s="73">
        <f t="shared" si="201"/>
        <v>0</v>
      </c>
      <c r="BF115" s="73">
        <f t="shared" si="202"/>
        <v>0</v>
      </c>
      <c r="BG115" s="73">
        <f t="shared" si="203"/>
        <v>4.149699378188104</v>
      </c>
      <c r="BH115" s="73">
        <f t="shared" si="204"/>
        <v>3.4296647127897453</v>
      </c>
      <c r="BI115" s="73">
        <f t="shared" si="205"/>
        <v>0</v>
      </c>
      <c r="BJ115" s="73">
        <f t="shared" si="206"/>
        <v>0</v>
      </c>
      <c r="BK115" s="73">
        <f t="shared" si="207"/>
        <v>0</v>
      </c>
      <c r="BL115" s="73">
        <f t="shared" si="208"/>
        <v>0</v>
      </c>
      <c r="BM115" s="73">
        <f t="shared" si="209"/>
        <v>0</v>
      </c>
      <c r="BN115" s="73">
        <f t="shared" si="210"/>
        <v>0</v>
      </c>
      <c r="BQ115">
        <f t="shared" si="260"/>
        <v>48.215031381926295</v>
      </c>
      <c r="BR115">
        <f t="shared" si="261"/>
        <v>0</v>
      </c>
      <c r="BS115">
        <f t="shared" si="262"/>
        <v>0.11180615844683603</v>
      </c>
      <c r="BT115">
        <f t="shared" si="263"/>
        <v>0</v>
      </c>
      <c r="BU115">
        <f t="shared" si="264"/>
        <v>10.124198859919595</v>
      </c>
      <c r="BV115">
        <f t="shared" si="265"/>
        <v>0</v>
      </c>
      <c r="BW115">
        <f t="shared" si="266"/>
        <v>0</v>
      </c>
      <c r="BX115">
        <f t="shared" si="267"/>
        <v>0.58190877507603289</v>
      </c>
      <c r="BY115">
        <f t="shared" si="268"/>
        <v>0</v>
      </c>
      <c r="BZ115">
        <f t="shared" si="269"/>
        <v>0.1249366654392933</v>
      </c>
      <c r="CA115">
        <f t="shared" si="270"/>
        <v>0.54953176251533664</v>
      </c>
      <c r="CB115">
        <f t="shared" si="271"/>
        <v>0</v>
      </c>
      <c r="CC115">
        <f t="shared" si="272"/>
        <v>0</v>
      </c>
      <c r="CD115">
        <f t="shared" si="273"/>
        <v>0</v>
      </c>
      <c r="CE115">
        <f t="shared" si="274"/>
        <v>0</v>
      </c>
      <c r="CF115">
        <f t="shared" si="275"/>
        <v>2.571983674600987</v>
      </c>
      <c r="CG115">
        <f t="shared" si="276"/>
        <v>3.2307441594479402</v>
      </c>
      <c r="CH115">
        <f t="shared" si="277"/>
        <v>0</v>
      </c>
      <c r="CI115">
        <f t="shared" si="278"/>
        <v>0</v>
      </c>
      <c r="CJ115">
        <f t="shared" si="279"/>
        <v>0</v>
      </c>
      <c r="CK115">
        <f t="shared" si="280"/>
        <v>0</v>
      </c>
      <c r="CL115">
        <f t="shared" si="281"/>
        <v>0</v>
      </c>
      <c r="CN115">
        <f t="shared" si="236"/>
        <v>65.510141437372312</v>
      </c>
      <c r="CP115">
        <f t="shared" si="282"/>
        <v>2.407541513744655</v>
      </c>
      <c r="CQ115">
        <f t="shared" si="283"/>
        <v>0</v>
      </c>
      <c r="CR115">
        <f t="shared" si="284"/>
        <v>4.1979784147748193E-3</v>
      </c>
      <c r="CS115">
        <f t="shared" si="285"/>
        <v>0</v>
      </c>
      <c r="CT115">
        <f t="shared" si="286"/>
        <v>0.49647895546879151</v>
      </c>
      <c r="CU115">
        <f t="shared" si="287"/>
        <v>0</v>
      </c>
      <c r="CV115">
        <f t="shared" si="288"/>
        <v>0</v>
      </c>
      <c r="CW115">
        <f t="shared" si="289"/>
        <v>1.619787822062722E-2</v>
      </c>
      <c r="CX115">
        <f t="shared" si="290"/>
        <v>0</v>
      </c>
      <c r="CY115">
        <f t="shared" si="291"/>
        <v>6.1987926290892233E-3</v>
      </c>
      <c r="CZ115">
        <f t="shared" si="292"/>
        <v>1.959813703692356E-2</v>
      </c>
      <c r="DA115">
        <f t="shared" si="293"/>
        <v>0</v>
      </c>
      <c r="DB115">
        <f t="shared" si="294"/>
        <v>0</v>
      </c>
      <c r="DC115">
        <f t="shared" si="295"/>
        <v>0</v>
      </c>
      <c r="DD115">
        <f t="shared" si="296"/>
        <v>0</v>
      </c>
      <c r="DE115">
        <f t="shared" si="297"/>
        <v>0.12449098134564313</v>
      </c>
      <c r="DF115">
        <f t="shared" si="298"/>
        <v>0.10288994138369237</v>
      </c>
      <c r="DG115">
        <f t="shared" si="299"/>
        <v>0</v>
      </c>
      <c r="DH115">
        <f t="shared" si="300"/>
        <v>0</v>
      </c>
      <c r="DI115">
        <f t="shared" si="301"/>
        <v>0</v>
      </c>
      <c r="DJ115">
        <f t="shared" si="302"/>
        <v>0</v>
      </c>
      <c r="DK115">
        <f t="shared" si="303"/>
        <v>0</v>
      </c>
      <c r="DM115">
        <f t="shared" si="304"/>
        <v>3.1775941782441972</v>
      </c>
    </row>
    <row r="116" spans="1:117">
      <c r="A116" s="117" t="s">
        <v>327</v>
      </c>
      <c r="B116" s="117" t="s">
        <v>328</v>
      </c>
      <c r="C116" s="117">
        <v>2.3559999999999999</v>
      </c>
      <c r="F116" s="117">
        <v>5795</v>
      </c>
      <c r="G116" s="117">
        <v>3536</v>
      </c>
      <c r="H116" s="43">
        <f t="shared" si="181"/>
        <v>2.1657962460001522E+22</v>
      </c>
      <c r="I116" s="43">
        <f t="shared" si="182"/>
        <v>6.8820215425532223E+22</v>
      </c>
      <c r="J116" s="42">
        <f t="shared" si="183"/>
        <v>79.119250899999997</v>
      </c>
      <c r="K116" s="42">
        <f t="shared" si="211"/>
        <v>29.457765375999998</v>
      </c>
      <c r="L116" s="42">
        <f t="shared" si="212"/>
        <v>86.609077519466112</v>
      </c>
      <c r="M116" s="79">
        <f t="shared" si="184"/>
        <v>82.767320993184299</v>
      </c>
      <c r="O116" s="52" t="str">
        <f t="shared" si="185"/>
        <v>rhyolite</v>
      </c>
      <c r="P116" s="117">
        <v>72.64645328144708</v>
      </c>
      <c r="R116" s="117">
        <v>0.16846034594163611</v>
      </c>
      <c r="T116" s="117">
        <v>15.254312159691567</v>
      </c>
      <c r="V116" s="117">
        <v>0</v>
      </c>
      <c r="W116" s="117">
        <v>0.87677239713405319</v>
      </c>
      <c r="X116" s="117">
        <v>0</v>
      </c>
      <c r="Y116" s="117">
        <v>0.18824431653025284</v>
      </c>
      <c r="Z116" s="117">
        <v>0.82798937111563331</v>
      </c>
      <c r="AE116" s="117">
        <v>3.8752539716812344</v>
      </c>
      <c r="AF116" s="117">
        <v>4.8678202194766671</v>
      </c>
      <c r="AI116" s="117">
        <v>0</v>
      </c>
      <c r="AM116" s="86">
        <f t="shared" si="213"/>
        <v>98.705306063018128</v>
      </c>
      <c r="AO116" s="71">
        <f t="shared" si="178"/>
        <v>1.506717950798204</v>
      </c>
      <c r="AQ116" s="97" t="str">
        <f t="shared" si="187"/>
        <v>rhyolite</v>
      </c>
      <c r="AR116" s="73">
        <f t="shared" si="188"/>
        <v>80.251383791488507</v>
      </c>
      <c r="AS116" s="73">
        <f t="shared" si="189"/>
        <v>0</v>
      </c>
      <c r="AT116" s="73">
        <f t="shared" si="190"/>
        <v>0.13993261382582733</v>
      </c>
      <c r="AU116" s="73">
        <f t="shared" si="191"/>
        <v>0</v>
      </c>
      <c r="AV116" s="73">
        <f t="shared" si="192"/>
        <v>9.9295791093758297</v>
      </c>
      <c r="AW116" s="73">
        <f t="shared" si="193"/>
        <v>0</v>
      </c>
      <c r="AX116" s="73">
        <f t="shared" si="194"/>
        <v>0</v>
      </c>
      <c r="AY116" s="73">
        <f t="shared" si="195"/>
        <v>0.80989391103136099</v>
      </c>
      <c r="AZ116" s="73">
        <f t="shared" si="196"/>
        <v>0</v>
      </c>
      <c r="BA116" s="73">
        <f t="shared" si="197"/>
        <v>0.30993963145446118</v>
      </c>
      <c r="BB116" s="73">
        <f t="shared" si="198"/>
        <v>0.9799068518461781</v>
      </c>
      <c r="BC116" s="73">
        <f t="shared" si="199"/>
        <v>0</v>
      </c>
      <c r="BD116" s="73">
        <f t="shared" si="200"/>
        <v>0</v>
      </c>
      <c r="BE116" s="73">
        <f t="shared" si="201"/>
        <v>0</v>
      </c>
      <c r="BF116" s="73">
        <f t="shared" si="202"/>
        <v>0</v>
      </c>
      <c r="BG116" s="73">
        <f t="shared" si="203"/>
        <v>4.1496993781881049</v>
      </c>
      <c r="BH116" s="73">
        <f t="shared" si="204"/>
        <v>3.4296647127897457</v>
      </c>
      <c r="BI116" s="73">
        <f t="shared" si="205"/>
        <v>0</v>
      </c>
      <c r="BJ116" s="73">
        <f t="shared" si="206"/>
        <v>0</v>
      </c>
      <c r="BK116" s="73">
        <f t="shared" si="207"/>
        <v>0</v>
      </c>
      <c r="BL116" s="73">
        <f t="shared" si="208"/>
        <v>0</v>
      </c>
      <c r="BM116" s="73">
        <f t="shared" si="209"/>
        <v>0</v>
      </c>
      <c r="BN116" s="73">
        <f t="shared" si="210"/>
        <v>0</v>
      </c>
      <c r="BQ116">
        <f t="shared" si="260"/>
        <v>48.215031381926295</v>
      </c>
      <c r="BR116">
        <f t="shared" si="261"/>
        <v>0</v>
      </c>
      <c r="BS116">
        <f t="shared" si="262"/>
        <v>0.11180615844683604</v>
      </c>
      <c r="BT116">
        <f t="shared" si="263"/>
        <v>0</v>
      </c>
      <c r="BU116">
        <f t="shared" si="264"/>
        <v>10.124198859919595</v>
      </c>
      <c r="BV116">
        <f t="shared" si="265"/>
        <v>0</v>
      </c>
      <c r="BW116">
        <f t="shared" si="266"/>
        <v>0</v>
      </c>
      <c r="BX116">
        <f t="shared" si="267"/>
        <v>0.58190877507603289</v>
      </c>
      <c r="BY116">
        <f t="shared" si="268"/>
        <v>0</v>
      </c>
      <c r="BZ116">
        <f t="shared" si="269"/>
        <v>0.1249366654392933</v>
      </c>
      <c r="CA116">
        <f t="shared" si="270"/>
        <v>0.54953176251533664</v>
      </c>
      <c r="CB116">
        <f t="shared" si="271"/>
        <v>0</v>
      </c>
      <c r="CC116">
        <f t="shared" si="272"/>
        <v>0</v>
      </c>
      <c r="CD116">
        <f t="shared" si="273"/>
        <v>0</v>
      </c>
      <c r="CE116">
        <f t="shared" si="274"/>
        <v>0</v>
      </c>
      <c r="CF116">
        <f t="shared" si="275"/>
        <v>2.5719836746009874</v>
      </c>
      <c r="CG116">
        <f t="shared" si="276"/>
        <v>3.2307441594479402</v>
      </c>
      <c r="CH116">
        <f t="shared" si="277"/>
        <v>0</v>
      </c>
      <c r="CI116">
        <f t="shared" si="278"/>
        <v>0</v>
      </c>
      <c r="CJ116">
        <f t="shared" si="279"/>
        <v>0</v>
      </c>
      <c r="CK116">
        <f t="shared" si="280"/>
        <v>0</v>
      </c>
      <c r="CL116">
        <f t="shared" si="281"/>
        <v>0</v>
      </c>
      <c r="CN116">
        <f t="shared" si="236"/>
        <v>65.510141437372312</v>
      </c>
      <c r="CP116">
        <f t="shared" si="282"/>
        <v>2.407541513744655</v>
      </c>
      <c r="CQ116">
        <f t="shared" si="283"/>
        <v>0</v>
      </c>
      <c r="CR116">
        <f t="shared" si="284"/>
        <v>4.1979784147748202E-3</v>
      </c>
      <c r="CS116">
        <f t="shared" si="285"/>
        <v>0</v>
      </c>
      <c r="CT116">
        <f t="shared" si="286"/>
        <v>0.49647895546879151</v>
      </c>
      <c r="CU116">
        <f t="shared" si="287"/>
        <v>0</v>
      </c>
      <c r="CV116">
        <f t="shared" si="288"/>
        <v>0</v>
      </c>
      <c r="CW116">
        <f t="shared" si="289"/>
        <v>1.619787822062722E-2</v>
      </c>
      <c r="CX116">
        <f t="shared" si="290"/>
        <v>0</v>
      </c>
      <c r="CY116">
        <f t="shared" si="291"/>
        <v>6.1987926290892233E-3</v>
      </c>
      <c r="CZ116">
        <f t="shared" si="292"/>
        <v>1.9598137036923563E-2</v>
      </c>
      <c r="DA116">
        <f t="shared" si="293"/>
        <v>0</v>
      </c>
      <c r="DB116">
        <f t="shared" si="294"/>
        <v>0</v>
      </c>
      <c r="DC116">
        <f t="shared" si="295"/>
        <v>0</v>
      </c>
      <c r="DD116">
        <f t="shared" si="296"/>
        <v>0</v>
      </c>
      <c r="DE116">
        <f t="shared" si="297"/>
        <v>0.12449098134564315</v>
      </c>
      <c r="DF116">
        <f t="shared" si="298"/>
        <v>0.10288994138369237</v>
      </c>
      <c r="DG116">
        <f t="shared" si="299"/>
        <v>0</v>
      </c>
      <c r="DH116">
        <f t="shared" si="300"/>
        <v>0</v>
      </c>
      <c r="DI116">
        <f t="shared" si="301"/>
        <v>0</v>
      </c>
      <c r="DJ116">
        <f t="shared" si="302"/>
        <v>0</v>
      </c>
      <c r="DK116">
        <f t="shared" si="303"/>
        <v>0</v>
      </c>
      <c r="DM116">
        <f t="shared" si="304"/>
        <v>3.1775941782441972</v>
      </c>
    </row>
    <row r="117" spans="1:117">
      <c r="A117" s="117" t="s">
        <v>327</v>
      </c>
      <c r="B117" s="117" t="s">
        <v>328</v>
      </c>
      <c r="C117" s="117">
        <v>2.3340000000000001</v>
      </c>
      <c r="F117" s="117">
        <v>5664</v>
      </c>
      <c r="G117" s="117">
        <v>3438</v>
      </c>
      <c r="H117" s="43">
        <f t="shared" si="181"/>
        <v>2.1455723421750237E+22</v>
      </c>
      <c r="I117" s="43">
        <f t="shared" si="182"/>
        <v>6.8177581834971235E+22</v>
      </c>
      <c r="J117" s="42">
        <f t="shared" si="183"/>
        <v>74.876811263999997</v>
      </c>
      <c r="K117" s="42">
        <f t="shared" si="211"/>
        <v>27.587515896000003</v>
      </c>
      <c r="L117" s="42">
        <f t="shared" si="212"/>
        <v>81.014803125895568</v>
      </c>
      <c r="M117" s="79">
        <f t="shared" si="184"/>
        <v>77.208920387210611</v>
      </c>
      <c r="O117" s="52" t="str">
        <f t="shared" si="185"/>
        <v>rhyolite</v>
      </c>
      <c r="P117" s="117">
        <v>71.710239596406893</v>
      </c>
      <c r="R117" s="117">
        <v>0.16628935377156903</v>
      </c>
      <c r="T117" s="117">
        <v>15.057725882527427</v>
      </c>
      <c r="V117" s="117">
        <v>0</v>
      </c>
      <c r="W117" s="117">
        <v>0.86547320385227966</v>
      </c>
      <c r="X117" s="117">
        <v>0</v>
      </c>
      <c r="Y117" s="117">
        <v>0.18581836320003473</v>
      </c>
      <c r="Z117" s="117">
        <v>0.81731885734253706</v>
      </c>
      <c r="AE117" s="117">
        <v>3.8253125686613449</v>
      </c>
      <c r="AF117" s="117">
        <v>4.8050873577892084</v>
      </c>
      <c r="AI117" s="117">
        <v>0</v>
      </c>
      <c r="AM117" s="86">
        <f t="shared" si="213"/>
        <v>97.433265183551285</v>
      </c>
      <c r="AO117" s="71">
        <f t="shared" si="178"/>
        <v>1.4873004857835255</v>
      </c>
      <c r="AQ117" s="97" t="str">
        <f t="shared" si="187"/>
        <v>rhyolite</v>
      </c>
      <c r="AR117" s="73">
        <f t="shared" si="188"/>
        <v>80.251383791488493</v>
      </c>
      <c r="AS117" s="73">
        <f t="shared" si="189"/>
        <v>0</v>
      </c>
      <c r="AT117" s="73">
        <f t="shared" si="190"/>
        <v>0.13993261382582731</v>
      </c>
      <c r="AU117" s="73">
        <f t="shared" si="191"/>
        <v>0</v>
      </c>
      <c r="AV117" s="73">
        <f t="shared" si="192"/>
        <v>9.9295791093758279</v>
      </c>
      <c r="AW117" s="73">
        <f t="shared" si="193"/>
        <v>0</v>
      </c>
      <c r="AX117" s="73">
        <f t="shared" si="194"/>
        <v>0</v>
      </c>
      <c r="AY117" s="73">
        <f t="shared" si="195"/>
        <v>0.80989391103136077</v>
      </c>
      <c r="AZ117" s="73">
        <f t="shared" si="196"/>
        <v>0</v>
      </c>
      <c r="BA117" s="73">
        <f t="shared" si="197"/>
        <v>0.30993963145446113</v>
      </c>
      <c r="BB117" s="73">
        <f t="shared" si="198"/>
        <v>0.97990685184617798</v>
      </c>
      <c r="BC117" s="73">
        <f t="shared" si="199"/>
        <v>0</v>
      </c>
      <c r="BD117" s="73">
        <f t="shared" si="200"/>
        <v>0</v>
      </c>
      <c r="BE117" s="73">
        <f t="shared" si="201"/>
        <v>0</v>
      </c>
      <c r="BF117" s="73">
        <f t="shared" si="202"/>
        <v>0</v>
      </c>
      <c r="BG117" s="73">
        <f t="shared" si="203"/>
        <v>4.1496993781881049</v>
      </c>
      <c r="BH117" s="73">
        <f t="shared" si="204"/>
        <v>3.4296647127897448</v>
      </c>
      <c r="BI117" s="73">
        <f t="shared" si="205"/>
        <v>0</v>
      </c>
      <c r="BJ117" s="73">
        <f t="shared" si="206"/>
        <v>0</v>
      </c>
      <c r="BK117" s="73">
        <f t="shared" si="207"/>
        <v>0</v>
      </c>
      <c r="BL117" s="73">
        <f t="shared" si="208"/>
        <v>0</v>
      </c>
      <c r="BM117" s="73">
        <f t="shared" si="209"/>
        <v>0</v>
      </c>
      <c r="BN117" s="73">
        <f t="shared" si="210"/>
        <v>0</v>
      </c>
      <c r="BQ117">
        <f t="shared" si="260"/>
        <v>48.215031381926288</v>
      </c>
      <c r="BR117">
        <f t="shared" si="261"/>
        <v>0</v>
      </c>
      <c r="BS117">
        <f t="shared" si="262"/>
        <v>0.11180615844683603</v>
      </c>
      <c r="BT117">
        <f t="shared" si="263"/>
        <v>0</v>
      </c>
      <c r="BU117">
        <f t="shared" si="264"/>
        <v>10.124198859919593</v>
      </c>
      <c r="BV117">
        <f t="shared" si="265"/>
        <v>0</v>
      </c>
      <c r="BW117">
        <f t="shared" si="266"/>
        <v>0</v>
      </c>
      <c r="BX117">
        <f t="shared" si="267"/>
        <v>0.58190877507603267</v>
      </c>
      <c r="BY117">
        <f t="shared" si="268"/>
        <v>0</v>
      </c>
      <c r="BZ117">
        <f t="shared" si="269"/>
        <v>0.12493666543929328</v>
      </c>
      <c r="CA117">
        <f t="shared" si="270"/>
        <v>0.54953176251533664</v>
      </c>
      <c r="CB117">
        <f t="shared" si="271"/>
        <v>0</v>
      </c>
      <c r="CC117">
        <f t="shared" si="272"/>
        <v>0</v>
      </c>
      <c r="CD117">
        <f t="shared" si="273"/>
        <v>0</v>
      </c>
      <c r="CE117">
        <f t="shared" si="274"/>
        <v>0</v>
      </c>
      <c r="CF117">
        <f t="shared" si="275"/>
        <v>2.5719836746009874</v>
      </c>
      <c r="CG117">
        <f t="shared" si="276"/>
        <v>3.2307441594479398</v>
      </c>
      <c r="CH117">
        <f t="shared" si="277"/>
        <v>0</v>
      </c>
      <c r="CI117">
        <f t="shared" si="278"/>
        <v>0</v>
      </c>
      <c r="CJ117">
        <f t="shared" si="279"/>
        <v>0</v>
      </c>
      <c r="CK117">
        <f t="shared" si="280"/>
        <v>0</v>
      </c>
      <c r="CL117">
        <f t="shared" si="281"/>
        <v>0</v>
      </c>
      <c r="CN117">
        <f t="shared" si="236"/>
        <v>65.510141437372312</v>
      </c>
      <c r="CP117">
        <f t="shared" si="282"/>
        <v>2.407541513744655</v>
      </c>
      <c r="CQ117">
        <f t="shared" si="283"/>
        <v>0</v>
      </c>
      <c r="CR117">
        <f t="shared" si="284"/>
        <v>4.1979784147748193E-3</v>
      </c>
      <c r="CS117">
        <f t="shared" si="285"/>
        <v>0</v>
      </c>
      <c r="CT117">
        <f t="shared" si="286"/>
        <v>0.49647895546879139</v>
      </c>
      <c r="CU117">
        <f t="shared" si="287"/>
        <v>0</v>
      </c>
      <c r="CV117">
        <f t="shared" si="288"/>
        <v>0</v>
      </c>
      <c r="CW117">
        <f t="shared" si="289"/>
        <v>1.6197878220627217E-2</v>
      </c>
      <c r="CX117">
        <f t="shared" si="290"/>
        <v>0</v>
      </c>
      <c r="CY117">
        <f t="shared" si="291"/>
        <v>6.1987926290892224E-3</v>
      </c>
      <c r="CZ117">
        <f t="shared" si="292"/>
        <v>1.959813703692356E-2</v>
      </c>
      <c r="DA117">
        <f t="shared" si="293"/>
        <v>0</v>
      </c>
      <c r="DB117">
        <f t="shared" si="294"/>
        <v>0</v>
      </c>
      <c r="DC117">
        <f t="shared" si="295"/>
        <v>0</v>
      </c>
      <c r="DD117">
        <f t="shared" si="296"/>
        <v>0</v>
      </c>
      <c r="DE117">
        <f t="shared" si="297"/>
        <v>0.12449098134564315</v>
      </c>
      <c r="DF117">
        <f t="shared" si="298"/>
        <v>0.10288994138369234</v>
      </c>
      <c r="DG117">
        <f t="shared" si="299"/>
        <v>0</v>
      </c>
      <c r="DH117">
        <f t="shared" si="300"/>
        <v>0</v>
      </c>
      <c r="DI117">
        <f t="shared" si="301"/>
        <v>0</v>
      </c>
      <c r="DJ117">
        <f t="shared" si="302"/>
        <v>0</v>
      </c>
      <c r="DK117">
        <f t="shared" si="303"/>
        <v>0</v>
      </c>
      <c r="DM117">
        <f t="shared" si="304"/>
        <v>3.1775941782441972</v>
      </c>
    </row>
    <row r="118" spans="1:117">
      <c r="A118" s="117" t="s">
        <v>327</v>
      </c>
      <c r="B118" s="117" t="s">
        <v>328</v>
      </c>
      <c r="C118" s="117">
        <v>2.3359999999999999</v>
      </c>
      <c r="F118" s="117">
        <v>5621</v>
      </c>
      <c r="G118" s="117">
        <v>3405</v>
      </c>
      <c r="H118" s="43">
        <f t="shared" si="181"/>
        <v>2.1474108788863991E+22</v>
      </c>
      <c r="I118" s="43">
        <f t="shared" si="182"/>
        <v>6.8236003070476764E+22</v>
      </c>
      <c r="J118" s="42">
        <f t="shared" si="183"/>
        <v>73.807417376000004</v>
      </c>
      <c r="K118" s="42">
        <f t="shared" si="211"/>
        <v>27.083642399999999</v>
      </c>
      <c r="L118" s="42">
        <f t="shared" si="212"/>
        <v>79.501684997311045</v>
      </c>
      <c r="M118" s="79">
        <f t="shared" si="184"/>
        <v>75.692541005208199</v>
      </c>
      <c r="O118" s="52" t="str">
        <f t="shared" si="185"/>
        <v>rhyolite</v>
      </c>
      <c r="P118" s="117">
        <v>71.366064260986363</v>
      </c>
      <c r="R118" s="117">
        <v>0.16549124328646531</v>
      </c>
      <c r="T118" s="117">
        <v>14.985455898694479</v>
      </c>
      <c r="V118" s="117">
        <v>0</v>
      </c>
      <c r="W118" s="117">
        <v>0.86131934058380077</v>
      </c>
      <c r="X118" s="117">
        <v>0</v>
      </c>
      <c r="Y118" s="117">
        <v>0.18492652267849127</v>
      </c>
      <c r="Z118" s="117">
        <v>0.81339611223033847</v>
      </c>
      <c r="AE118" s="117">
        <v>3.806952872140775</v>
      </c>
      <c r="AF118" s="117">
        <v>4.7820252042892379</v>
      </c>
      <c r="AI118" s="117">
        <v>0</v>
      </c>
      <c r="AM118" s="86">
        <f t="shared" si="213"/>
        <v>96.965631454889959</v>
      </c>
      <c r="AO118" s="71">
        <f t="shared" si="178"/>
        <v>1.4801621447816453</v>
      </c>
      <c r="AQ118" s="97" t="str">
        <f t="shared" si="187"/>
        <v>rhyolite</v>
      </c>
      <c r="AR118" s="73">
        <f t="shared" si="188"/>
        <v>80.251383791488507</v>
      </c>
      <c r="AS118" s="73">
        <f t="shared" si="189"/>
        <v>0</v>
      </c>
      <c r="AT118" s="73">
        <f t="shared" si="190"/>
        <v>0.13993261382582733</v>
      </c>
      <c r="AU118" s="73">
        <f t="shared" si="191"/>
        <v>0</v>
      </c>
      <c r="AV118" s="73">
        <f t="shared" si="192"/>
        <v>9.9295791093758314</v>
      </c>
      <c r="AW118" s="73">
        <f t="shared" si="193"/>
        <v>0</v>
      </c>
      <c r="AX118" s="73">
        <f t="shared" si="194"/>
        <v>0</v>
      </c>
      <c r="AY118" s="73">
        <f t="shared" si="195"/>
        <v>0.8098939110313611</v>
      </c>
      <c r="AZ118" s="73">
        <f t="shared" si="196"/>
        <v>0</v>
      </c>
      <c r="BA118" s="73">
        <f t="shared" si="197"/>
        <v>0.30993963145446124</v>
      </c>
      <c r="BB118" s="73">
        <f t="shared" si="198"/>
        <v>0.97990685184617798</v>
      </c>
      <c r="BC118" s="73">
        <f t="shared" si="199"/>
        <v>0</v>
      </c>
      <c r="BD118" s="73">
        <f t="shared" si="200"/>
        <v>0</v>
      </c>
      <c r="BE118" s="73">
        <f t="shared" si="201"/>
        <v>0</v>
      </c>
      <c r="BF118" s="73">
        <f t="shared" si="202"/>
        <v>0</v>
      </c>
      <c r="BG118" s="73">
        <f t="shared" si="203"/>
        <v>4.1496993781881057</v>
      </c>
      <c r="BH118" s="73">
        <f t="shared" si="204"/>
        <v>3.4296647127897457</v>
      </c>
      <c r="BI118" s="73">
        <f t="shared" si="205"/>
        <v>0</v>
      </c>
      <c r="BJ118" s="73">
        <f t="shared" si="206"/>
        <v>0</v>
      </c>
      <c r="BK118" s="73">
        <f t="shared" si="207"/>
        <v>0</v>
      </c>
      <c r="BL118" s="73">
        <f t="shared" si="208"/>
        <v>0</v>
      </c>
      <c r="BM118" s="73">
        <f t="shared" si="209"/>
        <v>0</v>
      </c>
      <c r="BN118" s="73">
        <f t="shared" si="210"/>
        <v>0</v>
      </c>
      <c r="BQ118">
        <f t="shared" si="260"/>
        <v>48.215031381926295</v>
      </c>
      <c r="BR118">
        <f t="shared" si="261"/>
        <v>0</v>
      </c>
      <c r="BS118">
        <f t="shared" si="262"/>
        <v>0.11180615844683604</v>
      </c>
      <c r="BT118">
        <f t="shared" si="263"/>
        <v>0</v>
      </c>
      <c r="BU118">
        <f t="shared" si="264"/>
        <v>10.124198859919597</v>
      </c>
      <c r="BV118">
        <f t="shared" si="265"/>
        <v>0</v>
      </c>
      <c r="BW118">
        <f t="shared" si="266"/>
        <v>0</v>
      </c>
      <c r="BX118">
        <f t="shared" si="267"/>
        <v>0.581908775076033</v>
      </c>
      <c r="BY118">
        <f t="shared" si="268"/>
        <v>0</v>
      </c>
      <c r="BZ118">
        <f t="shared" si="269"/>
        <v>0.12493666543929334</v>
      </c>
      <c r="CA118">
        <f t="shared" si="270"/>
        <v>0.54953176251533664</v>
      </c>
      <c r="CB118">
        <f t="shared" si="271"/>
        <v>0</v>
      </c>
      <c r="CC118">
        <f t="shared" si="272"/>
        <v>0</v>
      </c>
      <c r="CD118">
        <f t="shared" si="273"/>
        <v>0</v>
      </c>
      <c r="CE118">
        <f t="shared" si="274"/>
        <v>0</v>
      </c>
      <c r="CF118">
        <f t="shared" si="275"/>
        <v>2.5719836746009879</v>
      </c>
      <c r="CG118">
        <f t="shared" si="276"/>
        <v>3.2307441594479402</v>
      </c>
      <c r="CH118">
        <f t="shared" si="277"/>
        <v>0</v>
      </c>
      <c r="CI118">
        <f t="shared" si="278"/>
        <v>0</v>
      </c>
      <c r="CJ118">
        <f t="shared" si="279"/>
        <v>0</v>
      </c>
      <c r="CK118">
        <f t="shared" si="280"/>
        <v>0</v>
      </c>
      <c r="CL118">
        <f t="shared" si="281"/>
        <v>0</v>
      </c>
      <c r="CN118">
        <f t="shared" si="236"/>
        <v>65.510141437372312</v>
      </c>
      <c r="CP118">
        <f t="shared" si="282"/>
        <v>2.407541513744655</v>
      </c>
      <c r="CQ118">
        <f t="shared" si="283"/>
        <v>0</v>
      </c>
      <c r="CR118">
        <f t="shared" si="284"/>
        <v>4.1979784147748202E-3</v>
      </c>
      <c r="CS118">
        <f t="shared" si="285"/>
        <v>0</v>
      </c>
      <c r="CT118">
        <f t="shared" si="286"/>
        <v>0.49647895546879156</v>
      </c>
      <c r="CU118">
        <f t="shared" si="287"/>
        <v>0</v>
      </c>
      <c r="CV118">
        <f t="shared" si="288"/>
        <v>0</v>
      </c>
      <c r="CW118">
        <f t="shared" si="289"/>
        <v>1.6197878220627224E-2</v>
      </c>
      <c r="CX118">
        <f t="shared" si="290"/>
        <v>0</v>
      </c>
      <c r="CY118">
        <f t="shared" si="291"/>
        <v>6.198792629089225E-3</v>
      </c>
      <c r="CZ118">
        <f t="shared" si="292"/>
        <v>1.959813703692356E-2</v>
      </c>
      <c r="DA118">
        <f t="shared" si="293"/>
        <v>0</v>
      </c>
      <c r="DB118">
        <f t="shared" si="294"/>
        <v>0</v>
      </c>
      <c r="DC118">
        <f t="shared" si="295"/>
        <v>0</v>
      </c>
      <c r="DD118">
        <f t="shared" si="296"/>
        <v>0</v>
      </c>
      <c r="DE118">
        <f t="shared" si="297"/>
        <v>0.12449098134564317</v>
      </c>
      <c r="DF118">
        <f t="shared" si="298"/>
        <v>0.10288994138369237</v>
      </c>
      <c r="DG118">
        <f t="shared" si="299"/>
        <v>0</v>
      </c>
      <c r="DH118">
        <f t="shared" si="300"/>
        <v>0</v>
      </c>
      <c r="DI118">
        <f t="shared" si="301"/>
        <v>0</v>
      </c>
      <c r="DJ118">
        <f t="shared" si="302"/>
        <v>0</v>
      </c>
      <c r="DK118">
        <f t="shared" si="303"/>
        <v>0</v>
      </c>
      <c r="DM118">
        <f t="shared" si="304"/>
        <v>3.1775941782441972</v>
      </c>
    </row>
    <row r="119" spans="1:117">
      <c r="A119" s="117" t="s">
        <v>327</v>
      </c>
      <c r="B119" s="117" t="s">
        <v>329</v>
      </c>
      <c r="C119" s="117">
        <v>2.367</v>
      </c>
      <c r="F119" s="117">
        <v>5533</v>
      </c>
      <c r="G119" s="117">
        <v>3394</v>
      </c>
      <c r="H119" s="43">
        <f t="shared" si="181"/>
        <v>2.1794461561832197E+22</v>
      </c>
      <c r="I119" s="43">
        <f t="shared" si="182"/>
        <v>7.0639621301414255E+22</v>
      </c>
      <c r="J119" s="42">
        <f t="shared" si="183"/>
        <v>72.463548662999997</v>
      </c>
      <c r="K119" s="42">
        <f t="shared" si="211"/>
        <v>27.266031611999999</v>
      </c>
      <c r="L119" s="42">
        <f t="shared" si="212"/>
        <v>80.022757243907947</v>
      </c>
      <c r="M119" s="79">
        <f t="shared" si="184"/>
        <v>76.043914007899588</v>
      </c>
      <c r="O119" s="52" t="str">
        <f t="shared" si="185"/>
        <v>albite</v>
      </c>
      <c r="P119" s="117">
        <v>69.085037336370604</v>
      </c>
      <c r="R119" s="117">
        <v>0</v>
      </c>
      <c r="T119" s="117">
        <v>18.791882849694044</v>
      </c>
      <c r="V119" s="117">
        <v>0</v>
      </c>
      <c r="W119" s="117">
        <v>0</v>
      </c>
      <c r="X119" s="117">
        <v>0</v>
      </c>
      <c r="Y119" s="117">
        <v>0</v>
      </c>
      <c r="Z119" s="117">
        <v>0</v>
      </c>
      <c r="AE119" s="117">
        <v>11.943485140491598</v>
      </c>
      <c r="AF119" s="117">
        <v>0.14383350232215861</v>
      </c>
      <c r="AI119" s="117">
        <v>0</v>
      </c>
      <c r="AM119" s="86">
        <f t="shared" si="213"/>
        <v>99.964238828878408</v>
      </c>
      <c r="AO119" s="71">
        <f t="shared" si="178"/>
        <v>1.5284164457471072</v>
      </c>
      <c r="AQ119" s="97" t="str">
        <f t="shared" si="187"/>
        <v>albite</v>
      </c>
      <c r="AR119" s="73">
        <f t="shared" si="188"/>
        <v>75.233691270832438</v>
      </c>
      <c r="AS119" s="73">
        <f t="shared" si="189"/>
        <v>0</v>
      </c>
      <c r="AT119" s="73">
        <f t="shared" si="190"/>
        <v>0</v>
      </c>
      <c r="AU119" s="73">
        <f t="shared" si="191"/>
        <v>0</v>
      </c>
      <c r="AV119" s="73">
        <f t="shared" si="192"/>
        <v>12.058652151156396</v>
      </c>
      <c r="AW119" s="73">
        <f t="shared" si="193"/>
        <v>0</v>
      </c>
      <c r="AX119" s="73">
        <f t="shared" si="194"/>
        <v>0</v>
      </c>
      <c r="AY119" s="73">
        <f t="shared" si="195"/>
        <v>0</v>
      </c>
      <c r="AZ119" s="73">
        <f t="shared" si="196"/>
        <v>0</v>
      </c>
      <c r="BA119" s="73">
        <f t="shared" si="197"/>
        <v>0</v>
      </c>
      <c r="BB119" s="73">
        <f t="shared" si="198"/>
        <v>0</v>
      </c>
      <c r="BC119" s="73">
        <f t="shared" si="199"/>
        <v>0</v>
      </c>
      <c r="BD119" s="73">
        <f t="shared" si="200"/>
        <v>0</v>
      </c>
      <c r="BE119" s="73">
        <f t="shared" si="201"/>
        <v>0</v>
      </c>
      <c r="BF119" s="73">
        <f t="shared" si="202"/>
        <v>0</v>
      </c>
      <c r="BG119" s="73">
        <f t="shared" si="203"/>
        <v>12.607756126576051</v>
      </c>
      <c r="BH119" s="73">
        <f t="shared" si="204"/>
        <v>9.9900451435119206E-2</v>
      </c>
      <c r="BI119" s="73">
        <f t="shared" si="205"/>
        <v>0</v>
      </c>
      <c r="BJ119" s="73">
        <f t="shared" si="206"/>
        <v>0</v>
      </c>
      <c r="BK119" s="73">
        <f t="shared" si="207"/>
        <v>0</v>
      </c>
      <c r="BL119" s="73">
        <f t="shared" si="208"/>
        <v>0</v>
      </c>
      <c r="BM119" s="73">
        <f t="shared" si="209"/>
        <v>0</v>
      </c>
      <c r="BN119" s="73">
        <f t="shared" si="210"/>
        <v>0</v>
      </c>
      <c r="BQ119">
        <f t="shared" si="260"/>
        <v>45.200401715516129</v>
      </c>
      <c r="BR119">
        <f t="shared" si="261"/>
        <v>0</v>
      </c>
      <c r="BS119">
        <f t="shared" si="262"/>
        <v>0</v>
      </c>
      <c r="BT119">
        <f t="shared" si="263"/>
        <v>0</v>
      </c>
      <c r="BU119">
        <f t="shared" si="264"/>
        <v>12.29500173331906</v>
      </c>
      <c r="BV119">
        <f t="shared" si="265"/>
        <v>0</v>
      </c>
      <c r="BW119">
        <f t="shared" si="266"/>
        <v>0</v>
      </c>
      <c r="BX119">
        <f t="shared" si="267"/>
        <v>0</v>
      </c>
      <c r="BY119">
        <f t="shared" si="268"/>
        <v>0</v>
      </c>
      <c r="BZ119">
        <f t="shared" si="269"/>
        <v>0</v>
      </c>
      <c r="CA119">
        <f t="shared" si="270"/>
        <v>0</v>
      </c>
      <c r="CB119">
        <f t="shared" si="271"/>
        <v>0</v>
      </c>
      <c r="CC119">
        <f t="shared" si="272"/>
        <v>0</v>
      </c>
      <c r="CD119">
        <f t="shared" si="273"/>
        <v>0</v>
      </c>
      <c r="CE119">
        <f t="shared" si="274"/>
        <v>0</v>
      </c>
      <c r="CF119">
        <f t="shared" si="275"/>
        <v>7.8142872472518352</v>
      </c>
      <c r="CG119">
        <f t="shared" si="276"/>
        <v>9.4106225251882294E-2</v>
      </c>
      <c r="CH119">
        <f t="shared" si="277"/>
        <v>0</v>
      </c>
      <c r="CI119">
        <f t="shared" si="278"/>
        <v>0</v>
      </c>
      <c r="CJ119">
        <f t="shared" si="279"/>
        <v>0</v>
      </c>
      <c r="CK119">
        <f t="shared" si="280"/>
        <v>0</v>
      </c>
      <c r="CL119">
        <f t="shared" si="281"/>
        <v>0</v>
      </c>
      <c r="CN119">
        <f t="shared" si="236"/>
        <v>65.403796921338909</v>
      </c>
      <c r="CP119">
        <f t="shared" si="282"/>
        <v>2.2570107381249729</v>
      </c>
      <c r="CQ119">
        <f t="shared" si="283"/>
        <v>0</v>
      </c>
      <c r="CR119">
        <f t="shared" si="284"/>
        <v>0</v>
      </c>
      <c r="CS119">
        <f t="shared" si="285"/>
        <v>0</v>
      </c>
      <c r="CT119">
        <f t="shared" si="286"/>
        <v>0.60293260755781986</v>
      </c>
      <c r="CU119">
        <f t="shared" si="287"/>
        <v>0</v>
      </c>
      <c r="CV119">
        <f t="shared" si="288"/>
        <v>0</v>
      </c>
      <c r="CW119">
        <f t="shared" si="289"/>
        <v>0</v>
      </c>
      <c r="CX119">
        <f t="shared" si="290"/>
        <v>0</v>
      </c>
      <c r="CY119">
        <f t="shared" si="291"/>
        <v>0</v>
      </c>
      <c r="CZ119">
        <f t="shared" si="292"/>
        <v>0</v>
      </c>
      <c r="DA119">
        <f t="shared" si="293"/>
        <v>0</v>
      </c>
      <c r="DB119">
        <f t="shared" si="294"/>
        <v>0</v>
      </c>
      <c r="DC119">
        <f t="shared" si="295"/>
        <v>0</v>
      </c>
      <c r="DD119">
        <f t="shared" si="296"/>
        <v>0</v>
      </c>
      <c r="DE119">
        <f t="shared" si="297"/>
        <v>0.37823268379728148</v>
      </c>
      <c r="DF119">
        <f t="shared" si="298"/>
        <v>2.9970135430535758E-3</v>
      </c>
      <c r="DG119">
        <f t="shared" si="299"/>
        <v>0</v>
      </c>
      <c r="DH119">
        <f t="shared" si="300"/>
        <v>0</v>
      </c>
      <c r="DI119">
        <f t="shared" si="301"/>
        <v>0</v>
      </c>
      <c r="DJ119">
        <f t="shared" si="302"/>
        <v>0</v>
      </c>
      <c r="DK119">
        <f t="shared" si="303"/>
        <v>0</v>
      </c>
      <c r="DM119">
        <f t="shared" si="304"/>
        <v>3.241173043023128</v>
      </c>
    </row>
    <row r="120" spans="1:117">
      <c r="A120" s="117" t="s">
        <v>327</v>
      </c>
      <c r="B120" s="117" t="s">
        <v>329</v>
      </c>
      <c r="C120" s="117">
        <v>2.387</v>
      </c>
      <c r="F120" s="117">
        <v>5752</v>
      </c>
      <c r="G120" s="117">
        <v>3547</v>
      </c>
      <c r="H120" s="43">
        <f t="shared" si="181"/>
        <v>2.1978614173254531E+22</v>
      </c>
      <c r="I120" s="43">
        <f t="shared" si="182"/>
        <v>7.1236491781358632E+22</v>
      </c>
      <c r="J120" s="42">
        <f t="shared" si="183"/>
        <v>78.975098047999992</v>
      </c>
      <c r="K120" s="42">
        <f t="shared" si="211"/>
        <v>30.031345883</v>
      </c>
      <c r="L120" s="42">
        <f t="shared" si="212"/>
        <v>88.303699299898312</v>
      </c>
      <c r="M120" s="79">
        <f t="shared" si="184"/>
        <v>84.29123677165498</v>
      </c>
      <c r="O120" s="52" t="str">
        <f t="shared" si="185"/>
        <v>albite</v>
      </c>
      <c r="P120" s="117">
        <v>68.658193326752553</v>
      </c>
      <c r="R120" s="117">
        <v>0</v>
      </c>
      <c r="T120" s="117">
        <v>18.67577662853386</v>
      </c>
      <c r="V120" s="117">
        <v>0</v>
      </c>
      <c r="W120" s="117">
        <v>0</v>
      </c>
      <c r="X120" s="117">
        <v>0</v>
      </c>
      <c r="Y120" s="117">
        <v>0</v>
      </c>
      <c r="Z120" s="117">
        <v>0</v>
      </c>
      <c r="AE120" s="117">
        <v>11.869691953388591</v>
      </c>
      <c r="AF120" s="117">
        <v>0.14294482264250999</v>
      </c>
      <c r="AI120" s="117">
        <v>0</v>
      </c>
      <c r="AM120" s="86">
        <f t="shared" si="213"/>
        <v>99.346606731317522</v>
      </c>
      <c r="AO120" s="71">
        <f t="shared" si="178"/>
        <v>1.5189730781349227</v>
      </c>
      <c r="AQ120" s="97" t="str">
        <f t="shared" si="187"/>
        <v>albite</v>
      </c>
      <c r="AR120" s="73">
        <f t="shared" si="188"/>
        <v>75.233691270832423</v>
      </c>
      <c r="AS120" s="73">
        <f t="shared" si="189"/>
        <v>0</v>
      </c>
      <c r="AT120" s="73">
        <f t="shared" si="190"/>
        <v>0</v>
      </c>
      <c r="AU120" s="73">
        <f t="shared" si="191"/>
        <v>0</v>
      </c>
      <c r="AV120" s="73">
        <f t="shared" si="192"/>
        <v>12.058652151156394</v>
      </c>
      <c r="AW120" s="73">
        <f t="shared" si="193"/>
        <v>0</v>
      </c>
      <c r="AX120" s="73">
        <f t="shared" si="194"/>
        <v>0</v>
      </c>
      <c r="AY120" s="73">
        <f t="shared" si="195"/>
        <v>0</v>
      </c>
      <c r="AZ120" s="73">
        <f t="shared" si="196"/>
        <v>0</v>
      </c>
      <c r="BA120" s="73">
        <f t="shared" si="197"/>
        <v>0</v>
      </c>
      <c r="BB120" s="73">
        <f t="shared" si="198"/>
        <v>0</v>
      </c>
      <c r="BC120" s="73">
        <f t="shared" si="199"/>
        <v>0</v>
      </c>
      <c r="BD120" s="73">
        <f t="shared" si="200"/>
        <v>0</v>
      </c>
      <c r="BE120" s="73">
        <f t="shared" si="201"/>
        <v>0</v>
      </c>
      <c r="BF120" s="73">
        <f t="shared" si="202"/>
        <v>0</v>
      </c>
      <c r="BG120" s="73">
        <f t="shared" si="203"/>
        <v>12.607756126576048</v>
      </c>
      <c r="BH120" s="73">
        <f t="shared" si="204"/>
        <v>9.9900451435119178E-2</v>
      </c>
      <c r="BI120" s="73">
        <f t="shared" si="205"/>
        <v>0</v>
      </c>
      <c r="BJ120" s="73">
        <f t="shared" si="206"/>
        <v>0</v>
      </c>
      <c r="BK120" s="73">
        <f t="shared" si="207"/>
        <v>0</v>
      </c>
      <c r="BL120" s="73">
        <f t="shared" si="208"/>
        <v>0</v>
      </c>
      <c r="BM120" s="73">
        <f t="shared" si="209"/>
        <v>0</v>
      </c>
      <c r="BN120" s="73">
        <f t="shared" si="210"/>
        <v>0</v>
      </c>
      <c r="BQ120">
        <f t="shared" si="260"/>
        <v>45.200401715516122</v>
      </c>
      <c r="BR120">
        <f t="shared" si="261"/>
        <v>0</v>
      </c>
      <c r="BS120">
        <f t="shared" si="262"/>
        <v>0</v>
      </c>
      <c r="BT120">
        <f t="shared" si="263"/>
        <v>0</v>
      </c>
      <c r="BU120">
        <f t="shared" si="264"/>
        <v>12.29500173331906</v>
      </c>
      <c r="BV120">
        <f t="shared" si="265"/>
        <v>0</v>
      </c>
      <c r="BW120">
        <f t="shared" si="266"/>
        <v>0</v>
      </c>
      <c r="BX120">
        <f t="shared" si="267"/>
        <v>0</v>
      </c>
      <c r="BY120">
        <f t="shared" si="268"/>
        <v>0</v>
      </c>
      <c r="BZ120">
        <f t="shared" si="269"/>
        <v>0</v>
      </c>
      <c r="CA120">
        <f t="shared" si="270"/>
        <v>0</v>
      </c>
      <c r="CB120">
        <f t="shared" si="271"/>
        <v>0</v>
      </c>
      <c r="CC120">
        <f t="shared" si="272"/>
        <v>0</v>
      </c>
      <c r="CD120">
        <f t="shared" si="273"/>
        <v>0</v>
      </c>
      <c r="CE120">
        <f t="shared" si="274"/>
        <v>0</v>
      </c>
      <c r="CF120">
        <f t="shared" si="275"/>
        <v>7.8142872472518334</v>
      </c>
      <c r="CG120">
        <f t="shared" si="276"/>
        <v>9.4106225251882267E-2</v>
      </c>
      <c r="CH120">
        <f t="shared" si="277"/>
        <v>0</v>
      </c>
      <c r="CI120">
        <f t="shared" si="278"/>
        <v>0</v>
      </c>
      <c r="CJ120">
        <f t="shared" si="279"/>
        <v>0</v>
      </c>
      <c r="CK120">
        <f t="shared" si="280"/>
        <v>0</v>
      </c>
      <c r="CL120">
        <f t="shared" si="281"/>
        <v>0</v>
      </c>
      <c r="CN120">
        <f t="shared" si="236"/>
        <v>65.403796921338895</v>
      </c>
      <c r="CP120">
        <f t="shared" si="282"/>
        <v>2.2570107381249729</v>
      </c>
      <c r="CQ120">
        <f t="shared" si="283"/>
        <v>0</v>
      </c>
      <c r="CR120">
        <f t="shared" si="284"/>
        <v>0</v>
      </c>
      <c r="CS120">
        <f t="shared" si="285"/>
        <v>0</v>
      </c>
      <c r="CT120">
        <f t="shared" si="286"/>
        <v>0.60293260755781974</v>
      </c>
      <c r="CU120">
        <f t="shared" si="287"/>
        <v>0</v>
      </c>
      <c r="CV120">
        <f t="shared" si="288"/>
        <v>0</v>
      </c>
      <c r="CW120">
        <f t="shared" si="289"/>
        <v>0</v>
      </c>
      <c r="CX120">
        <f t="shared" si="290"/>
        <v>0</v>
      </c>
      <c r="CY120">
        <f t="shared" si="291"/>
        <v>0</v>
      </c>
      <c r="CZ120">
        <f t="shared" si="292"/>
        <v>0</v>
      </c>
      <c r="DA120">
        <f t="shared" si="293"/>
        <v>0</v>
      </c>
      <c r="DB120">
        <f t="shared" si="294"/>
        <v>0</v>
      </c>
      <c r="DC120">
        <f t="shared" si="295"/>
        <v>0</v>
      </c>
      <c r="DD120">
        <f t="shared" si="296"/>
        <v>0</v>
      </c>
      <c r="DE120">
        <f t="shared" si="297"/>
        <v>0.37823268379728142</v>
      </c>
      <c r="DF120">
        <f t="shared" si="298"/>
        <v>2.9970135430535754E-3</v>
      </c>
      <c r="DG120">
        <f t="shared" si="299"/>
        <v>0</v>
      </c>
      <c r="DH120">
        <f t="shared" si="300"/>
        <v>0</v>
      </c>
      <c r="DI120">
        <f t="shared" si="301"/>
        <v>0</v>
      </c>
      <c r="DJ120">
        <f t="shared" si="302"/>
        <v>0</v>
      </c>
      <c r="DK120">
        <f t="shared" si="303"/>
        <v>0</v>
      </c>
      <c r="DM120">
        <f t="shared" si="304"/>
        <v>3.2411730430231276</v>
      </c>
    </row>
    <row r="121" spans="1:117">
      <c r="A121" s="117" t="s">
        <v>327</v>
      </c>
      <c r="B121" s="117" t="s">
        <v>329</v>
      </c>
      <c r="C121" s="117">
        <v>2.3940000000000001</v>
      </c>
      <c r="F121" s="117">
        <v>5632</v>
      </c>
      <c r="G121" s="117">
        <v>3438</v>
      </c>
      <c r="H121" s="43">
        <f t="shared" si="181"/>
        <v>2.2043067587252338E+22</v>
      </c>
      <c r="I121" s="43">
        <f t="shared" si="182"/>
        <v>7.1445396449339139E+22</v>
      </c>
      <c r="J121" s="42">
        <f t="shared" si="183"/>
        <v>75.936301056000005</v>
      </c>
      <c r="K121" s="42">
        <f t="shared" si="211"/>
        <v>28.296706536000002</v>
      </c>
      <c r="L121" s="42">
        <f t="shared" si="212"/>
        <v>83.094530993944943</v>
      </c>
      <c r="M121" s="79">
        <f t="shared" si="184"/>
        <v>79.070301713419369</v>
      </c>
      <c r="O121" s="52" t="str">
        <f t="shared" si="185"/>
        <v>albite</v>
      </c>
      <c r="P121" s="117">
        <v>68.424364773630359</v>
      </c>
      <c r="R121" s="117">
        <v>0</v>
      </c>
      <c r="T121" s="117">
        <v>18.612172714479488</v>
      </c>
      <c r="V121" s="117">
        <v>0</v>
      </c>
      <c r="W121" s="117">
        <v>0</v>
      </c>
      <c r="X121" s="117">
        <v>0</v>
      </c>
      <c r="Y121" s="117">
        <v>0</v>
      </c>
      <c r="Z121" s="117">
        <v>0</v>
      </c>
      <c r="AE121" s="117">
        <v>11.82926745689393</v>
      </c>
      <c r="AF121" s="117">
        <v>0.14245799682558621</v>
      </c>
      <c r="AI121" s="117">
        <v>0</v>
      </c>
      <c r="AM121" s="86">
        <f t="shared" si="213"/>
        <v>99.008262941829358</v>
      </c>
      <c r="AO121" s="71">
        <f t="shared" si="178"/>
        <v>1.513799926033446</v>
      </c>
      <c r="AQ121" s="97" t="str">
        <f t="shared" si="187"/>
        <v>albite</v>
      </c>
      <c r="AR121" s="73">
        <f t="shared" si="188"/>
        <v>75.233691270832438</v>
      </c>
      <c r="AS121" s="73">
        <f t="shared" si="189"/>
        <v>0</v>
      </c>
      <c r="AT121" s="73">
        <f t="shared" si="190"/>
        <v>0</v>
      </c>
      <c r="AU121" s="73">
        <f t="shared" si="191"/>
        <v>0</v>
      </c>
      <c r="AV121" s="73">
        <f t="shared" si="192"/>
        <v>12.058652151156398</v>
      </c>
      <c r="AW121" s="73">
        <f t="shared" si="193"/>
        <v>0</v>
      </c>
      <c r="AX121" s="73">
        <f t="shared" si="194"/>
        <v>0</v>
      </c>
      <c r="AY121" s="73">
        <f t="shared" si="195"/>
        <v>0</v>
      </c>
      <c r="AZ121" s="73">
        <f t="shared" si="196"/>
        <v>0</v>
      </c>
      <c r="BA121" s="73">
        <f t="shared" si="197"/>
        <v>0</v>
      </c>
      <c r="BB121" s="73">
        <f t="shared" si="198"/>
        <v>0</v>
      </c>
      <c r="BC121" s="73">
        <f t="shared" si="199"/>
        <v>0</v>
      </c>
      <c r="BD121" s="73">
        <f t="shared" si="200"/>
        <v>0</v>
      </c>
      <c r="BE121" s="73">
        <f t="shared" si="201"/>
        <v>0</v>
      </c>
      <c r="BF121" s="73">
        <f t="shared" si="202"/>
        <v>0</v>
      </c>
      <c r="BG121" s="73">
        <f t="shared" si="203"/>
        <v>12.607756126576053</v>
      </c>
      <c r="BH121" s="73">
        <f t="shared" si="204"/>
        <v>9.9900451435119192E-2</v>
      </c>
      <c r="BI121" s="73">
        <f t="shared" si="205"/>
        <v>0</v>
      </c>
      <c r="BJ121" s="73">
        <f t="shared" si="206"/>
        <v>0</v>
      </c>
      <c r="BK121" s="73">
        <f t="shared" si="207"/>
        <v>0</v>
      </c>
      <c r="BL121" s="73">
        <f t="shared" si="208"/>
        <v>0</v>
      </c>
      <c r="BM121" s="73">
        <f t="shared" si="209"/>
        <v>0</v>
      </c>
      <c r="BN121" s="73">
        <f t="shared" si="210"/>
        <v>0</v>
      </c>
      <c r="BQ121">
        <f t="shared" si="260"/>
        <v>45.200401715516129</v>
      </c>
      <c r="BR121">
        <f t="shared" si="261"/>
        <v>0</v>
      </c>
      <c r="BS121">
        <f t="shared" si="262"/>
        <v>0</v>
      </c>
      <c r="BT121">
        <f t="shared" si="263"/>
        <v>0</v>
      </c>
      <c r="BU121">
        <f t="shared" si="264"/>
        <v>12.295001733319062</v>
      </c>
      <c r="BV121">
        <f t="shared" si="265"/>
        <v>0</v>
      </c>
      <c r="BW121">
        <f t="shared" si="266"/>
        <v>0</v>
      </c>
      <c r="BX121">
        <f t="shared" si="267"/>
        <v>0</v>
      </c>
      <c r="BY121">
        <f t="shared" si="268"/>
        <v>0</v>
      </c>
      <c r="BZ121">
        <f t="shared" si="269"/>
        <v>0</v>
      </c>
      <c r="CA121">
        <f t="shared" si="270"/>
        <v>0</v>
      </c>
      <c r="CB121">
        <f t="shared" si="271"/>
        <v>0</v>
      </c>
      <c r="CC121">
        <f t="shared" si="272"/>
        <v>0</v>
      </c>
      <c r="CD121">
        <f t="shared" si="273"/>
        <v>0</v>
      </c>
      <c r="CE121">
        <f t="shared" si="274"/>
        <v>0</v>
      </c>
      <c r="CF121">
        <f t="shared" si="275"/>
        <v>7.814287247251837</v>
      </c>
      <c r="CG121">
        <f t="shared" si="276"/>
        <v>9.4106225251882294E-2</v>
      </c>
      <c r="CH121">
        <f t="shared" si="277"/>
        <v>0</v>
      </c>
      <c r="CI121">
        <f t="shared" si="278"/>
        <v>0</v>
      </c>
      <c r="CJ121">
        <f t="shared" si="279"/>
        <v>0</v>
      </c>
      <c r="CK121">
        <f t="shared" si="280"/>
        <v>0</v>
      </c>
      <c r="CL121">
        <f t="shared" si="281"/>
        <v>0</v>
      </c>
      <c r="CN121">
        <f t="shared" si="236"/>
        <v>65.403796921338909</v>
      </c>
      <c r="CP121">
        <f t="shared" si="282"/>
        <v>2.2570107381249729</v>
      </c>
      <c r="CQ121">
        <f t="shared" si="283"/>
        <v>0</v>
      </c>
      <c r="CR121">
        <f t="shared" si="284"/>
        <v>0</v>
      </c>
      <c r="CS121">
        <f t="shared" si="285"/>
        <v>0</v>
      </c>
      <c r="CT121">
        <f t="shared" si="286"/>
        <v>0.60293260755781986</v>
      </c>
      <c r="CU121">
        <f t="shared" si="287"/>
        <v>0</v>
      </c>
      <c r="CV121">
        <f t="shared" si="288"/>
        <v>0</v>
      </c>
      <c r="CW121">
        <f t="shared" si="289"/>
        <v>0</v>
      </c>
      <c r="CX121">
        <f t="shared" si="290"/>
        <v>0</v>
      </c>
      <c r="CY121">
        <f t="shared" si="291"/>
        <v>0</v>
      </c>
      <c r="CZ121">
        <f t="shared" si="292"/>
        <v>0</v>
      </c>
      <c r="DA121">
        <f t="shared" si="293"/>
        <v>0</v>
      </c>
      <c r="DB121">
        <f t="shared" si="294"/>
        <v>0</v>
      </c>
      <c r="DC121">
        <f t="shared" si="295"/>
        <v>0</v>
      </c>
      <c r="DD121">
        <f t="shared" si="296"/>
        <v>0</v>
      </c>
      <c r="DE121">
        <f t="shared" si="297"/>
        <v>0.37823268379728159</v>
      </c>
      <c r="DF121">
        <f t="shared" si="298"/>
        <v>2.9970135430535758E-3</v>
      </c>
      <c r="DG121">
        <f t="shared" si="299"/>
        <v>0</v>
      </c>
      <c r="DH121">
        <f t="shared" si="300"/>
        <v>0</v>
      </c>
      <c r="DI121">
        <f t="shared" si="301"/>
        <v>0</v>
      </c>
      <c r="DJ121">
        <f t="shared" si="302"/>
        <v>0</v>
      </c>
      <c r="DK121">
        <f t="shared" si="303"/>
        <v>0</v>
      </c>
      <c r="DM121">
        <f t="shared" si="304"/>
        <v>3.241173043023128</v>
      </c>
    </row>
    <row r="122" spans="1:117">
      <c r="A122" s="117" t="s">
        <v>327</v>
      </c>
      <c r="B122" s="117" t="s">
        <v>329</v>
      </c>
      <c r="C122" s="117">
        <v>2.3849999999999998</v>
      </c>
      <c r="F122" s="117">
        <v>5664</v>
      </c>
      <c r="G122" s="117">
        <v>3460</v>
      </c>
      <c r="H122" s="43">
        <f t="shared" si="181"/>
        <v>2.1960198912112291E+22</v>
      </c>
      <c r="I122" s="43">
        <f t="shared" si="182"/>
        <v>7.117680473336418E+22</v>
      </c>
      <c r="J122" s="42">
        <f t="shared" si="183"/>
        <v>76.51293695999999</v>
      </c>
      <c r="K122" s="42">
        <f t="shared" si="211"/>
        <v>28.552265999999996</v>
      </c>
      <c r="L122" s="42">
        <f t="shared" si="212"/>
        <v>83.867959726599253</v>
      </c>
      <c r="M122" s="79">
        <f t="shared" si="184"/>
        <v>79.858859127579422</v>
      </c>
      <c r="O122" s="52" t="str">
        <f t="shared" si="185"/>
        <v>albite</v>
      </c>
      <c r="P122" s="117">
        <v>68.400138005186164</v>
      </c>
      <c r="R122" s="117">
        <v>0</v>
      </c>
      <c r="T122" s="117">
        <v>18.605582769507567</v>
      </c>
      <c r="V122" s="117">
        <v>0</v>
      </c>
      <c r="W122" s="117">
        <v>0</v>
      </c>
      <c r="X122" s="117">
        <v>0</v>
      </c>
      <c r="Y122" s="117">
        <v>0</v>
      </c>
      <c r="Z122" s="117">
        <v>0</v>
      </c>
      <c r="AE122" s="117">
        <v>11.825079110761809</v>
      </c>
      <c r="AF122" s="117">
        <v>0.14240755723563117</v>
      </c>
      <c r="AI122" s="117">
        <v>0</v>
      </c>
      <c r="AM122" s="86">
        <f t="shared" si="213"/>
        <v>98.973207442691162</v>
      </c>
      <c r="AO122" s="71">
        <f t="shared" si="178"/>
        <v>1.5132639403447197</v>
      </c>
      <c r="AQ122" s="97" t="str">
        <f t="shared" si="187"/>
        <v>albite</v>
      </c>
      <c r="AR122" s="73">
        <f t="shared" si="188"/>
        <v>75.233691270832438</v>
      </c>
      <c r="AS122" s="73">
        <f t="shared" si="189"/>
        <v>0</v>
      </c>
      <c r="AT122" s="73">
        <f t="shared" si="190"/>
        <v>0</v>
      </c>
      <c r="AU122" s="73">
        <f t="shared" si="191"/>
        <v>0</v>
      </c>
      <c r="AV122" s="73">
        <f t="shared" si="192"/>
        <v>12.0586521511564</v>
      </c>
      <c r="AW122" s="73">
        <f t="shared" si="193"/>
        <v>0</v>
      </c>
      <c r="AX122" s="73">
        <f t="shared" si="194"/>
        <v>0</v>
      </c>
      <c r="AY122" s="73">
        <f t="shared" si="195"/>
        <v>0</v>
      </c>
      <c r="AZ122" s="73">
        <f t="shared" si="196"/>
        <v>0</v>
      </c>
      <c r="BA122" s="73">
        <f t="shared" si="197"/>
        <v>0</v>
      </c>
      <c r="BB122" s="73">
        <f t="shared" si="198"/>
        <v>0</v>
      </c>
      <c r="BC122" s="73">
        <f t="shared" si="199"/>
        <v>0</v>
      </c>
      <c r="BD122" s="73">
        <f t="shared" si="200"/>
        <v>0</v>
      </c>
      <c r="BE122" s="73">
        <f t="shared" si="201"/>
        <v>0</v>
      </c>
      <c r="BF122" s="73">
        <f t="shared" si="202"/>
        <v>0</v>
      </c>
      <c r="BG122" s="73">
        <f t="shared" si="203"/>
        <v>12.607756126576056</v>
      </c>
      <c r="BH122" s="73">
        <f t="shared" si="204"/>
        <v>9.9900451435119206E-2</v>
      </c>
      <c r="BI122" s="73">
        <f t="shared" si="205"/>
        <v>0</v>
      </c>
      <c r="BJ122" s="73">
        <f t="shared" si="206"/>
        <v>0</v>
      </c>
      <c r="BK122" s="73">
        <f t="shared" si="207"/>
        <v>0</v>
      </c>
      <c r="BL122" s="73">
        <f t="shared" si="208"/>
        <v>0</v>
      </c>
      <c r="BM122" s="73">
        <f t="shared" si="209"/>
        <v>0</v>
      </c>
      <c r="BN122" s="73">
        <f t="shared" si="210"/>
        <v>0</v>
      </c>
      <c r="BQ122">
        <f t="shared" si="260"/>
        <v>45.200401715516129</v>
      </c>
      <c r="BR122">
        <f t="shared" si="261"/>
        <v>0</v>
      </c>
      <c r="BS122">
        <f t="shared" si="262"/>
        <v>0</v>
      </c>
      <c r="BT122">
        <f t="shared" si="263"/>
        <v>0</v>
      </c>
      <c r="BU122">
        <f t="shared" si="264"/>
        <v>12.295001733319065</v>
      </c>
      <c r="BV122">
        <f t="shared" si="265"/>
        <v>0</v>
      </c>
      <c r="BW122">
        <f t="shared" si="266"/>
        <v>0</v>
      </c>
      <c r="BX122">
        <f t="shared" si="267"/>
        <v>0</v>
      </c>
      <c r="BY122">
        <f t="shared" si="268"/>
        <v>0</v>
      </c>
      <c r="BZ122">
        <f t="shared" si="269"/>
        <v>0</v>
      </c>
      <c r="CA122">
        <f t="shared" si="270"/>
        <v>0</v>
      </c>
      <c r="CB122">
        <f t="shared" si="271"/>
        <v>0</v>
      </c>
      <c r="CC122">
        <f t="shared" si="272"/>
        <v>0</v>
      </c>
      <c r="CD122">
        <f t="shared" si="273"/>
        <v>0</v>
      </c>
      <c r="CE122">
        <f t="shared" si="274"/>
        <v>0</v>
      </c>
      <c r="CF122">
        <f t="shared" si="275"/>
        <v>7.8142872472518388</v>
      </c>
      <c r="CG122">
        <f t="shared" si="276"/>
        <v>9.4106225251882294E-2</v>
      </c>
      <c r="CH122">
        <f t="shared" si="277"/>
        <v>0</v>
      </c>
      <c r="CI122">
        <f t="shared" si="278"/>
        <v>0</v>
      </c>
      <c r="CJ122">
        <f t="shared" si="279"/>
        <v>0</v>
      </c>
      <c r="CK122">
        <f t="shared" si="280"/>
        <v>0</v>
      </c>
      <c r="CL122">
        <f t="shared" si="281"/>
        <v>0</v>
      </c>
      <c r="CN122">
        <f t="shared" si="236"/>
        <v>65.403796921338909</v>
      </c>
      <c r="CP122">
        <f t="shared" si="282"/>
        <v>2.2570107381249729</v>
      </c>
      <c r="CQ122">
        <f t="shared" si="283"/>
        <v>0</v>
      </c>
      <c r="CR122">
        <f t="shared" si="284"/>
        <v>0</v>
      </c>
      <c r="CS122">
        <f t="shared" si="285"/>
        <v>0</v>
      </c>
      <c r="CT122">
        <f t="shared" si="286"/>
        <v>0.60293260755781997</v>
      </c>
      <c r="CU122">
        <f t="shared" si="287"/>
        <v>0</v>
      </c>
      <c r="CV122">
        <f t="shared" si="288"/>
        <v>0</v>
      </c>
      <c r="CW122">
        <f t="shared" si="289"/>
        <v>0</v>
      </c>
      <c r="CX122">
        <f t="shared" si="290"/>
        <v>0</v>
      </c>
      <c r="CY122">
        <f t="shared" si="291"/>
        <v>0</v>
      </c>
      <c r="CZ122">
        <f t="shared" si="292"/>
        <v>0</v>
      </c>
      <c r="DA122">
        <f t="shared" si="293"/>
        <v>0</v>
      </c>
      <c r="DB122">
        <f t="shared" si="294"/>
        <v>0</v>
      </c>
      <c r="DC122">
        <f t="shared" si="295"/>
        <v>0</v>
      </c>
      <c r="DD122">
        <f t="shared" si="296"/>
        <v>0</v>
      </c>
      <c r="DE122">
        <f t="shared" si="297"/>
        <v>0.3782326837972817</v>
      </c>
      <c r="DF122">
        <f t="shared" si="298"/>
        <v>2.9970135430535758E-3</v>
      </c>
      <c r="DG122">
        <f t="shared" si="299"/>
        <v>0</v>
      </c>
      <c r="DH122">
        <f t="shared" si="300"/>
        <v>0</v>
      </c>
      <c r="DI122">
        <f t="shared" si="301"/>
        <v>0</v>
      </c>
      <c r="DJ122">
        <f t="shared" si="302"/>
        <v>0</v>
      </c>
      <c r="DK122">
        <f t="shared" si="303"/>
        <v>0</v>
      </c>
      <c r="DM122">
        <f t="shared" si="304"/>
        <v>3.241173043023128</v>
      </c>
    </row>
    <row r="123" spans="1:117">
      <c r="A123" s="117" t="s">
        <v>327</v>
      </c>
      <c r="B123" s="117" t="s">
        <v>329</v>
      </c>
      <c r="C123" s="117">
        <v>2.375</v>
      </c>
      <c r="F123" s="117">
        <v>5544</v>
      </c>
      <c r="G123" s="117">
        <v>3351</v>
      </c>
      <c r="H123" s="43">
        <f t="shared" si="181"/>
        <v>2.1868122606401135E+22</v>
      </c>
      <c r="I123" s="43">
        <f t="shared" si="182"/>
        <v>7.0878369493392021E+22</v>
      </c>
      <c r="J123" s="42">
        <f t="shared" si="183"/>
        <v>72.997848000000005</v>
      </c>
      <c r="K123" s="42">
        <f t="shared" si="211"/>
        <v>26.669352374999999</v>
      </c>
      <c r="L123" s="42">
        <f t="shared" si="212"/>
        <v>78.226719230104095</v>
      </c>
      <c r="M123" s="79">
        <f t="shared" si="184"/>
        <v>74.234428277201744</v>
      </c>
      <c r="O123" s="52" t="str">
        <f t="shared" si="185"/>
        <v>albite</v>
      </c>
      <c r="P123" s="117">
        <v>67.902652557073225</v>
      </c>
      <c r="R123" s="117">
        <v>0</v>
      </c>
      <c r="T123" s="117">
        <v>18.470261307425293</v>
      </c>
      <c r="V123" s="117">
        <v>0</v>
      </c>
      <c r="W123" s="117">
        <v>0</v>
      </c>
      <c r="X123" s="117">
        <v>0</v>
      </c>
      <c r="Y123" s="117">
        <v>0</v>
      </c>
      <c r="Z123" s="117">
        <v>0</v>
      </c>
      <c r="AE123" s="117">
        <v>11.739073366446757</v>
      </c>
      <c r="AF123" s="117">
        <v>0.14137180366126462</v>
      </c>
      <c r="AI123" s="117">
        <v>0</v>
      </c>
      <c r="AM123" s="86">
        <f t="shared" si="213"/>
        <v>98.253359034606532</v>
      </c>
      <c r="AO123" s="71">
        <f t="shared" si="178"/>
        <v>1.5022577229388652</v>
      </c>
      <c r="AQ123" s="97" t="str">
        <f t="shared" si="187"/>
        <v>albite</v>
      </c>
      <c r="AR123" s="73">
        <f t="shared" si="188"/>
        <v>75.233691270832423</v>
      </c>
      <c r="AS123" s="73">
        <f t="shared" si="189"/>
        <v>0</v>
      </c>
      <c r="AT123" s="73">
        <f t="shared" si="190"/>
        <v>0</v>
      </c>
      <c r="AU123" s="73">
        <f t="shared" si="191"/>
        <v>0</v>
      </c>
      <c r="AV123" s="73">
        <f t="shared" si="192"/>
        <v>12.058652151156398</v>
      </c>
      <c r="AW123" s="73">
        <f t="shared" si="193"/>
        <v>0</v>
      </c>
      <c r="AX123" s="73">
        <f t="shared" si="194"/>
        <v>0</v>
      </c>
      <c r="AY123" s="73">
        <f t="shared" si="195"/>
        <v>0</v>
      </c>
      <c r="AZ123" s="73">
        <f t="shared" si="196"/>
        <v>0</v>
      </c>
      <c r="BA123" s="73">
        <f t="shared" si="197"/>
        <v>0</v>
      </c>
      <c r="BB123" s="73">
        <f t="shared" si="198"/>
        <v>0</v>
      </c>
      <c r="BC123" s="73">
        <f t="shared" si="199"/>
        <v>0</v>
      </c>
      <c r="BD123" s="73">
        <f t="shared" si="200"/>
        <v>0</v>
      </c>
      <c r="BE123" s="73">
        <f t="shared" si="201"/>
        <v>0</v>
      </c>
      <c r="BF123" s="73">
        <f t="shared" si="202"/>
        <v>0</v>
      </c>
      <c r="BG123" s="73">
        <f t="shared" si="203"/>
        <v>12.607756126576053</v>
      </c>
      <c r="BH123" s="73">
        <f t="shared" si="204"/>
        <v>9.9900451435119206E-2</v>
      </c>
      <c r="BI123" s="73">
        <f t="shared" si="205"/>
        <v>0</v>
      </c>
      <c r="BJ123" s="73">
        <f t="shared" si="206"/>
        <v>0</v>
      </c>
      <c r="BK123" s="73">
        <f t="shared" si="207"/>
        <v>0</v>
      </c>
      <c r="BL123" s="73">
        <f t="shared" si="208"/>
        <v>0</v>
      </c>
      <c r="BM123" s="73">
        <f t="shared" si="209"/>
        <v>0</v>
      </c>
      <c r="BN123" s="73">
        <f t="shared" si="210"/>
        <v>0</v>
      </c>
      <c r="BQ123">
        <f t="shared" si="260"/>
        <v>45.200401715516122</v>
      </c>
      <c r="BR123">
        <f t="shared" si="261"/>
        <v>0</v>
      </c>
      <c r="BS123">
        <f t="shared" si="262"/>
        <v>0</v>
      </c>
      <c r="BT123">
        <f t="shared" si="263"/>
        <v>0</v>
      </c>
      <c r="BU123">
        <f t="shared" si="264"/>
        <v>12.295001733319062</v>
      </c>
      <c r="BV123">
        <f t="shared" si="265"/>
        <v>0</v>
      </c>
      <c r="BW123">
        <f t="shared" si="266"/>
        <v>0</v>
      </c>
      <c r="BX123">
        <f t="shared" si="267"/>
        <v>0</v>
      </c>
      <c r="BY123">
        <f t="shared" si="268"/>
        <v>0</v>
      </c>
      <c r="BZ123">
        <f t="shared" si="269"/>
        <v>0</v>
      </c>
      <c r="CA123">
        <f t="shared" si="270"/>
        <v>0</v>
      </c>
      <c r="CB123">
        <f t="shared" si="271"/>
        <v>0</v>
      </c>
      <c r="CC123">
        <f t="shared" si="272"/>
        <v>0</v>
      </c>
      <c r="CD123">
        <f t="shared" si="273"/>
        <v>0</v>
      </c>
      <c r="CE123">
        <f t="shared" si="274"/>
        <v>0</v>
      </c>
      <c r="CF123">
        <f t="shared" si="275"/>
        <v>7.814287247251837</v>
      </c>
      <c r="CG123">
        <f t="shared" si="276"/>
        <v>9.4106225251882294E-2</v>
      </c>
      <c r="CH123">
        <f t="shared" si="277"/>
        <v>0</v>
      </c>
      <c r="CI123">
        <f t="shared" si="278"/>
        <v>0</v>
      </c>
      <c r="CJ123">
        <f t="shared" si="279"/>
        <v>0</v>
      </c>
      <c r="CK123">
        <f t="shared" si="280"/>
        <v>0</v>
      </c>
      <c r="CL123">
        <f t="shared" si="281"/>
        <v>0</v>
      </c>
      <c r="CN123">
        <f t="shared" si="236"/>
        <v>65.403796921338895</v>
      </c>
      <c r="CP123">
        <f t="shared" si="282"/>
        <v>2.2570107381249729</v>
      </c>
      <c r="CQ123">
        <f t="shared" si="283"/>
        <v>0</v>
      </c>
      <c r="CR123">
        <f t="shared" si="284"/>
        <v>0</v>
      </c>
      <c r="CS123">
        <f t="shared" si="285"/>
        <v>0</v>
      </c>
      <c r="CT123">
        <f t="shared" si="286"/>
        <v>0.60293260755781986</v>
      </c>
      <c r="CU123">
        <f t="shared" si="287"/>
        <v>0</v>
      </c>
      <c r="CV123">
        <f t="shared" si="288"/>
        <v>0</v>
      </c>
      <c r="CW123">
        <f t="shared" si="289"/>
        <v>0</v>
      </c>
      <c r="CX123">
        <f t="shared" si="290"/>
        <v>0</v>
      </c>
      <c r="CY123">
        <f t="shared" si="291"/>
        <v>0</v>
      </c>
      <c r="CZ123">
        <f t="shared" si="292"/>
        <v>0</v>
      </c>
      <c r="DA123">
        <f t="shared" si="293"/>
        <v>0</v>
      </c>
      <c r="DB123">
        <f t="shared" si="294"/>
        <v>0</v>
      </c>
      <c r="DC123">
        <f t="shared" si="295"/>
        <v>0</v>
      </c>
      <c r="DD123">
        <f t="shared" si="296"/>
        <v>0</v>
      </c>
      <c r="DE123">
        <f t="shared" si="297"/>
        <v>0.37823268379728159</v>
      </c>
      <c r="DF123">
        <f t="shared" si="298"/>
        <v>2.9970135430535758E-3</v>
      </c>
      <c r="DG123">
        <f t="shared" si="299"/>
        <v>0</v>
      </c>
      <c r="DH123">
        <f t="shared" si="300"/>
        <v>0</v>
      </c>
      <c r="DI123">
        <f t="shared" si="301"/>
        <v>0</v>
      </c>
      <c r="DJ123">
        <f t="shared" si="302"/>
        <v>0</v>
      </c>
      <c r="DK123">
        <f t="shared" si="303"/>
        <v>0</v>
      </c>
      <c r="DM123">
        <f t="shared" si="304"/>
        <v>3.241173043023128</v>
      </c>
    </row>
    <row r="124" spans="1:117">
      <c r="A124" s="117" t="s">
        <v>327</v>
      </c>
      <c r="B124" s="117" t="s">
        <v>330</v>
      </c>
      <c r="C124" s="117">
        <v>2.4620000000000002</v>
      </c>
      <c r="F124" s="117">
        <v>5839</v>
      </c>
      <c r="G124" s="117">
        <v>3493</v>
      </c>
      <c r="H124" s="43">
        <f t="shared" si="181"/>
        <v>2.2193501193320125E+22</v>
      </c>
      <c r="I124" s="43">
        <f t="shared" si="182"/>
        <v>7.0917581026080049E+22</v>
      </c>
      <c r="J124" s="42">
        <f t="shared" si="183"/>
        <v>83.939233502000008</v>
      </c>
      <c r="K124" s="42">
        <f t="shared" si="211"/>
        <v>30.038982638000004</v>
      </c>
      <c r="L124" s="42">
        <f t="shared" si="212"/>
        <v>88.309105235485688</v>
      </c>
      <c r="M124" s="79">
        <f t="shared" si="184"/>
        <v>84.340124961761504</v>
      </c>
      <c r="O124" s="52" t="str">
        <f t="shared" si="185"/>
        <v>Phonolite</v>
      </c>
      <c r="P124" s="117">
        <v>58.823859579836352</v>
      </c>
      <c r="R124" s="117">
        <v>0.78907808310173388</v>
      </c>
      <c r="T124" s="117">
        <v>19.414977208057188</v>
      </c>
      <c r="V124" s="117">
        <v>0</v>
      </c>
      <c r="W124" s="117">
        <v>0</v>
      </c>
      <c r="X124" s="117">
        <v>0</v>
      </c>
      <c r="Y124" s="117">
        <v>1.8703731770972649</v>
      </c>
      <c r="Z124" s="117">
        <v>2.3505154505003221</v>
      </c>
      <c r="AE124" s="117">
        <v>9.3059218093223794</v>
      </c>
      <c r="AF124" s="117">
        <v>7.445274692084749</v>
      </c>
      <c r="AI124" s="117">
        <v>0</v>
      </c>
      <c r="AM124" s="86">
        <f t="shared" si="213"/>
        <v>100</v>
      </c>
      <c r="AO124" s="71">
        <f t="shared" si="178"/>
        <v>1.496879789593198</v>
      </c>
      <c r="AQ124" s="97" t="str">
        <f t="shared" si="187"/>
        <v>Phonolite</v>
      </c>
      <c r="AR124" s="73">
        <f t="shared" si="188"/>
        <v>65.408873190734539</v>
      </c>
      <c r="AS124" s="73">
        <f t="shared" si="189"/>
        <v>0</v>
      </c>
      <c r="AT124" s="73">
        <f t="shared" si="190"/>
        <v>0.65976044859781824</v>
      </c>
      <c r="AU124" s="73">
        <f t="shared" si="191"/>
        <v>0</v>
      </c>
      <c r="AV124" s="73">
        <f t="shared" si="192"/>
        <v>12.720967220748244</v>
      </c>
      <c r="AW124" s="73">
        <f t="shared" si="193"/>
        <v>0</v>
      </c>
      <c r="AX124" s="73">
        <f t="shared" si="194"/>
        <v>0</v>
      </c>
      <c r="AY124" s="73">
        <f t="shared" si="195"/>
        <v>0</v>
      </c>
      <c r="AZ124" s="73">
        <f t="shared" si="196"/>
        <v>0</v>
      </c>
      <c r="BA124" s="73">
        <f t="shared" si="197"/>
        <v>3.0997633765135304</v>
      </c>
      <c r="BB124" s="73">
        <f t="shared" si="198"/>
        <v>2.8000654353175625</v>
      </c>
      <c r="BC124" s="73">
        <f t="shared" si="199"/>
        <v>0</v>
      </c>
      <c r="BD124" s="73">
        <f t="shared" si="200"/>
        <v>0</v>
      </c>
      <c r="BE124" s="73">
        <f t="shared" si="201"/>
        <v>0</v>
      </c>
      <c r="BF124" s="73">
        <f t="shared" si="202"/>
        <v>0</v>
      </c>
      <c r="BG124" s="73">
        <f t="shared" si="203"/>
        <v>10.03046120527469</v>
      </c>
      <c r="BH124" s="73">
        <f t="shared" si="204"/>
        <v>5.2801091228136077</v>
      </c>
      <c r="BI124" s="73">
        <f t="shared" si="205"/>
        <v>0</v>
      </c>
      <c r="BJ124" s="73">
        <f t="shared" si="206"/>
        <v>0</v>
      </c>
      <c r="BK124" s="73">
        <f t="shared" si="207"/>
        <v>0</v>
      </c>
      <c r="BL124" s="73">
        <f t="shared" si="208"/>
        <v>0</v>
      </c>
      <c r="BM124" s="73">
        <f t="shared" si="209"/>
        <v>0</v>
      </c>
      <c r="BN124" s="73">
        <f t="shared" si="210"/>
        <v>0</v>
      </c>
      <c r="BQ124">
        <f t="shared" si="260"/>
        <v>39.297651012993313</v>
      </c>
      <c r="BR124">
        <f t="shared" si="261"/>
        <v>0</v>
      </c>
      <c r="BS124">
        <f t="shared" si="262"/>
        <v>0.52714859842965678</v>
      </c>
      <c r="BT124">
        <f t="shared" si="263"/>
        <v>0</v>
      </c>
      <c r="BU124">
        <f t="shared" si="264"/>
        <v>12.970298178274909</v>
      </c>
      <c r="BV124">
        <f t="shared" si="265"/>
        <v>0</v>
      </c>
      <c r="BW124">
        <f t="shared" si="266"/>
        <v>0</v>
      </c>
      <c r="BX124">
        <f t="shared" si="267"/>
        <v>0</v>
      </c>
      <c r="BY124">
        <f t="shared" si="268"/>
        <v>0</v>
      </c>
      <c r="BZ124">
        <f t="shared" si="269"/>
        <v>1.2495146170726041</v>
      </c>
      <c r="CA124">
        <f t="shared" si="270"/>
        <v>1.570276696126089</v>
      </c>
      <c r="CB124">
        <f t="shared" si="271"/>
        <v>0</v>
      </c>
      <c r="CC124">
        <f t="shared" si="272"/>
        <v>0</v>
      </c>
      <c r="CD124">
        <f t="shared" si="273"/>
        <v>0</v>
      </c>
      <c r="CE124">
        <f t="shared" si="274"/>
        <v>0</v>
      </c>
      <c r="CF124">
        <f t="shared" si="275"/>
        <v>6.2168798550292532</v>
      </c>
      <c r="CG124">
        <f t="shared" si="276"/>
        <v>4.9738627936904187</v>
      </c>
      <c r="CH124">
        <f t="shared" si="277"/>
        <v>0</v>
      </c>
      <c r="CI124">
        <f t="shared" si="278"/>
        <v>0</v>
      </c>
      <c r="CJ124">
        <f t="shared" si="279"/>
        <v>0</v>
      </c>
      <c r="CK124">
        <f t="shared" si="280"/>
        <v>0</v>
      </c>
      <c r="CL124">
        <f t="shared" si="281"/>
        <v>0</v>
      </c>
      <c r="CN124">
        <f t="shared" si="236"/>
        <v>66.805631751616247</v>
      </c>
      <c r="CP124">
        <f t="shared" si="282"/>
        <v>1.9622661957220362</v>
      </c>
      <c r="CQ124">
        <f t="shared" si="283"/>
        <v>0</v>
      </c>
      <c r="CR124">
        <f t="shared" si="284"/>
        <v>1.9792813457934547E-2</v>
      </c>
      <c r="CS124">
        <f t="shared" si="285"/>
        <v>0</v>
      </c>
      <c r="CT124">
        <f t="shared" si="286"/>
        <v>0.63604836103741225</v>
      </c>
      <c r="CU124">
        <f t="shared" si="287"/>
        <v>0</v>
      </c>
      <c r="CV124">
        <f t="shared" si="288"/>
        <v>0</v>
      </c>
      <c r="CW124">
        <f t="shared" si="289"/>
        <v>0</v>
      </c>
      <c r="CX124">
        <f t="shared" si="290"/>
        <v>0</v>
      </c>
      <c r="CY124">
        <f t="shared" si="291"/>
        <v>6.1995267530270605E-2</v>
      </c>
      <c r="CZ124">
        <f t="shared" si="292"/>
        <v>5.6001308706351248E-2</v>
      </c>
      <c r="DA124">
        <f t="shared" si="293"/>
        <v>0</v>
      </c>
      <c r="DB124">
        <f t="shared" si="294"/>
        <v>0</v>
      </c>
      <c r="DC124">
        <f t="shared" si="295"/>
        <v>0</v>
      </c>
      <c r="DD124">
        <f t="shared" si="296"/>
        <v>0</v>
      </c>
      <c r="DE124">
        <f t="shared" si="297"/>
        <v>0.30091383615824074</v>
      </c>
      <c r="DF124">
        <f t="shared" si="298"/>
        <v>0.15840327368440821</v>
      </c>
      <c r="DG124">
        <f t="shared" si="299"/>
        <v>0</v>
      </c>
      <c r="DH124">
        <f t="shared" si="300"/>
        <v>0</v>
      </c>
      <c r="DI124">
        <f t="shared" si="301"/>
        <v>0</v>
      </c>
      <c r="DJ124">
        <f t="shared" si="302"/>
        <v>0</v>
      </c>
      <c r="DK124">
        <f t="shared" si="303"/>
        <v>0</v>
      </c>
      <c r="DM124">
        <f t="shared" si="304"/>
        <v>3.1954210562966541</v>
      </c>
    </row>
    <row r="125" spans="1:117">
      <c r="A125" s="117" t="s">
        <v>327</v>
      </c>
      <c r="B125" s="117" t="s">
        <v>330</v>
      </c>
      <c r="C125" s="117">
        <v>2.4780000000000002</v>
      </c>
      <c r="F125" s="117">
        <v>5839</v>
      </c>
      <c r="G125" s="117">
        <v>3482</v>
      </c>
      <c r="H125" s="43">
        <f t="shared" si="181"/>
        <v>2.2337731907817734E+22</v>
      </c>
      <c r="I125" s="43">
        <f t="shared" si="182"/>
        <v>7.1378458888150421E+22</v>
      </c>
      <c r="J125" s="42">
        <f t="shared" si="183"/>
        <v>84.484736238000011</v>
      </c>
      <c r="K125" s="42">
        <f t="shared" si="211"/>
        <v>30.044074872000003</v>
      </c>
      <c r="L125" s="42">
        <f t="shared" si="212"/>
        <v>88.312633149972996</v>
      </c>
      <c r="M125" s="79">
        <f t="shared" si="184"/>
        <v>84.317859340757508</v>
      </c>
      <c r="O125" s="52" t="str">
        <f t="shared" si="185"/>
        <v>Phonolite</v>
      </c>
      <c r="P125" s="117">
        <v>58.325238182771479</v>
      </c>
      <c r="R125" s="117">
        <v>0.78238944996885584</v>
      </c>
      <c r="T125" s="117">
        <v>19.250405839761886</v>
      </c>
      <c r="V125" s="117">
        <v>0</v>
      </c>
      <c r="W125" s="117">
        <v>0</v>
      </c>
      <c r="X125" s="117">
        <v>0</v>
      </c>
      <c r="Y125" s="117">
        <v>1.8545189286127506</v>
      </c>
      <c r="Z125" s="117">
        <v>2.3305912682701444</v>
      </c>
      <c r="AE125" s="117">
        <v>9.2270400126044478</v>
      </c>
      <c r="AF125" s="117">
        <v>7.3821647007476354</v>
      </c>
      <c r="AI125" s="117">
        <v>0</v>
      </c>
      <c r="AM125" s="86">
        <f t="shared" si="213"/>
        <v>99.152348382737188</v>
      </c>
      <c r="AO125" s="71">
        <f t="shared" si="178"/>
        <v>1.4841914638482312</v>
      </c>
      <c r="AQ125" s="97" t="str">
        <f t="shared" si="187"/>
        <v>Phonolite</v>
      </c>
      <c r="AR125" s="73">
        <f t="shared" si="188"/>
        <v>65.408873190734553</v>
      </c>
      <c r="AS125" s="73">
        <f t="shared" si="189"/>
        <v>0</v>
      </c>
      <c r="AT125" s="73">
        <f t="shared" si="190"/>
        <v>0.65976044859781824</v>
      </c>
      <c r="AU125" s="73">
        <f t="shared" si="191"/>
        <v>0</v>
      </c>
      <c r="AV125" s="73">
        <f t="shared" si="192"/>
        <v>12.720967220748246</v>
      </c>
      <c r="AW125" s="73">
        <f t="shared" si="193"/>
        <v>0</v>
      </c>
      <c r="AX125" s="73">
        <f t="shared" si="194"/>
        <v>0</v>
      </c>
      <c r="AY125" s="73">
        <f t="shared" si="195"/>
        <v>0</v>
      </c>
      <c r="AZ125" s="73">
        <f t="shared" si="196"/>
        <v>0</v>
      </c>
      <c r="BA125" s="73">
        <f t="shared" si="197"/>
        <v>3.0997633765135304</v>
      </c>
      <c r="BB125" s="73">
        <f t="shared" si="198"/>
        <v>2.8000654353175629</v>
      </c>
      <c r="BC125" s="73">
        <f t="shared" si="199"/>
        <v>0</v>
      </c>
      <c r="BD125" s="73">
        <f t="shared" si="200"/>
        <v>0</v>
      </c>
      <c r="BE125" s="73">
        <f t="shared" si="201"/>
        <v>0</v>
      </c>
      <c r="BF125" s="73">
        <f t="shared" si="202"/>
        <v>0</v>
      </c>
      <c r="BG125" s="73">
        <f t="shared" si="203"/>
        <v>10.030461205274692</v>
      </c>
      <c r="BH125" s="73">
        <f t="shared" si="204"/>
        <v>5.2801091228136077</v>
      </c>
      <c r="BI125" s="73">
        <f t="shared" si="205"/>
        <v>0</v>
      </c>
      <c r="BJ125" s="73">
        <f t="shared" si="206"/>
        <v>0</v>
      </c>
      <c r="BK125" s="73">
        <f t="shared" si="207"/>
        <v>0</v>
      </c>
      <c r="BL125" s="73">
        <f t="shared" si="208"/>
        <v>0</v>
      </c>
      <c r="BM125" s="73">
        <f t="shared" si="209"/>
        <v>0</v>
      </c>
      <c r="BN125" s="73">
        <f t="shared" si="210"/>
        <v>0</v>
      </c>
      <c r="BQ125">
        <f t="shared" si="260"/>
        <v>39.29765101299332</v>
      </c>
      <c r="BR125">
        <f t="shared" si="261"/>
        <v>0</v>
      </c>
      <c r="BS125">
        <f t="shared" si="262"/>
        <v>0.52714859842965678</v>
      </c>
      <c r="BT125">
        <f t="shared" si="263"/>
        <v>0</v>
      </c>
      <c r="BU125">
        <f t="shared" si="264"/>
        <v>12.970298178274913</v>
      </c>
      <c r="BV125">
        <f t="shared" si="265"/>
        <v>0</v>
      </c>
      <c r="BW125">
        <f t="shared" si="266"/>
        <v>0</v>
      </c>
      <c r="BX125">
        <f t="shared" si="267"/>
        <v>0</v>
      </c>
      <c r="BY125">
        <f t="shared" si="268"/>
        <v>0</v>
      </c>
      <c r="BZ125">
        <f t="shared" si="269"/>
        <v>1.2495146170726041</v>
      </c>
      <c r="CA125">
        <f t="shared" si="270"/>
        <v>1.5702766961260892</v>
      </c>
      <c r="CB125">
        <f t="shared" si="271"/>
        <v>0</v>
      </c>
      <c r="CC125">
        <f t="shared" si="272"/>
        <v>0</v>
      </c>
      <c r="CD125">
        <f t="shared" si="273"/>
        <v>0</v>
      </c>
      <c r="CE125">
        <f t="shared" si="274"/>
        <v>0</v>
      </c>
      <c r="CF125">
        <f t="shared" si="275"/>
        <v>6.2168798550292541</v>
      </c>
      <c r="CG125">
        <f t="shared" si="276"/>
        <v>4.9738627936904187</v>
      </c>
      <c r="CH125">
        <f t="shared" si="277"/>
        <v>0</v>
      </c>
      <c r="CI125">
        <f t="shared" si="278"/>
        <v>0</v>
      </c>
      <c r="CJ125">
        <f t="shared" si="279"/>
        <v>0</v>
      </c>
      <c r="CK125">
        <f t="shared" si="280"/>
        <v>0</v>
      </c>
      <c r="CL125">
        <f t="shared" si="281"/>
        <v>0</v>
      </c>
      <c r="CN125">
        <f t="shared" si="236"/>
        <v>66.805631751616261</v>
      </c>
      <c r="CP125">
        <f t="shared" si="282"/>
        <v>1.9622661957220364</v>
      </c>
      <c r="CQ125">
        <f t="shared" si="283"/>
        <v>0</v>
      </c>
      <c r="CR125">
        <f t="shared" si="284"/>
        <v>1.9792813457934547E-2</v>
      </c>
      <c r="CS125">
        <f t="shared" si="285"/>
        <v>0</v>
      </c>
      <c r="CT125">
        <f t="shared" si="286"/>
        <v>0.63604836103741236</v>
      </c>
      <c r="CU125">
        <f t="shared" si="287"/>
        <v>0</v>
      </c>
      <c r="CV125">
        <f t="shared" si="288"/>
        <v>0</v>
      </c>
      <c r="CW125">
        <f t="shared" si="289"/>
        <v>0</v>
      </c>
      <c r="CX125">
        <f t="shared" si="290"/>
        <v>0</v>
      </c>
      <c r="CY125">
        <f t="shared" si="291"/>
        <v>6.1995267530270605E-2</v>
      </c>
      <c r="CZ125">
        <f t="shared" si="292"/>
        <v>5.6001308706351255E-2</v>
      </c>
      <c r="DA125">
        <f t="shared" si="293"/>
        <v>0</v>
      </c>
      <c r="DB125">
        <f t="shared" si="294"/>
        <v>0</v>
      </c>
      <c r="DC125">
        <f t="shared" si="295"/>
        <v>0</v>
      </c>
      <c r="DD125">
        <f t="shared" si="296"/>
        <v>0</v>
      </c>
      <c r="DE125">
        <f t="shared" si="297"/>
        <v>0.30091383615824074</v>
      </c>
      <c r="DF125">
        <f t="shared" si="298"/>
        <v>0.15840327368440821</v>
      </c>
      <c r="DG125">
        <f t="shared" si="299"/>
        <v>0</v>
      </c>
      <c r="DH125">
        <f t="shared" si="300"/>
        <v>0</v>
      </c>
      <c r="DI125">
        <f t="shared" si="301"/>
        <v>0</v>
      </c>
      <c r="DJ125">
        <f t="shared" si="302"/>
        <v>0</v>
      </c>
      <c r="DK125">
        <f t="shared" si="303"/>
        <v>0</v>
      </c>
      <c r="DM125">
        <f t="shared" si="304"/>
        <v>3.1954210562966541</v>
      </c>
    </row>
    <row r="126" spans="1:117">
      <c r="A126" s="117" t="s">
        <v>327</v>
      </c>
      <c r="B126" s="117" t="s">
        <v>330</v>
      </c>
      <c r="C126" s="117">
        <v>2.468</v>
      </c>
      <c r="F126" s="117">
        <v>5686</v>
      </c>
      <c r="G126" s="117">
        <v>3383</v>
      </c>
      <c r="H126" s="43">
        <f t="shared" si="181"/>
        <v>2.2247587711256728E+22</v>
      </c>
      <c r="I126" s="43">
        <f t="shared" si="182"/>
        <v>7.1090410224356434E+22</v>
      </c>
      <c r="J126" s="42">
        <f t="shared" si="183"/>
        <v>79.791910928000007</v>
      </c>
      <c r="K126" s="42">
        <f t="shared" si="211"/>
        <v>28.245492452000001</v>
      </c>
      <c r="L126" s="42">
        <f t="shared" si="212"/>
        <v>82.924228882168421</v>
      </c>
      <c r="M126" s="79">
        <f t="shared" si="184"/>
        <v>78.945576032634989</v>
      </c>
      <c r="O126" s="52" t="str">
        <f t="shared" si="185"/>
        <v>Phonolite</v>
      </c>
      <c r="P126" s="117">
        <v>57.945621888568006</v>
      </c>
      <c r="R126" s="117">
        <v>0.77729718128938041</v>
      </c>
      <c r="T126" s="117">
        <v>19.125112434119835</v>
      </c>
      <c r="V126" s="117">
        <v>0</v>
      </c>
      <c r="W126" s="117">
        <v>0</v>
      </c>
      <c r="X126" s="117">
        <v>0</v>
      </c>
      <c r="Y126" s="117">
        <v>1.8424485860793167</v>
      </c>
      <c r="Z126" s="117">
        <v>2.3154223560097051</v>
      </c>
      <c r="AE126" s="117">
        <v>9.166984797311958</v>
      </c>
      <c r="AF126" s="117">
        <v>7.3341170614372606</v>
      </c>
      <c r="AI126" s="117">
        <v>0</v>
      </c>
      <c r="AM126" s="86">
        <f t="shared" si="213"/>
        <v>98.507004304815439</v>
      </c>
      <c r="AO126" s="71">
        <f t="shared" si="178"/>
        <v>1.4745314387724844</v>
      </c>
      <c r="AQ126" s="97" t="str">
        <f t="shared" si="187"/>
        <v>Phonolite</v>
      </c>
      <c r="AR126" s="73">
        <f t="shared" si="188"/>
        <v>65.408873190734539</v>
      </c>
      <c r="AS126" s="73">
        <f t="shared" si="189"/>
        <v>0</v>
      </c>
      <c r="AT126" s="73">
        <f t="shared" si="190"/>
        <v>0.65976044859781824</v>
      </c>
      <c r="AU126" s="73">
        <f t="shared" si="191"/>
        <v>0</v>
      </c>
      <c r="AV126" s="73">
        <f t="shared" si="192"/>
        <v>12.720967220748244</v>
      </c>
      <c r="AW126" s="73">
        <f t="shared" si="193"/>
        <v>0</v>
      </c>
      <c r="AX126" s="73">
        <f t="shared" si="194"/>
        <v>0</v>
      </c>
      <c r="AY126" s="73">
        <f t="shared" si="195"/>
        <v>0</v>
      </c>
      <c r="AZ126" s="73">
        <f t="shared" si="196"/>
        <v>0</v>
      </c>
      <c r="BA126" s="73">
        <f t="shared" si="197"/>
        <v>3.09976337651353</v>
      </c>
      <c r="BB126" s="73">
        <f t="shared" si="198"/>
        <v>2.800065435317562</v>
      </c>
      <c r="BC126" s="73">
        <f t="shared" si="199"/>
        <v>0</v>
      </c>
      <c r="BD126" s="73">
        <f t="shared" si="200"/>
        <v>0</v>
      </c>
      <c r="BE126" s="73">
        <f t="shared" si="201"/>
        <v>0</v>
      </c>
      <c r="BF126" s="73">
        <f t="shared" si="202"/>
        <v>0</v>
      </c>
      <c r="BG126" s="73">
        <f t="shared" si="203"/>
        <v>10.030461205274689</v>
      </c>
      <c r="BH126" s="73">
        <f t="shared" si="204"/>
        <v>5.2801091228136068</v>
      </c>
      <c r="BI126" s="73">
        <f t="shared" si="205"/>
        <v>0</v>
      </c>
      <c r="BJ126" s="73">
        <f t="shared" si="206"/>
        <v>0</v>
      </c>
      <c r="BK126" s="73">
        <f t="shared" si="207"/>
        <v>0</v>
      </c>
      <c r="BL126" s="73">
        <f t="shared" si="208"/>
        <v>0</v>
      </c>
      <c r="BM126" s="73">
        <f t="shared" si="209"/>
        <v>0</v>
      </c>
      <c r="BN126" s="73">
        <f t="shared" si="210"/>
        <v>0</v>
      </c>
      <c r="BQ126">
        <f t="shared" si="260"/>
        <v>39.297651012993313</v>
      </c>
      <c r="BR126">
        <f t="shared" si="261"/>
        <v>0</v>
      </c>
      <c r="BS126">
        <f t="shared" si="262"/>
        <v>0.52714859842965678</v>
      </c>
      <c r="BT126">
        <f t="shared" si="263"/>
        <v>0</v>
      </c>
      <c r="BU126">
        <f t="shared" si="264"/>
        <v>12.970298178274909</v>
      </c>
      <c r="BV126">
        <f t="shared" si="265"/>
        <v>0</v>
      </c>
      <c r="BW126">
        <f t="shared" si="266"/>
        <v>0</v>
      </c>
      <c r="BX126">
        <f t="shared" si="267"/>
        <v>0</v>
      </c>
      <c r="BY126">
        <f t="shared" si="268"/>
        <v>0</v>
      </c>
      <c r="BZ126">
        <f t="shared" si="269"/>
        <v>1.2495146170726039</v>
      </c>
      <c r="CA126">
        <f t="shared" si="270"/>
        <v>1.5702766961260888</v>
      </c>
      <c r="CB126">
        <f t="shared" si="271"/>
        <v>0</v>
      </c>
      <c r="CC126">
        <f t="shared" si="272"/>
        <v>0</v>
      </c>
      <c r="CD126">
        <f t="shared" si="273"/>
        <v>0</v>
      </c>
      <c r="CE126">
        <f t="shared" si="274"/>
        <v>0</v>
      </c>
      <c r="CF126">
        <f t="shared" si="275"/>
        <v>6.2168798550292523</v>
      </c>
      <c r="CG126">
        <f t="shared" si="276"/>
        <v>4.9738627936904178</v>
      </c>
      <c r="CH126">
        <f t="shared" si="277"/>
        <v>0</v>
      </c>
      <c r="CI126">
        <f t="shared" si="278"/>
        <v>0</v>
      </c>
      <c r="CJ126">
        <f t="shared" si="279"/>
        <v>0</v>
      </c>
      <c r="CK126">
        <f t="shared" si="280"/>
        <v>0</v>
      </c>
      <c r="CL126">
        <f t="shared" si="281"/>
        <v>0</v>
      </c>
      <c r="CN126">
        <f t="shared" si="236"/>
        <v>66.805631751616247</v>
      </c>
      <c r="CP126">
        <f t="shared" si="282"/>
        <v>1.9622661957220362</v>
      </c>
      <c r="CQ126">
        <f t="shared" si="283"/>
        <v>0</v>
      </c>
      <c r="CR126">
        <f t="shared" si="284"/>
        <v>1.9792813457934547E-2</v>
      </c>
      <c r="CS126">
        <f t="shared" si="285"/>
        <v>0</v>
      </c>
      <c r="CT126">
        <f t="shared" si="286"/>
        <v>0.63604836103741225</v>
      </c>
      <c r="CU126">
        <f t="shared" si="287"/>
        <v>0</v>
      </c>
      <c r="CV126">
        <f t="shared" si="288"/>
        <v>0</v>
      </c>
      <c r="CW126">
        <f t="shared" si="289"/>
        <v>0</v>
      </c>
      <c r="CX126">
        <f t="shared" si="290"/>
        <v>0</v>
      </c>
      <c r="CY126">
        <f t="shared" si="291"/>
        <v>6.1995267530270598E-2</v>
      </c>
      <c r="CZ126">
        <f t="shared" si="292"/>
        <v>5.6001308706351241E-2</v>
      </c>
      <c r="DA126">
        <f t="shared" si="293"/>
        <v>0</v>
      </c>
      <c r="DB126">
        <f t="shared" si="294"/>
        <v>0</v>
      </c>
      <c r="DC126">
        <f t="shared" si="295"/>
        <v>0</v>
      </c>
      <c r="DD126">
        <f t="shared" si="296"/>
        <v>0</v>
      </c>
      <c r="DE126">
        <f t="shared" si="297"/>
        <v>0.30091383615824069</v>
      </c>
      <c r="DF126">
        <f t="shared" si="298"/>
        <v>0.15840327368440821</v>
      </c>
      <c r="DG126">
        <f t="shared" si="299"/>
        <v>0</v>
      </c>
      <c r="DH126">
        <f t="shared" si="300"/>
        <v>0</v>
      </c>
      <c r="DI126">
        <f t="shared" si="301"/>
        <v>0</v>
      </c>
      <c r="DJ126">
        <f t="shared" si="302"/>
        <v>0</v>
      </c>
      <c r="DK126">
        <f t="shared" si="303"/>
        <v>0</v>
      </c>
      <c r="DM126">
        <f t="shared" si="304"/>
        <v>3.1954210562966541</v>
      </c>
    </row>
    <row r="127" spans="1:117">
      <c r="A127" s="117" t="s">
        <v>327</v>
      </c>
      <c r="B127" s="117" t="s">
        <v>330</v>
      </c>
      <c r="C127" s="117">
        <v>2.4580000000000002</v>
      </c>
      <c r="F127" s="117">
        <v>5752</v>
      </c>
      <c r="G127" s="117">
        <v>3394</v>
      </c>
      <c r="H127" s="43">
        <f t="shared" si="181"/>
        <v>2.2157443514695718E+22</v>
      </c>
      <c r="I127" s="43">
        <f t="shared" si="182"/>
        <v>7.0802361560562439E+22</v>
      </c>
      <c r="J127" s="42">
        <f t="shared" si="183"/>
        <v>81.324168831999998</v>
      </c>
      <c r="K127" s="42">
        <f t="shared" si="211"/>
        <v>28.314282088000002</v>
      </c>
      <c r="L127" s="42">
        <f t="shared" si="212"/>
        <v>83.13794078236387</v>
      </c>
      <c r="M127" s="79">
        <f t="shared" si="184"/>
        <v>79.175408892512507</v>
      </c>
      <c r="O127" s="52" t="str">
        <f t="shared" si="185"/>
        <v>Phonolite</v>
      </c>
      <c r="P127" s="117">
        <v>57.659182769689323</v>
      </c>
      <c r="R127" s="117">
        <v>0.77345481473158295</v>
      </c>
      <c r="T127" s="117">
        <v>19.030572412362545</v>
      </c>
      <c r="V127" s="117">
        <v>0</v>
      </c>
      <c r="W127" s="117">
        <v>0</v>
      </c>
      <c r="X127" s="117">
        <v>0</v>
      </c>
      <c r="Y127" s="117">
        <v>1.8333409204373685</v>
      </c>
      <c r="Z127" s="117">
        <v>2.3039766674853359</v>
      </c>
      <c r="AE127" s="117">
        <v>9.121670190918298</v>
      </c>
      <c r="AF127" s="117">
        <v>7.2978627602430981</v>
      </c>
      <c r="AI127" s="117">
        <v>0</v>
      </c>
      <c r="AM127" s="86">
        <f t="shared" si="213"/>
        <v>98.020060535867543</v>
      </c>
      <c r="AO127" s="71">
        <f t="shared" si="178"/>
        <v>1.4672424759084195</v>
      </c>
      <c r="AQ127" s="97" t="str">
        <f t="shared" si="187"/>
        <v>Phonolite</v>
      </c>
      <c r="AR127" s="73">
        <f t="shared" si="188"/>
        <v>65.408873190734553</v>
      </c>
      <c r="AS127" s="73">
        <f t="shared" si="189"/>
        <v>0</v>
      </c>
      <c r="AT127" s="73">
        <f t="shared" si="190"/>
        <v>0.65976044859781846</v>
      </c>
      <c r="AU127" s="73">
        <f t="shared" si="191"/>
        <v>0</v>
      </c>
      <c r="AV127" s="73">
        <f t="shared" si="192"/>
        <v>12.720967220748246</v>
      </c>
      <c r="AW127" s="73">
        <f t="shared" si="193"/>
        <v>0</v>
      </c>
      <c r="AX127" s="73">
        <f t="shared" si="194"/>
        <v>0</v>
      </c>
      <c r="AY127" s="73">
        <f t="shared" si="195"/>
        <v>0</v>
      </c>
      <c r="AZ127" s="73">
        <f t="shared" si="196"/>
        <v>0</v>
      </c>
      <c r="BA127" s="73">
        <f t="shared" si="197"/>
        <v>3.0997633765135308</v>
      </c>
      <c r="BB127" s="73">
        <f t="shared" si="198"/>
        <v>2.8000654353175629</v>
      </c>
      <c r="BC127" s="73">
        <f t="shared" si="199"/>
        <v>0</v>
      </c>
      <c r="BD127" s="73">
        <f t="shared" si="200"/>
        <v>0</v>
      </c>
      <c r="BE127" s="73">
        <f t="shared" si="201"/>
        <v>0</v>
      </c>
      <c r="BF127" s="73">
        <f t="shared" si="202"/>
        <v>0</v>
      </c>
      <c r="BG127" s="73">
        <f t="shared" si="203"/>
        <v>10.030461205274692</v>
      </c>
      <c r="BH127" s="73">
        <f t="shared" si="204"/>
        <v>5.2801091228136077</v>
      </c>
      <c r="BI127" s="73">
        <f t="shared" si="205"/>
        <v>0</v>
      </c>
      <c r="BJ127" s="73">
        <f t="shared" si="206"/>
        <v>0</v>
      </c>
      <c r="BK127" s="73">
        <f t="shared" si="207"/>
        <v>0</v>
      </c>
      <c r="BL127" s="73">
        <f t="shared" si="208"/>
        <v>0</v>
      </c>
      <c r="BM127" s="73">
        <f t="shared" si="209"/>
        <v>0</v>
      </c>
      <c r="BN127" s="73">
        <f t="shared" si="210"/>
        <v>0</v>
      </c>
      <c r="BQ127">
        <f t="shared" si="260"/>
        <v>39.29765101299332</v>
      </c>
      <c r="BR127">
        <f t="shared" si="261"/>
        <v>0</v>
      </c>
      <c r="BS127">
        <f t="shared" si="262"/>
        <v>0.527148598429657</v>
      </c>
      <c r="BT127">
        <f t="shared" si="263"/>
        <v>0</v>
      </c>
      <c r="BU127">
        <f t="shared" si="264"/>
        <v>12.970298178274913</v>
      </c>
      <c r="BV127">
        <f t="shared" si="265"/>
        <v>0</v>
      </c>
      <c r="BW127">
        <f t="shared" si="266"/>
        <v>0</v>
      </c>
      <c r="BX127">
        <f t="shared" si="267"/>
        <v>0</v>
      </c>
      <c r="BY127">
        <f t="shared" si="268"/>
        <v>0</v>
      </c>
      <c r="BZ127">
        <f t="shared" si="269"/>
        <v>1.2495146170726044</v>
      </c>
      <c r="CA127">
        <f t="shared" si="270"/>
        <v>1.5702766961260892</v>
      </c>
      <c r="CB127">
        <f t="shared" si="271"/>
        <v>0</v>
      </c>
      <c r="CC127">
        <f t="shared" si="272"/>
        <v>0</v>
      </c>
      <c r="CD127">
        <f t="shared" si="273"/>
        <v>0</v>
      </c>
      <c r="CE127">
        <f t="shared" si="274"/>
        <v>0</v>
      </c>
      <c r="CF127">
        <f t="shared" si="275"/>
        <v>6.2168798550292541</v>
      </c>
      <c r="CG127">
        <f t="shared" si="276"/>
        <v>4.9738627936904187</v>
      </c>
      <c r="CH127">
        <f t="shared" si="277"/>
        <v>0</v>
      </c>
      <c r="CI127">
        <f t="shared" si="278"/>
        <v>0</v>
      </c>
      <c r="CJ127">
        <f t="shared" si="279"/>
        <v>0</v>
      </c>
      <c r="CK127">
        <f t="shared" si="280"/>
        <v>0</v>
      </c>
      <c r="CL127">
        <f t="shared" si="281"/>
        <v>0</v>
      </c>
      <c r="CN127">
        <f t="shared" si="236"/>
        <v>66.805631751616261</v>
      </c>
      <c r="CP127">
        <f t="shared" si="282"/>
        <v>1.9622661957220364</v>
      </c>
      <c r="CQ127">
        <f t="shared" si="283"/>
        <v>0</v>
      </c>
      <c r="CR127">
        <f t="shared" si="284"/>
        <v>1.9792813457934554E-2</v>
      </c>
      <c r="CS127">
        <f t="shared" si="285"/>
        <v>0</v>
      </c>
      <c r="CT127">
        <f t="shared" si="286"/>
        <v>0.63604836103741236</v>
      </c>
      <c r="CU127">
        <f t="shared" si="287"/>
        <v>0</v>
      </c>
      <c r="CV127">
        <f t="shared" si="288"/>
        <v>0</v>
      </c>
      <c r="CW127">
        <f t="shared" si="289"/>
        <v>0</v>
      </c>
      <c r="CX127">
        <f t="shared" si="290"/>
        <v>0</v>
      </c>
      <c r="CY127">
        <f t="shared" si="291"/>
        <v>6.1995267530270619E-2</v>
      </c>
      <c r="CZ127">
        <f t="shared" si="292"/>
        <v>5.6001308706351255E-2</v>
      </c>
      <c r="DA127">
        <f t="shared" si="293"/>
        <v>0</v>
      </c>
      <c r="DB127">
        <f t="shared" si="294"/>
        <v>0</v>
      </c>
      <c r="DC127">
        <f t="shared" si="295"/>
        <v>0</v>
      </c>
      <c r="DD127">
        <f t="shared" si="296"/>
        <v>0</v>
      </c>
      <c r="DE127">
        <f t="shared" si="297"/>
        <v>0.30091383615824074</v>
      </c>
      <c r="DF127">
        <f t="shared" si="298"/>
        <v>0.15840327368440821</v>
      </c>
      <c r="DG127">
        <f t="shared" si="299"/>
        <v>0</v>
      </c>
      <c r="DH127">
        <f t="shared" si="300"/>
        <v>0</v>
      </c>
      <c r="DI127">
        <f t="shared" si="301"/>
        <v>0</v>
      </c>
      <c r="DJ127">
        <f t="shared" si="302"/>
        <v>0</v>
      </c>
      <c r="DK127">
        <f t="shared" si="303"/>
        <v>0</v>
      </c>
      <c r="DM127">
        <f t="shared" si="304"/>
        <v>3.1954210562966541</v>
      </c>
    </row>
    <row r="128" spans="1:117">
      <c r="A128" s="117" t="s">
        <v>327</v>
      </c>
      <c r="B128" s="117" t="s">
        <v>330</v>
      </c>
      <c r="C128" s="117">
        <v>2.452</v>
      </c>
      <c r="F128" s="117">
        <v>5692</v>
      </c>
      <c r="G128" s="117">
        <v>3372</v>
      </c>
      <c r="H128" s="43">
        <f t="shared" si="181"/>
        <v>2.2103356996759115E+22</v>
      </c>
      <c r="I128" s="43">
        <f t="shared" si="182"/>
        <v>7.0629532362286054E+22</v>
      </c>
      <c r="J128" s="42">
        <f t="shared" si="183"/>
        <v>79.442014528000001</v>
      </c>
      <c r="K128" s="42">
        <f t="shared" si="211"/>
        <v>27.880181568000001</v>
      </c>
      <c r="L128" s="42">
        <f t="shared" si="212"/>
        <v>81.84004501768112</v>
      </c>
      <c r="M128" s="79">
        <f t="shared" si="184"/>
        <v>77.887185703638991</v>
      </c>
      <c r="O128" s="52" t="str">
        <f t="shared" si="185"/>
        <v>Phonolite</v>
      </c>
      <c r="P128" s="117">
        <v>57.324293617588893</v>
      </c>
      <c r="R128" s="117">
        <v>0.76896252721290481</v>
      </c>
      <c r="T128" s="117">
        <v>18.92004132341842</v>
      </c>
      <c r="V128" s="117">
        <v>0</v>
      </c>
      <c r="W128" s="117">
        <v>0</v>
      </c>
      <c r="X128" s="117">
        <v>0</v>
      </c>
      <c r="Y128" s="117">
        <v>1.8226927295185225</v>
      </c>
      <c r="Z128" s="117">
        <v>2.2905949864491117</v>
      </c>
      <c r="AE128" s="117">
        <v>9.0686907997920301</v>
      </c>
      <c r="AF128" s="117">
        <v>7.2554761887634918</v>
      </c>
      <c r="AI128" s="117">
        <v>0</v>
      </c>
      <c r="AM128" s="86">
        <f t="shared" si="213"/>
        <v>97.450752172743378</v>
      </c>
      <c r="AO128" s="71">
        <f t="shared" si="178"/>
        <v>1.4587206140803499</v>
      </c>
      <c r="AQ128" s="97" t="str">
        <f t="shared" si="187"/>
        <v>Phonolite</v>
      </c>
      <c r="AR128" s="73">
        <f t="shared" si="188"/>
        <v>65.408873190734539</v>
      </c>
      <c r="AS128" s="73">
        <f t="shared" si="189"/>
        <v>0</v>
      </c>
      <c r="AT128" s="73">
        <f t="shared" si="190"/>
        <v>0.65976044859781824</v>
      </c>
      <c r="AU128" s="73">
        <f t="shared" si="191"/>
        <v>0</v>
      </c>
      <c r="AV128" s="73">
        <f t="shared" si="192"/>
        <v>12.720967220748246</v>
      </c>
      <c r="AW128" s="73">
        <f t="shared" si="193"/>
        <v>0</v>
      </c>
      <c r="AX128" s="73">
        <f t="shared" si="194"/>
        <v>0</v>
      </c>
      <c r="AY128" s="73">
        <f t="shared" si="195"/>
        <v>0</v>
      </c>
      <c r="AZ128" s="73">
        <f t="shared" si="196"/>
        <v>0</v>
      </c>
      <c r="BA128" s="73">
        <f t="shared" si="197"/>
        <v>3.0997633765135308</v>
      </c>
      <c r="BB128" s="73">
        <f t="shared" si="198"/>
        <v>2.8000654353175625</v>
      </c>
      <c r="BC128" s="73">
        <f t="shared" si="199"/>
        <v>0</v>
      </c>
      <c r="BD128" s="73">
        <f t="shared" si="200"/>
        <v>0</v>
      </c>
      <c r="BE128" s="73">
        <f t="shared" si="201"/>
        <v>0</v>
      </c>
      <c r="BF128" s="73">
        <f t="shared" si="202"/>
        <v>0</v>
      </c>
      <c r="BG128" s="73">
        <f t="shared" si="203"/>
        <v>10.030461205274692</v>
      </c>
      <c r="BH128" s="73">
        <f t="shared" si="204"/>
        <v>5.2801091228136077</v>
      </c>
      <c r="BI128" s="73">
        <f t="shared" si="205"/>
        <v>0</v>
      </c>
      <c r="BJ128" s="73">
        <f t="shared" si="206"/>
        <v>0</v>
      </c>
      <c r="BK128" s="73">
        <f t="shared" si="207"/>
        <v>0</v>
      </c>
      <c r="BL128" s="73">
        <f t="shared" si="208"/>
        <v>0</v>
      </c>
      <c r="BM128" s="73">
        <f t="shared" si="209"/>
        <v>0</v>
      </c>
      <c r="BN128" s="73">
        <f t="shared" si="210"/>
        <v>0</v>
      </c>
      <c r="BQ128">
        <f t="shared" si="260"/>
        <v>39.297651012993313</v>
      </c>
      <c r="BR128">
        <f t="shared" si="261"/>
        <v>0</v>
      </c>
      <c r="BS128">
        <f t="shared" si="262"/>
        <v>0.52714859842965678</v>
      </c>
      <c r="BT128">
        <f t="shared" si="263"/>
        <v>0</v>
      </c>
      <c r="BU128">
        <f t="shared" si="264"/>
        <v>12.970298178274913</v>
      </c>
      <c r="BV128">
        <f t="shared" si="265"/>
        <v>0</v>
      </c>
      <c r="BW128">
        <f t="shared" si="266"/>
        <v>0</v>
      </c>
      <c r="BX128">
        <f t="shared" si="267"/>
        <v>0</v>
      </c>
      <c r="BY128">
        <f t="shared" si="268"/>
        <v>0</v>
      </c>
      <c r="BZ128">
        <f t="shared" si="269"/>
        <v>1.2495146170726044</v>
      </c>
      <c r="CA128">
        <f t="shared" si="270"/>
        <v>1.570276696126089</v>
      </c>
      <c r="CB128">
        <f t="shared" si="271"/>
        <v>0</v>
      </c>
      <c r="CC128">
        <f t="shared" si="272"/>
        <v>0</v>
      </c>
      <c r="CD128">
        <f t="shared" si="273"/>
        <v>0</v>
      </c>
      <c r="CE128">
        <f t="shared" si="274"/>
        <v>0</v>
      </c>
      <c r="CF128">
        <f t="shared" si="275"/>
        <v>6.2168798550292541</v>
      </c>
      <c r="CG128">
        <f t="shared" si="276"/>
        <v>4.9738627936904187</v>
      </c>
      <c r="CH128">
        <f t="shared" si="277"/>
        <v>0</v>
      </c>
      <c r="CI128">
        <f t="shared" si="278"/>
        <v>0</v>
      </c>
      <c r="CJ128">
        <f t="shared" si="279"/>
        <v>0</v>
      </c>
      <c r="CK128">
        <f t="shared" si="280"/>
        <v>0</v>
      </c>
      <c r="CL128">
        <f t="shared" si="281"/>
        <v>0</v>
      </c>
      <c r="CN128">
        <f t="shared" si="236"/>
        <v>66.805631751616247</v>
      </c>
      <c r="CP128">
        <f t="shared" ref="CP128:CP191" si="305">(AR128/100)*$BQ$3</f>
        <v>1.9622661957220362</v>
      </c>
      <c r="CQ128">
        <f t="shared" ref="CQ128:CQ191" si="306">(AS128/100)*$BR$3</f>
        <v>0</v>
      </c>
      <c r="CR128">
        <f t="shared" ref="CR128:CR191" si="307">(AT128/100)*$BS$3</f>
        <v>1.9792813457934547E-2</v>
      </c>
      <c r="CS128">
        <f t="shared" ref="CS128:CS191" si="308">(AU128/100)*$BT$3</f>
        <v>0</v>
      </c>
      <c r="CT128">
        <f t="shared" ref="CT128:CT191" si="309">(AV128/100)*$BU$3</f>
        <v>0.63604836103741236</v>
      </c>
      <c r="CU128">
        <f t="shared" ref="CU128:CU191" si="310">(AW128/100)*$BV$3</f>
        <v>0</v>
      </c>
      <c r="CV128">
        <f t="shared" ref="CV128:CV191" si="311">(AX128/100)*$BW$3</f>
        <v>0</v>
      </c>
      <c r="CW128">
        <f t="shared" ref="CW128:CW191" si="312">(AY128/100)*$BX$3</f>
        <v>0</v>
      </c>
      <c r="CX128">
        <f t="shared" ref="CX128:CX191" si="313">(AZ128/100)*$BY$3</f>
        <v>0</v>
      </c>
      <c r="CY128">
        <f t="shared" ref="CY128:CY191" si="314">(BA128/100)*$BZ$3</f>
        <v>6.1995267530270619E-2</v>
      </c>
      <c r="CZ128">
        <f t="shared" ref="CZ128:CZ191" si="315">(BB128/100)*$CA$3</f>
        <v>5.6001308706351248E-2</v>
      </c>
      <c r="DA128">
        <f t="shared" ref="DA128:DA191" si="316">(BC128/100)*$CB$3</f>
        <v>0</v>
      </c>
      <c r="DB128">
        <f t="shared" ref="DB128:DB191" si="317">(BD128/100)*$CC$3</f>
        <v>0</v>
      </c>
      <c r="DC128">
        <f t="shared" ref="DC128:DC191" si="318">(BE128/100)*$CD$3</f>
        <v>0</v>
      </c>
      <c r="DD128">
        <f t="shared" ref="DD128:DD191" si="319">(BF128/100)*$CE$3</f>
        <v>0</v>
      </c>
      <c r="DE128">
        <f t="shared" ref="DE128:DE191" si="320">(BG128/100)*$CF$3</f>
        <v>0.30091383615824074</v>
      </c>
      <c r="DF128">
        <f t="shared" ref="DF128:DF191" si="321">(BH128/100)*$CG$3</f>
        <v>0.15840327368440821</v>
      </c>
      <c r="DG128">
        <f t="shared" ref="DG128:DG191" si="322">(BI128/100)*$CH$3</f>
        <v>0</v>
      </c>
      <c r="DH128">
        <f t="shared" ref="DH128:DH191" si="323">(BJ128/100)*$CI$3</f>
        <v>0</v>
      </c>
      <c r="DI128">
        <f t="shared" ref="DI128:DI191" si="324">(BK128/100)*$CJ$3</f>
        <v>0</v>
      </c>
      <c r="DJ128">
        <f t="shared" ref="DJ128:DJ191" si="325">(BL128/100)*$CK$3</f>
        <v>0</v>
      </c>
      <c r="DK128">
        <f t="shared" ref="DK128:DK191" si="326">(BN128/100)*$CL$3</f>
        <v>0</v>
      </c>
      <c r="DM128">
        <f t="shared" ref="DM128:DM191" si="327">SUM(CP128:DK128)</f>
        <v>3.1954210562966541</v>
      </c>
    </row>
    <row r="129" spans="1:117">
      <c r="A129" s="117" t="s">
        <v>327</v>
      </c>
      <c r="B129" s="117" t="s">
        <v>330</v>
      </c>
      <c r="C129" s="117">
        <v>2.419</v>
      </c>
      <c r="F129" s="117">
        <v>5768</v>
      </c>
      <c r="G129" s="117">
        <v>3372</v>
      </c>
      <c r="H129" s="43">
        <f t="shared" si="181"/>
        <v>2.1805881148107792E+22</v>
      </c>
      <c r="I129" s="43">
        <f t="shared" si="182"/>
        <v>6.9678971771765897E+22</v>
      </c>
      <c r="J129" s="42">
        <f t="shared" si="183"/>
        <v>80.479704255999991</v>
      </c>
      <c r="K129" s="42">
        <f t="shared" si="211"/>
        <v>27.504958896000002</v>
      </c>
      <c r="L129" s="42">
        <f t="shared" si="212"/>
        <v>80.738608875926019</v>
      </c>
      <c r="M129" s="79">
        <f t="shared" si="184"/>
        <v>76.838948728834708</v>
      </c>
      <c r="O129" s="52" t="str">
        <f t="shared" si="185"/>
        <v>Phonolite</v>
      </c>
      <c r="P129" s="117">
        <v>56.472394016287815</v>
      </c>
      <c r="R129" s="117">
        <v>0.75753493117974335</v>
      </c>
      <c r="T129" s="117">
        <v>18.638869508767844</v>
      </c>
      <c r="V129" s="117">
        <v>0</v>
      </c>
      <c r="W129" s="117">
        <v>0</v>
      </c>
      <c r="X129" s="117">
        <v>0</v>
      </c>
      <c r="Y129" s="117">
        <v>1.7956055887692683</v>
      </c>
      <c r="Z129" s="117">
        <v>2.2565543235372267</v>
      </c>
      <c r="AE129" s="117">
        <v>8.9339204678939463</v>
      </c>
      <c r="AF129" s="117">
        <v>7.1476521427544792</v>
      </c>
      <c r="AI129" s="117">
        <v>0</v>
      </c>
      <c r="AM129" s="86">
        <f t="shared" si="213"/>
        <v>96.002530979190311</v>
      </c>
      <c r="AO129" s="71">
        <f t="shared" si="178"/>
        <v>1.437042483725449</v>
      </c>
      <c r="AQ129" s="97" t="str">
        <f t="shared" si="187"/>
        <v>Phonolite</v>
      </c>
      <c r="AR129" s="73">
        <f t="shared" si="188"/>
        <v>65.408873190734553</v>
      </c>
      <c r="AS129" s="73">
        <f t="shared" si="189"/>
        <v>0</v>
      </c>
      <c r="AT129" s="73">
        <f t="shared" si="190"/>
        <v>0.65976044859781824</v>
      </c>
      <c r="AU129" s="73">
        <f t="shared" si="191"/>
        <v>0</v>
      </c>
      <c r="AV129" s="73">
        <f t="shared" si="192"/>
        <v>12.720967220748244</v>
      </c>
      <c r="AW129" s="73">
        <f t="shared" si="193"/>
        <v>0</v>
      </c>
      <c r="AX129" s="73">
        <f t="shared" si="194"/>
        <v>0</v>
      </c>
      <c r="AY129" s="73">
        <f t="shared" si="195"/>
        <v>0</v>
      </c>
      <c r="AZ129" s="73">
        <f t="shared" si="196"/>
        <v>0</v>
      </c>
      <c r="BA129" s="73">
        <f t="shared" si="197"/>
        <v>3.0997633765135304</v>
      </c>
      <c r="BB129" s="73">
        <f t="shared" si="198"/>
        <v>2.800065435317562</v>
      </c>
      <c r="BC129" s="73">
        <f t="shared" si="199"/>
        <v>0</v>
      </c>
      <c r="BD129" s="73">
        <f t="shared" si="200"/>
        <v>0</v>
      </c>
      <c r="BE129" s="73">
        <f t="shared" si="201"/>
        <v>0</v>
      </c>
      <c r="BF129" s="73">
        <f t="shared" si="202"/>
        <v>0</v>
      </c>
      <c r="BG129" s="73">
        <f t="shared" si="203"/>
        <v>10.03046120527469</v>
      </c>
      <c r="BH129" s="73">
        <f t="shared" si="204"/>
        <v>5.2801091228136068</v>
      </c>
      <c r="BI129" s="73">
        <f t="shared" si="205"/>
        <v>0</v>
      </c>
      <c r="BJ129" s="73">
        <f t="shared" si="206"/>
        <v>0</v>
      </c>
      <c r="BK129" s="73">
        <f t="shared" si="207"/>
        <v>0</v>
      </c>
      <c r="BL129" s="73">
        <f t="shared" si="208"/>
        <v>0</v>
      </c>
      <c r="BM129" s="73">
        <f t="shared" si="209"/>
        <v>0</v>
      </c>
      <c r="BN129" s="73">
        <f t="shared" si="210"/>
        <v>0</v>
      </c>
      <c r="BQ129">
        <f t="shared" si="260"/>
        <v>39.29765101299332</v>
      </c>
      <c r="BR129">
        <f t="shared" si="261"/>
        <v>0</v>
      </c>
      <c r="BS129">
        <f t="shared" si="262"/>
        <v>0.52714859842965678</v>
      </c>
      <c r="BT129">
        <f t="shared" si="263"/>
        <v>0</v>
      </c>
      <c r="BU129">
        <f t="shared" si="264"/>
        <v>12.970298178274909</v>
      </c>
      <c r="BV129">
        <f t="shared" si="265"/>
        <v>0</v>
      </c>
      <c r="BW129">
        <f t="shared" si="266"/>
        <v>0</v>
      </c>
      <c r="BX129">
        <f t="shared" si="267"/>
        <v>0</v>
      </c>
      <c r="BY129">
        <f t="shared" si="268"/>
        <v>0</v>
      </c>
      <c r="BZ129">
        <f t="shared" si="269"/>
        <v>1.2495146170726041</v>
      </c>
      <c r="CA129">
        <f t="shared" si="270"/>
        <v>1.5702766961260888</v>
      </c>
      <c r="CB129">
        <f t="shared" si="271"/>
        <v>0</v>
      </c>
      <c r="CC129">
        <f t="shared" si="272"/>
        <v>0</v>
      </c>
      <c r="CD129">
        <f t="shared" si="273"/>
        <v>0</v>
      </c>
      <c r="CE129">
        <f t="shared" si="274"/>
        <v>0</v>
      </c>
      <c r="CF129">
        <f t="shared" si="275"/>
        <v>6.2168798550292532</v>
      </c>
      <c r="CG129">
        <f t="shared" si="276"/>
        <v>4.9738627936904178</v>
      </c>
      <c r="CH129">
        <f t="shared" si="277"/>
        <v>0</v>
      </c>
      <c r="CI129">
        <f t="shared" si="278"/>
        <v>0</v>
      </c>
      <c r="CJ129">
        <f t="shared" si="279"/>
        <v>0</v>
      </c>
      <c r="CK129">
        <f t="shared" si="280"/>
        <v>0</v>
      </c>
      <c r="CL129">
        <f t="shared" si="281"/>
        <v>0</v>
      </c>
      <c r="CN129">
        <f t="shared" si="236"/>
        <v>66.805631751616247</v>
      </c>
      <c r="CP129">
        <f t="shared" si="305"/>
        <v>1.9622661957220364</v>
      </c>
      <c r="CQ129">
        <f t="shared" si="306"/>
        <v>0</v>
      </c>
      <c r="CR129">
        <f t="shared" si="307"/>
        <v>1.9792813457934547E-2</v>
      </c>
      <c r="CS129">
        <f t="shared" si="308"/>
        <v>0</v>
      </c>
      <c r="CT129">
        <f t="shared" si="309"/>
        <v>0.63604836103741225</v>
      </c>
      <c r="CU129">
        <f t="shared" si="310"/>
        <v>0</v>
      </c>
      <c r="CV129">
        <f t="shared" si="311"/>
        <v>0</v>
      </c>
      <c r="CW129">
        <f t="shared" si="312"/>
        <v>0</v>
      </c>
      <c r="CX129">
        <f t="shared" si="313"/>
        <v>0</v>
      </c>
      <c r="CY129">
        <f t="shared" si="314"/>
        <v>6.1995267530270605E-2</v>
      </c>
      <c r="CZ129">
        <f t="shared" si="315"/>
        <v>5.6001308706351241E-2</v>
      </c>
      <c r="DA129">
        <f t="shared" si="316"/>
        <v>0</v>
      </c>
      <c r="DB129">
        <f t="shared" si="317"/>
        <v>0</v>
      </c>
      <c r="DC129">
        <f t="shared" si="318"/>
        <v>0</v>
      </c>
      <c r="DD129">
        <f t="shared" si="319"/>
        <v>0</v>
      </c>
      <c r="DE129">
        <f t="shared" si="320"/>
        <v>0.30091383615824074</v>
      </c>
      <c r="DF129">
        <f t="shared" si="321"/>
        <v>0.15840327368440821</v>
      </c>
      <c r="DG129">
        <f t="shared" si="322"/>
        <v>0</v>
      </c>
      <c r="DH129">
        <f t="shared" si="323"/>
        <v>0</v>
      </c>
      <c r="DI129">
        <f t="shared" si="324"/>
        <v>0</v>
      </c>
      <c r="DJ129">
        <f t="shared" si="325"/>
        <v>0</v>
      </c>
      <c r="DK129">
        <f t="shared" si="326"/>
        <v>0</v>
      </c>
      <c r="DM129">
        <f t="shared" si="327"/>
        <v>3.1954210562966541</v>
      </c>
    </row>
    <row r="130" spans="1:117">
      <c r="A130" s="117" t="s">
        <v>327</v>
      </c>
      <c r="B130" s="117" t="s">
        <v>331</v>
      </c>
      <c r="C130" s="117">
        <v>2.456</v>
      </c>
      <c r="F130" s="117">
        <v>5926</v>
      </c>
      <c r="G130" s="117">
        <v>3591</v>
      </c>
      <c r="H130" s="43">
        <f t="shared" si="181"/>
        <v>2.2993942682164336E+22</v>
      </c>
      <c r="I130" s="43">
        <f t="shared" si="182"/>
        <v>7.1343483021452223E+22</v>
      </c>
      <c r="J130" s="42">
        <f t="shared" si="183"/>
        <v>86.248521056000001</v>
      </c>
      <c r="K130" s="42">
        <f t="shared" si="211"/>
        <v>31.670810136</v>
      </c>
      <c r="L130" s="42">
        <f t="shared" si="212"/>
        <v>93.139385133758935</v>
      </c>
      <c r="M130" s="79">
        <f t="shared" si="184"/>
        <v>89.200914207084992</v>
      </c>
      <c r="O130" s="52" t="str">
        <f t="shared" si="185"/>
        <v xml:space="preserve">Trachyte </v>
      </c>
      <c r="P130" s="117">
        <v>64.450752099753231</v>
      </c>
      <c r="R130" s="117">
        <v>0.49663710958641905</v>
      </c>
      <c r="T130" s="117">
        <v>16.706809309008239</v>
      </c>
      <c r="V130" s="117">
        <v>0</v>
      </c>
      <c r="W130" s="117">
        <v>0</v>
      </c>
      <c r="X130" s="117">
        <v>0</v>
      </c>
      <c r="Y130" s="117">
        <v>2.9198169106192031</v>
      </c>
      <c r="Z130" s="117">
        <v>5.3614631538885931</v>
      </c>
      <c r="AE130" s="117">
        <v>6.6964773115533047</v>
      </c>
      <c r="AF130" s="117">
        <v>3.3680441055910202</v>
      </c>
      <c r="AI130" s="117">
        <v>0</v>
      </c>
      <c r="AM130" s="86">
        <f t="shared" si="213"/>
        <v>100.00000000000001</v>
      </c>
      <c r="AO130" s="71">
        <f t="shared" si="178"/>
        <v>1.5546557390366045</v>
      </c>
      <c r="AQ130" s="97" t="str">
        <f t="shared" si="187"/>
        <v xml:space="preserve">Trachyte </v>
      </c>
      <c r="AR130" s="73">
        <f t="shared" si="188"/>
        <v>69.002341991216085</v>
      </c>
      <c r="AS130" s="73">
        <f t="shared" si="189"/>
        <v>0</v>
      </c>
      <c r="AT130" s="73">
        <f t="shared" si="190"/>
        <v>0.39981414410131522</v>
      </c>
      <c r="AU130" s="73">
        <f t="shared" si="191"/>
        <v>0</v>
      </c>
      <c r="AV130" s="73">
        <f t="shared" si="192"/>
        <v>10.539729244639071</v>
      </c>
      <c r="AW130" s="73">
        <f t="shared" si="193"/>
        <v>0</v>
      </c>
      <c r="AX130" s="73">
        <f t="shared" si="194"/>
        <v>0</v>
      </c>
      <c r="AY130" s="73">
        <f t="shared" si="195"/>
        <v>0</v>
      </c>
      <c r="AZ130" s="73">
        <f t="shared" si="196"/>
        <v>0</v>
      </c>
      <c r="BA130" s="73">
        <f t="shared" si="197"/>
        <v>4.6591703224658012</v>
      </c>
      <c r="BB130" s="73">
        <f t="shared" si="198"/>
        <v>6.1495181314018215</v>
      </c>
      <c r="BC130" s="73">
        <f t="shared" si="199"/>
        <v>0</v>
      </c>
      <c r="BD130" s="73">
        <f t="shared" si="200"/>
        <v>0</v>
      </c>
      <c r="BE130" s="73">
        <f t="shared" si="201"/>
        <v>0</v>
      </c>
      <c r="BF130" s="73">
        <f t="shared" si="202"/>
        <v>0</v>
      </c>
      <c r="BG130" s="73">
        <f t="shared" si="203"/>
        <v>6.9496125924445558</v>
      </c>
      <c r="BH130" s="73">
        <f t="shared" si="204"/>
        <v>2.2998135737313539</v>
      </c>
      <c r="BI130" s="73">
        <f t="shared" si="205"/>
        <v>0</v>
      </c>
      <c r="BJ130" s="73">
        <f t="shared" si="206"/>
        <v>0</v>
      </c>
      <c r="BK130" s="73">
        <f t="shared" si="207"/>
        <v>0</v>
      </c>
      <c r="BL130" s="73">
        <f t="shared" si="208"/>
        <v>0</v>
      </c>
      <c r="BM130" s="73">
        <f t="shared" si="209"/>
        <v>0</v>
      </c>
      <c r="BN130" s="73">
        <f t="shared" si="210"/>
        <v>0</v>
      </c>
      <c r="BQ130">
        <f t="shared" si="260"/>
        <v>41.456607068322626</v>
      </c>
      <c r="BR130">
        <f t="shared" si="261"/>
        <v>0</v>
      </c>
      <c r="BS130">
        <f t="shared" si="262"/>
        <v>0.31945150113695092</v>
      </c>
      <c r="BT130">
        <f t="shared" si="263"/>
        <v>0</v>
      </c>
      <c r="BU130">
        <f t="shared" si="264"/>
        <v>10.746307937833995</v>
      </c>
      <c r="BV130">
        <f t="shared" si="265"/>
        <v>0</v>
      </c>
      <c r="BW130">
        <f t="shared" si="266"/>
        <v>0</v>
      </c>
      <c r="BX130">
        <f t="shared" si="267"/>
        <v>0</v>
      </c>
      <c r="BY130">
        <f t="shared" si="268"/>
        <v>0</v>
      </c>
      <c r="BZ130">
        <f t="shared" si="269"/>
        <v>1.8781115569859645</v>
      </c>
      <c r="CA130">
        <f t="shared" si="270"/>
        <v>3.4486497680901413</v>
      </c>
      <c r="CB130">
        <f t="shared" si="271"/>
        <v>0</v>
      </c>
      <c r="CC130">
        <f t="shared" si="272"/>
        <v>0</v>
      </c>
      <c r="CD130">
        <f t="shared" si="273"/>
        <v>0</v>
      </c>
      <c r="CE130">
        <f t="shared" si="274"/>
        <v>0</v>
      </c>
      <c r="CF130">
        <f t="shared" si="275"/>
        <v>4.3073698847971356</v>
      </c>
      <c r="CG130">
        <f t="shared" si="276"/>
        <v>2.1664243864549353</v>
      </c>
      <c r="CH130">
        <f t="shared" si="277"/>
        <v>0</v>
      </c>
      <c r="CI130">
        <f t="shared" si="278"/>
        <v>0</v>
      </c>
      <c r="CJ130">
        <f t="shared" si="279"/>
        <v>0</v>
      </c>
      <c r="CK130">
        <f t="shared" si="280"/>
        <v>0</v>
      </c>
      <c r="CL130">
        <f t="shared" si="281"/>
        <v>0</v>
      </c>
      <c r="CN130">
        <f t="shared" si="236"/>
        <v>64.32292210362175</v>
      </c>
      <c r="CP130">
        <f t="shared" si="305"/>
        <v>2.0700702597364824</v>
      </c>
      <c r="CQ130">
        <f t="shared" si="306"/>
        <v>0</v>
      </c>
      <c r="CR130">
        <f t="shared" si="307"/>
        <v>1.1994424323039456E-2</v>
      </c>
      <c r="CS130">
        <f t="shared" si="308"/>
        <v>0</v>
      </c>
      <c r="CT130">
        <f t="shared" si="309"/>
        <v>0.52698646223195356</v>
      </c>
      <c r="CU130">
        <f t="shared" si="310"/>
        <v>0</v>
      </c>
      <c r="CV130">
        <f t="shared" si="311"/>
        <v>0</v>
      </c>
      <c r="CW130">
        <f t="shared" si="312"/>
        <v>0</v>
      </c>
      <c r="CX130">
        <f t="shared" si="313"/>
        <v>0</v>
      </c>
      <c r="CY130">
        <f t="shared" si="314"/>
        <v>9.3183406449316025E-2</v>
      </c>
      <c r="CZ130">
        <f t="shared" si="315"/>
        <v>0.12299036262803643</v>
      </c>
      <c r="DA130">
        <f t="shared" si="316"/>
        <v>0</v>
      </c>
      <c r="DB130">
        <f t="shared" si="317"/>
        <v>0</v>
      </c>
      <c r="DC130">
        <f t="shared" si="318"/>
        <v>0</v>
      </c>
      <c r="DD130">
        <f t="shared" si="319"/>
        <v>0</v>
      </c>
      <c r="DE130">
        <f t="shared" si="320"/>
        <v>0.20848837777333667</v>
      </c>
      <c r="DF130">
        <f t="shared" si="321"/>
        <v>6.8994407211940612E-2</v>
      </c>
      <c r="DG130">
        <f t="shared" si="322"/>
        <v>0</v>
      </c>
      <c r="DH130">
        <f t="shared" si="323"/>
        <v>0</v>
      </c>
      <c r="DI130">
        <f t="shared" si="324"/>
        <v>0</v>
      </c>
      <c r="DJ130">
        <f t="shared" si="325"/>
        <v>0</v>
      </c>
      <c r="DK130">
        <f t="shared" si="326"/>
        <v>0</v>
      </c>
      <c r="DM130">
        <f t="shared" si="327"/>
        <v>3.1027077003541055</v>
      </c>
    </row>
    <row r="131" spans="1:117">
      <c r="A131" s="117" t="s">
        <v>327</v>
      </c>
      <c r="B131" s="117" t="s">
        <v>331</v>
      </c>
      <c r="C131" s="117">
        <v>2.456</v>
      </c>
      <c r="F131" s="117">
        <v>5937</v>
      </c>
      <c r="G131" s="117">
        <v>3569</v>
      </c>
      <c r="H131" s="43">
        <f t="shared" si="181"/>
        <v>2.2993942682164336E+22</v>
      </c>
      <c r="I131" s="43">
        <f t="shared" si="182"/>
        <v>7.1343483021452223E+22</v>
      </c>
      <c r="J131" s="42">
        <f t="shared" si="183"/>
        <v>86.569011863999989</v>
      </c>
      <c r="K131" s="42">
        <f t="shared" si="211"/>
        <v>31.283941016</v>
      </c>
      <c r="L131" s="42">
        <f t="shared" si="212"/>
        <v>91.978777773758935</v>
      </c>
      <c r="M131" s="79">
        <f t="shared" si="184"/>
        <v>88.040306847084992</v>
      </c>
      <c r="O131" s="52" t="str">
        <f t="shared" si="185"/>
        <v xml:space="preserve">Trachyte </v>
      </c>
      <c r="P131" s="117">
        <v>64.450752099753231</v>
      </c>
      <c r="R131" s="117">
        <v>0.49663710958641905</v>
      </c>
      <c r="T131" s="117">
        <v>16.706809309008239</v>
      </c>
      <c r="V131" s="117">
        <v>0</v>
      </c>
      <c r="W131" s="117">
        <v>0</v>
      </c>
      <c r="X131" s="117">
        <v>0</v>
      </c>
      <c r="Y131" s="117">
        <v>2.9198169106192031</v>
      </c>
      <c r="Z131" s="117">
        <v>5.3614631538885931</v>
      </c>
      <c r="AE131" s="117">
        <v>6.6964773115533047</v>
      </c>
      <c r="AF131" s="117">
        <v>3.3680441055910202</v>
      </c>
      <c r="AI131" s="117">
        <v>0</v>
      </c>
      <c r="AM131" s="86">
        <f t="shared" si="213"/>
        <v>100.00000000000001</v>
      </c>
      <c r="AO131" s="71">
        <f t="shared" si="178"/>
        <v>1.5546557390366045</v>
      </c>
      <c r="AQ131" s="97" t="str">
        <f t="shared" si="187"/>
        <v xml:space="preserve">Trachyte </v>
      </c>
      <c r="AR131" s="73">
        <f t="shared" si="188"/>
        <v>69.002341991216085</v>
      </c>
      <c r="AS131" s="73">
        <f t="shared" si="189"/>
        <v>0</v>
      </c>
      <c r="AT131" s="73">
        <f t="shared" si="190"/>
        <v>0.39981414410131522</v>
      </c>
      <c r="AU131" s="73">
        <f t="shared" si="191"/>
        <v>0</v>
      </c>
      <c r="AV131" s="73">
        <f t="shared" si="192"/>
        <v>10.539729244639071</v>
      </c>
      <c r="AW131" s="73">
        <f t="shared" si="193"/>
        <v>0</v>
      </c>
      <c r="AX131" s="73">
        <f t="shared" si="194"/>
        <v>0</v>
      </c>
      <c r="AY131" s="73">
        <f t="shared" si="195"/>
        <v>0</v>
      </c>
      <c r="AZ131" s="73">
        <f t="shared" si="196"/>
        <v>0</v>
      </c>
      <c r="BA131" s="73">
        <f t="shared" si="197"/>
        <v>4.6591703224658012</v>
      </c>
      <c r="BB131" s="73">
        <f t="shared" si="198"/>
        <v>6.1495181314018215</v>
      </c>
      <c r="BC131" s="73">
        <f t="shared" si="199"/>
        <v>0</v>
      </c>
      <c r="BD131" s="73">
        <f t="shared" si="200"/>
        <v>0</v>
      </c>
      <c r="BE131" s="73">
        <f t="shared" si="201"/>
        <v>0</v>
      </c>
      <c r="BF131" s="73">
        <f t="shared" si="202"/>
        <v>0</v>
      </c>
      <c r="BG131" s="73">
        <f t="shared" si="203"/>
        <v>6.9496125924445558</v>
      </c>
      <c r="BH131" s="73">
        <f t="shared" si="204"/>
        <v>2.2998135737313539</v>
      </c>
      <c r="BI131" s="73">
        <f t="shared" si="205"/>
        <v>0</v>
      </c>
      <c r="BJ131" s="73">
        <f t="shared" si="206"/>
        <v>0</v>
      </c>
      <c r="BK131" s="73">
        <f t="shared" si="207"/>
        <v>0</v>
      </c>
      <c r="BL131" s="73">
        <f t="shared" si="208"/>
        <v>0</v>
      </c>
      <c r="BM131" s="73">
        <f t="shared" si="209"/>
        <v>0</v>
      </c>
      <c r="BN131" s="73">
        <f t="shared" si="210"/>
        <v>0</v>
      </c>
      <c r="BQ131">
        <f t="shared" si="260"/>
        <v>41.456607068322626</v>
      </c>
      <c r="BR131">
        <f t="shared" si="261"/>
        <v>0</v>
      </c>
      <c r="BS131">
        <f t="shared" si="262"/>
        <v>0.31945150113695092</v>
      </c>
      <c r="BT131">
        <f t="shared" si="263"/>
        <v>0</v>
      </c>
      <c r="BU131">
        <f t="shared" si="264"/>
        <v>10.746307937833995</v>
      </c>
      <c r="BV131">
        <f t="shared" si="265"/>
        <v>0</v>
      </c>
      <c r="BW131">
        <f t="shared" si="266"/>
        <v>0</v>
      </c>
      <c r="BX131">
        <f t="shared" si="267"/>
        <v>0</v>
      </c>
      <c r="BY131">
        <f t="shared" si="268"/>
        <v>0</v>
      </c>
      <c r="BZ131">
        <f t="shared" si="269"/>
        <v>1.8781115569859645</v>
      </c>
      <c r="CA131">
        <f t="shared" si="270"/>
        <v>3.4486497680901413</v>
      </c>
      <c r="CB131">
        <f t="shared" si="271"/>
        <v>0</v>
      </c>
      <c r="CC131">
        <f t="shared" si="272"/>
        <v>0</v>
      </c>
      <c r="CD131">
        <f t="shared" si="273"/>
        <v>0</v>
      </c>
      <c r="CE131">
        <f t="shared" si="274"/>
        <v>0</v>
      </c>
      <c r="CF131">
        <f t="shared" si="275"/>
        <v>4.3073698847971356</v>
      </c>
      <c r="CG131">
        <f t="shared" si="276"/>
        <v>2.1664243864549353</v>
      </c>
      <c r="CH131">
        <f t="shared" si="277"/>
        <v>0</v>
      </c>
      <c r="CI131">
        <f t="shared" si="278"/>
        <v>0</v>
      </c>
      <c r="CJ131">
        <f t="shared" si="279"/>
        <v>0</v>
      </c>
      <c r="CK131">
        <f t="shared" si="280"/>
        <v>0</v>
      </c>
      <c r="CL131">
        <f t="shared" si="281"/>
        <v>0</v>
      </c>
      <c r="CN131">
        <f t="shared" si="236"/>
        <v>64.32292210362175</v>
      </c>
      <c r="CP131">
        <f t="shared" si="305"/>
        <v>2.0700702597364824</v>
      </c>
      <c r="CQ131">
        <f t="shared" si="306"/>
        <v>0</v>
      </c>
      <c r="CR131">
        <f t="shared" si="307"/>
        <v>1.1994424323039456E-2</v>
      </c>
      <c r="CS131">
        <f t="shared" si="308"/>
        <v>0</v>
      </c>
      <c r="CT131">
        <f t="shared" si="309"/>
        <v>0.52698646223195356</v>
      </c>
      <c r="CU131">
        <f t="shared" si="310"/>
        <v>0</v>
      </c>
      <c r="CV131">
        <f t="shared" si="311"/>
        <v>0</v>
      </c>
      <c r="CW131">
        <f t="shared" si="312"/>
        <v>0</v>
      </c>
      <c r="CX131">
        <f t="shared" si="313"/>
        <v>0</v>
      </c>
      <c r="CY131">
        <f t="shared" si="314"/>
        <v>9.3183406449316025E-2</v>
      </c>
      <c r="CZ131">
        <f t="shared" si="315"/>
        <v>0.12299036262803643</v>
      </c>
      <c r="DA131">
        <f t="shared" si="316"/>
        <v>0</v>
      </c>
      <c r="DB131">
        <f t="shared" si="317"/>
        <v>0</v>
      </c>
      <c r="DC131">
        <f t="shared" si="318"/>
        <v>0</v>
      </c>
      <c r="DD131">
        <f t="shared" si="319"/>
        <v>0</v>
      </c>
      <c r="DE131">
        <f t="shared" si="320"/>
        <v>0.20848837777333667</v>
      </c>
      <c r="DF131">
        <f t="shared" si="321"/>
        <v>6.8994407211940612E-2</v>
      </c>
      <c r="DG131">
        <f t="shared" si="322"/>
        <v>0</v>
      </c>
      <c r="DH131">
        <f t="shared" si="323"/>
        <v>0</v>
      </c>
      <c r="DI131">
        <f t="shared" si="324"/>
        <v>0</v>
      </c>
      <c r="DJ131">
        <f t="shared" si="325"/>
        <v>0</v>
      </c>
      <c r="DK131">
        <f t="shared" si="326"/>
        <v>0</v>
      </c>
      <c r="DM131">
        <f t="shared" si="327"/>
        <v>3.1027077003541055</v>
      </c>
    </row>
    <row r="132" spans="1:117">
      <c r="A132" s="117" t="s">
        <v>327</v>
      </c>
      <c r="B132" s="117" t="s">
        <v>331</v>
      </c>
      <c r="C132" s="117">
        <v>2.4769999999999999</v>
      </c>
      <c r="F132" s="117">
        <v>5725</v>
      </c>
      <c r="G132" s="117">
        <v>3427</v>
      </c>
      <c r="H132" s="43">
        <f t="shared" si="181"/>
        <v>2.3190552126922254E+22</v>
      </c>
      <c r="I132" s="43">
        <f t="shared" si="182"/>
        <v>7.1953504659664934E+22</v>
      </c>
      <c r="J132" s="42">
        <f t="shared" si="183"/>
        <v>81.185223124999993</v>
      </c>
      <c r="K132" s="42">
        <f t="shared" si="211"/>
        <v>29.090702932999999</v>
      </c>
      <c r="L132" s="42">
        <f t="shared" si="212"/>
        <v>85.383048055394497</v>
      </c>
      <c r="M132" s="79">
        <f t="shared" si="184"/>
        <v>81.410901277963148</v>
      </c>
      <c r="O132" s="52" t="str">
        <f t="shared" si="185"/>
        <v xml:space="preserve">Trachyte </v>
      </c>
      <c r="P132" s="117">
        <v>64.089970493272517</v>
      </c>
      <c r="R132" s="117">
        <v>0.49385704064389985</v>
      </c>
      <c r="T132" s="117">
        <v>16.613288142764254</v>
      </c>
      <c r="V132" s="117">
        <v>0</v>
      </c>
      <c r="W132" s="117">
        <v>0</v>
      </c>
      <c r="X132" s="117">
        <v>0</v>
      </c>
      <c r="Y132" s="117">
        <v>2.903472396376571</v>
      </c>
      <c r="Z132" s="117">
        <v>5.3314508231286162</v>
      </c>
      <c r="AE132" s="117">
        <v>6.6589918553947083</v>
      </c>
      <c r="AF132" s="117">
        <v>3.3491905108147737</v>
      </c>
      <c r="AI132" s="117">
        <v>0</v>
      </c>
      <c r="AM132" s="86">
        <f t="shared" si="213"/>
        <v>99.440221262395355</v>
      </c>
      <c r="AO132" s="71">
        <f t="shared" si="178"/>
        <v>1.5459531067665271</v>
      </c>
      <c r="AQ132" s="97" t="str">
        <f t="shared" si="187"/>
        <v xml:space="preserve">Trachyte </v>
      </c>
      <c r="AR132" s="73">
        <f t="shared" si="188"/>
        <v>69.002341991216085</v>
      </c>
      <c r="AS132" s="73">
        <f t="shared" si="189"/>
        <v>0</v>
      </c>
      <c r="AT132" s="73">
        <f t="shared" si="190"/>
        <v>0.39981414410131511</v>
      </c>
      <c r="AU132" s="73">
        <f t="shared" si="191"/>
        <v>0</v>
      </c>
      <c r="AV132" s="73">
        <f t="shared" si="192"/>
        <v>10.539729244639068</v>
      </c>
      <c r="AW132" s="73">
        <f t="shared" si="193"/>
        <v>0</v>
      </c>
      <c r="AX132" s="73">
        <f t="shared" si="194"/>
        <v>0</v>
      </c>
      <c r="AY132" s="73">
        <f t="shared" si="195"/>
        <v>0</v>
      </c>
      <c r="AZ132" s="73">
        <f t="shared" si="196"/>
        <v>0</v>
      </c>
      <c r="BA132" s="73">
        <f t="shared" si="197"/>
        <v>4.6591703224658003</v>
      </c>
      <c r="BB132" s="73">
        <f t="shared" si="198"/>
        <v>6.1495181314018206</v>
      </c>
      <c r="BC132" s="73">
        <f t="shared" si="199"/>
        <v>0</v>
      </c>
      <c r="BD132" s="73">
        <f t="shared" si="200"/>
        <v>0</v>
      </c>
      <c r="BE132" s="73">
        <f t="shared" si="201"/>
        <v>0</v>
      </c>
      <c r="BF132" s="73">
        <f t="shared" si="202"/>
        <v>0</v>
      </c>
      <c r="BG132" s="73">
        <f t="shared" si="203"/>
        <v>6.9496125924445549</v>
      </c>
      <c r="BH132" s="73">
        <f t="shared" si="204"/>
        <v>2.2998135737313534</v>
      </c>
      <c r="BI132" s="73">
        <f t="shared" si="205"/>
        <v>0</v>
      </c>
      <c r="BJ132" s="73">
        <f t="shared" si="206"/>
        <v>0</v>
      </c>
      <c r="BK132" s="73">
        <f t="shared" si="207"/>
        <v>0</v>
      </c>
      <c r="BL132" s="73">
        <f t="shared" si="208"/>
        <v>0</v>
      </c>
      <c r="BM132" s="73">
        <f t="shared" si="209"/>
        <v>0</v>
      </c>
      <c r="BN132" s="73">
        <f t="shared" si="210"/>
        <v>0</v>
      </c>
      <c r="BQ132">
        <f t="shared" si="260"/>
        <v>41.456607068322626</v>
      </c>
      <c r="BR132">
        <f t="shared" si="261"/>
        <v>0</v>
      </c>
      <c r="BS132">
        <f t="shared" si="262"/>
        <v>0.31945150113695076</v>
      </c>
      <c r="BT132">
        <f t="shared" si="263"/>
        <v>0</v>
      </c>
      <c r="BU132">
        <f t="shared" si="264"/>
        <v>10.746307937833993</v>
      </c>
      <c r="BV132">
        <f t="shared" si="265"/>
        <v>0</v>
      </c>
      <c r="BW132">
        <f t="shared" si="266"/>
        <v>0</v>
      </c>
      <c r="BX132">
        <f t="shared" si="267"/>
        <v>0</v>
      </c>
      <c r="BY132">
        <f t="shared" si="268"/>
        <v>0</v>
      </c>
      <c r="BZ132">
        <f t="shared" si="269"/>
        <v>1.8781115569859643</v>
      </c>
      <c r="CA132">
        <f t="shared" si="270"/>
        <v>3.4486497680901409</v>
      </c>
      <c r="CB132">
        <f t="shared" si="271"/>
        <v>0</v>
      </c>
      <c r="CC132">
        <f t="shared" si="272"/>
        <v>0</v>
      </c>
      <c r="CD132">
        <f t="shared" si="273"/>
        <v>0</v>
      </c>
      <c r="CE132">
        <f t="shared" si="274"/>
        <v>0</v>
      </c>
      <c r="CF132">
        <f t="shared" si="275"/>
        <v>4.3073698847971356</v>
      </c>
      <c r="CG132">
        <f t="shared" si="276"/>
        <v>2.1664243864549348</v>
      </c>
      <c r="CH132">
        <f t="shared" si="277"/>
        <v>0</v>
      </c>
      <c r="CI132">
        <f t="shared" si="278"/>
        <v>0</v>
      </c>
      <c r="CJ132">
        <f t="shared" si="279"/>
        <v>0</v>
      </c>
      <c r="CK132">
        <f t="shared" si="280"/>
        <v>0</v>
      </c>
      <c r="CL132">
        <f t="shared" si="281"/>
        <v>0</v>
      </c>
      <c r="CN132">
        <f t="shared" si="236"/>
        <v>64.32292210362175</v>
      </c>
      <c r="CP132">
        <f t="shared" si="305"/>
        <v>2.0700702597364824</v>
      </c>
      <c r="CQ132">
        <f t="shared" si="306"/>
        <v>0</v>
      </c>
      <c r="CR132">
        <f t="shared" si="307"/>
        <v>1.1994424323039453E-2</v>
      </c>
      <c r="CS132">
        <f t="shared" si="308"/>
        <v>0</v>
      </c>
      <c r="CT132">
        <f t="shared" si="309"/>
        <v>0.52698646223195333</v>
      </c>
      <c r="CU132">
        <f t="shared" si="310"/>
        <v>0</v>
      </c>
      <c r="CV132">
        <f t="shared" si="311"/>
        <v>0</v>
      </c>
      <c r="CW132">
        <f t="shared" si="312"/>
        <v>0</v>
      </c>
      <c r="CX132">
        <f t="shared" si="313"/>
        <v>0</v>
      </c>
      <c r="CY132">
        <f t="shared" si="314"/>
        <v>9.3183406449316011E-2</v>
      </c>
      <c r="CZ132">
        <f t="shared" si="315"/>
        <v>0.12299036262803641</v>
      </c>
      <c r="DA132">
        <f t="shared" si="316"/>
        <v>0</v>
      </c>
      <c r="DB132">
        <f t="shared" si="317"/>
        <v>0</v>
      </c>
      <c r="DC132">
        <f t="shared" si="318"/>
        <v>0</v>
      </c>
      <c r="DD132">
        <f t="shared" si="319"/>
        <v>0</v>
      </c>
      <c r="DE132">
        <f t="shared" si="320"/>
        <v>0.20848837777333667</v>
      </c>
      <c r="DF132">
        <f t="shared" si="321"/>
        <v>6.8994407211940598E-2</v>
      </c>
      <c r="DG132">
        <f t="shared" si="322"/>
        <v>0</v>
      </c>
      <c r="DH132">
        <f t="shared" si="323"/>
        <v>0</v>
      </c>
      <c r="DI132">
        <f t="shared" si="324"/>
        <v>0</v>
      </c>
      <c r="DJ132">
        <f t="shared" si="325"/>
        <v>0</v>
      </c>
      <c r="DK132">
        <f t="shared" si="326"/>
        <v>0</v>
      </c>
      <c r="DM132">
        <f t="shared" si="327"/>
        <v>3.1027077003541046</v>
      </c>
    </row>
    <row r="133" spans="1:117">
      <c r="A133" s="117" t="s">
        <v>327</v>
      </c>
      <c r="B133" s="117" t="s">
        <v>331</v>
      </c>
      <c r="C133" s="117">
        <v>2.468</v>
      </c>
      <c r="F133" s="117">
        <v>5741</v>
      </c>
      <c r="G133" s="117">
        <v>3416</v>
      </c>
      <c r="H133" s="43">
        <f t="shared" si="181"/>
        <v>2.3106290936311714E+22</v>
      </c>
      <c r="I133" s="43">
        <f t="shared" si="182"/>
        <v>7.1692066814716635E+22</v>
      </c>
      <c r="J133" s="42">
        <f t="shared" si="183"/>
        <v>81.343011907999994</v>
      </c>
      <c r="K133" s="42">
        <f t="shared" si="211"/>
        <v>28.799230208000001</v>
      </c>
      <c r="L133" s="42">
        <f t="shared" si="212"/>
        <v>84.515493652979259</v>
      </c>
      <c r="M133" s="79">
        <f t="shared" si="184"/>
        <v>80.557779383015372</v>
      </c>
      <c r="O133" s="52" t="str">
        <f t="shared" si="185"/>
        <v xml:space="preserve">Trachyte </v>
      </c>
      <c r="P133" s="117">
        <v>63.931508432653615</v>
      </c>
      <c r="R133" s="117">
        <v>0.49263598212711057</v>
      </c>
      <c r="T133" s="117">
        <v>16.572211889295946</v>
      </c>
      <c r="V133" s="117">
        <v>0</v>
      </c>
      <c r="W133" s="117">
        <v>0</v>
      </c>
      <c r="X133" s="117">
        <v>0</v>
      </c>
      <c r="Y133" s="117">
        <v>2.8962935786093165</v>
      </c>
      <c r="Z133" s="117">
        <v>5.3182688435299523</v>
      </c>
      <c r="AE133" s="117">
        <v>6.6425275387016445</v>
      </c>
      <c r="AF133" s="117">
        <v>3.3409096577317681</v>
      </c>
      <c r="AI133" s="117">
        <v>0</v>
      </c>
      <c r="AM133" s="86">
        <f t="shared" si="213"/>
        <v>99.194355922649351</v>
      </c>
      <c r="AO133" s="71">
        <f t="shared" si="178"/>
        <v>1.5421307471518639</v>
      </c>
      <c r="AQ133" s="97" t="str">
        <f t="shared" si="187"/>
        <v xml:space="preserve">Trachyte </v>
      </c>
      <c r="AR133" s="73">
        <f t="shared" si="188"/>
        <v>69.002341991216099</v>
      </c>
      <c r="AS133" s="73">
        <f t="shared" si="189"/>
        <v>0</v>
      </c>
      <c r="AT133" s="73">
        <f t="shared" si="190"/>
        <v>0.39981414410131527</v>
      </c>
      <c r="AU133" s="73">
        <f t="shared" si="191"/>
        <v>0</v>
      </c>
      <c r="AV133" s="73">
        <f t="shared" si="192"/>
        <v>10.539729244639071</v>
      </c>
      <c r="AW133" s="73">
        <f t="shared" si="193"/>
        <v>0</v>
      </c>
      <c r="AX133" s="73">
        <f t="shared" si="194"/>
        <v>0</v>
      </c>
      <c r="AY133" s="73">
        <f t="shared" si="195"/>
        <v>0</v>
      </c>
      <c r="AZ133" s="73">
        <f t="shared" si="196"/>
        <v>0</v>
      </c>
      <c r="BA133" s="73">
        <f t="shared" si="197"/>
        <v>4.6591703224658021</v>
      </c>
      <c r="BB133" s="73">
        <f t="shared" si="198"/>
        <v>6.1495181314018215</v>
      </c>
      <c r="BC133" s="73">
        <f t="shared" si="199"/>
        <v>0</v>
      </c>
      <c r="BD133" s="73">
        <f t="shared" si="200"/>
        <v>0</v>
      </c>
      <c r="BE133" s="73">
        <f t="shared" si="201"/>
        <v>0</v>
      </c>
      <c r="BF133" s="73">
        <f t="shared" si="202"/>
        <v>0</v>
      </c>
      <c r="BG133" s="73">
        <f t="shared" si="203"/>
        <v>6.9496125924445558</v>
      </c>
      <c r="BH133" s="73">
        <f t="shared" si="204"/>
        <v>2.2998135737313539</v>
      </c>
      <c r="BI133" s="73">
        <f t="shared" si="205"/>
        <v>0</v>
      </c>
      <c r="BJ133" s="73">
        <f t="shared" si="206"/>
        <v>0</v>
      </c>
      <c r="BK133" s="73">
        <f t="shared" si="207"/>
        <v>0</v>
      </c>
      <c r="BL133" s="73">
        <f t="shared" si="208"/>
        <v>0</v>
      </c>
      <c r="BM133" s="73">
        <f t="shared" si="209"/>
        <v>0</v>
      </c>
      <c r="BN133" s="73">
        <f t="shared" si="210"/>
        <v>0</v>
      </c>
      <c r="BQ133">
        <f t="shared" si="260"/>
        <v>41.456607068322633</v>
      </c>
      <c r="BR133">
        <f t="shared" si="261"/>
        <v>0</v>
      </c>
      <c r="BS133">
        <f t="shared" si="262"/>
        <v>0.31945150113695092</v>
      </c>
      <c r="BT133">
        <f t="shared" si="263"/>
        <v>0</v>
      </c>
      <c r="BU133">
        <f t="shared" si="264"/>
        <v>10.746307937833995</v>
      </c>
      <c r="BV133">
        <f t="shared" si="265"/>
        <v>0</v>
      </c>
      <c r="BW133">
        <f t="shared" si="266"/>
        <v>0</v>
      </c>
      <c r="BX133">
        <f t="shared" si="267"/>
        <v>0</v>
      </c>
      <c r="BY133">
        <f t="shared" si="268"/>
        <v>0</v>
      </c>
      <c r="BZ133">
        <f t="shared" si="269"/>
        <v>1.8781115569859648</v>
      </c>
      <c r="CA133">
        <f t="shared" si="270"/>
        <v>3.4486497680901413</v>
      </c>
      <c r="CB133">
        <f t="shared" si="271"/>
        <v>0</v>
      </c>
      <c r="CC133">
        <f t="shared" si="272"/>
        <v>0</v>
      </c>
      <c r="CD133">
        <f t="shared" si="273"/>
        <v>0</v>
      </c>
      <c r="CE133">
        <f t="shared" si="274"/>
        <v>0</v>
      </c>
      <c r="CF133">
        <f t="shared" si="275"/>
        <v>4.3073698847971356</v>
      </c>
      <c r="CG133">
        <f t="shared" si="276"/>
        <v>2.1664243864549353</v>
      </c>
      <c r="CH133">
        <f t="shared" si="277"/>
        <v>0</v>
      </c>
      <c r="CI133">
        <f t="shared" si="278"/>
        <v>0</v>
      </c>
      <c r="CJ133">
        <f t="shared" si="279"/>
        <v>0</v>
      </c>
      <c r="CK133">
        <f t="shared" si="280"/>
        <v>0</v>
      </c>
      <c r="CL133">
        <f t="shared" si="281"/>
        <v>0</v>
      </c>
      <c r="CN133">
        <f t="shared" si="236"/>
        <v>64.322922103621764</v>
      </c>
      <c r="CP133">
        <f t="shared" si="305"/>
        <v>2.0700702597364828</v>
      </c>
      <c r="CQ133">
        <f t="shared" si="306"/>
        <v>0</v>
      </c>
      <c r="CR133">
        <f t="shared" si="307"/>
        <v>1.1994424323039456E-2</v>
      </c>
      <c r="CS133">
        <f t="shared" si="308"/>
        <v>0</v>
      </c>
      <c r="CT133">
        <f t="shared" si="309"/>
        <v>0.52698646223195356</v>
      </c>
      <c r="CU133">
        <f t="shared" si="310"/>
        <v>0</v>
      </c>
      <c r="CV133">
        <f t="shared" si="311"/>
        <v>0</v>
      </c>
      <c r="CW133">
        <f t="shared" si="312"/>
        <v>0</v>
      </c>
      <c r="CX133">
        <f t="shared" si="313"/>
        <v>0</v>
      </c>
      <c r="CY133">
        <f t="shared" si="314"/>
        <v>9.3183406449316039E-2</v>
      </c>
      <c r="CZ133">
        <f t="shared" si="315"/>
        <v>0.12299036262803643</v>
      </c>
      <c r="DA133">
        <f t="shared" si="316"/>
        <v>0</v>
      </c>
      <c r="DB133">
        <f t="shared" si="317"/>
        <v>0</v>
      </c>
      <c r="DC133">
        <f t="shared" si="318"/>
        <v>0</v>
      </c>
      <c r="DD133">
        <f t="shared" si="319"/>
        <v>0</v>
      </c>
      <c r="DE133">
        <f t="shared" si="320"/>
        <v>0.20848837777333667</v>
      </c>
      <c r="DF133">
        <f t="shared" si="321"/>
        <v>6.8994407211940612E-2</v>
      </c>
      <c r="DG133">
        <f t="shared" si="322"/>
        <v>0</v>
      </c>
      <c r="DH133">
        <f t="shared" si="323"/>
        <v>0</v>
      </c>
      <c r="DI133">
        <f t="shared" si="324"/>
        <v>0</v>
      </c>
      <c r="DJ133">
        <f t="shared" si="325"/>
        <v>0</v>
      </c>
      <c r="DK133">
        <f t="shared" si="326"/>
        <v>0</v>
      </c>
      <c r="DM133">
        <f t="shared" si="327"/>
        <v>3.1027077003541059</v>
      </c>
    </row>
    <row r="134" spans="1:117">
      <c r="A134" s="117" t="s">
        <v>327</v>
      </c>
      <c r="B134" s="117" t="s">
        <v>331</v>
      </c>
      <c r="C134" s="117">
        <v>2.4780000000000002</v>
      </c>
      <c r="F134" s="117">
        <v>5730</v>
      </c>
      <c r="G134" s="117">
        <v>3427</v>
      </c>
      <c r="H134" s="43">
        <f t="shared" si="181"/>
        <v>2.3199914481434539E+22</v>
      </c>
      <c r="I134" s="43">
        <f t="shared" si="182"/>
        <v>7.1982553309103658E+22</v>
      </c>
      <c r="J134" s="42">
        <f t="shared" si="183"/>
        <v>81.359926200000004</v>
      </c>
      <c r="K134" s="42">
        <f t="shared" si="211"/>
        <v>29.102447262000002</v>
      </c>
      <c r="L134" s="42">
        <f t="shared" si="212"/>
        <v>85.417518400996201</v>
      </c>
      <c r="M134" s="79">
        <f t="shared" si="184"/>
        <v>81.44376801162403</v>
      </c>
      <c r="O134" s="52" t="str">
        <f t="shared" si="185"/>
        <v xml:space="preserve">Trachyte </v>
      </c>
      <c r="P134" s="117">
        <v>63.756159726606789</v>
      </c>
      <c r="R134" s="117">
        <v>0.49128480046198386</v>
      </c>
      <c r="T134" s="117">
        <v>16.526758309639163</v>
      </c>
      <c r="V134" s="117">
        <v>0</v>
      </c>
      <c r="W134" s="117">
        <v>0</v>
      </c>
      <c r="X134" s="117">
        <v>0</v>
      </c>
      <c r="Y134" s="117">
        <v>2.8883497439682824</v>
      </c>
      <c r="Z134" s="117">
        <v>5.3036821149670788</v>
      </c>
      <c r="AE134" s="117">
        <v>6.6243086879761259</v>
      </c>
      <c r="AF134" s="117">
        <v>3.3317463484361687</v>
      </c>
      <c r="AI134" s="117">
        <v>0</v>
      </c>
      <c r="AM134" s="86">
        <f t="shared" si="213"/>
        <v>98.922289732055589</v>
      </c>
      <c r="AO134" s="71">
        <f t="shared" ref="AO134:AO197" si="328">(P134/$AR$3+Q134/$AS$3+R134/$AT$3+S134/$AU$3+T134/$AV$3+U134/$AW$3+V134/$AX$3+W134/$AY$3+X134/$AZ$3+Y134/$BA$3+Z134/$BB$3+AA134/$BC$3+AB134/$BD$3+AC134/$BE$3+AD134/$BF$3+AE134/$BG$3+AF134/$BH$3+AG134/$BI$3+AH134/$BJ$3+AI134/$BK$3+AJ134/$BL$3+AL134/$BN$3+AK134/$BM$3)</f>
        <v>1.5379010545058198</v>
      </c>
      <c r="AQ134" s="97" t="str">
        <f t="shared" si="187"/>
        <v xml:space="preserve">Trachyte </v>
      </c>
      <c r="AR134" s="73">
        <f t="shared" si="188"/>
        <v>69.002341991216085</v>
      </c>
      <c r="AS134" s="73">
        <f t="shared" si="189"/>
        <v>0</v>
      </c>
      <c r="AT134" s="73">
        <f t="shared" si="190"/>
        <v>0.39981414410131516</v>
      </c>
      <c r="AU134" s="73">
        <f t="shared" si="191"/>
        <v>0</v>
      </c>
      <c r="AV134" s="73">
        <f t="shared" si="192"/>
        <v>10.539729244639069</v>
      </c>
      <c r="AW134" s="73">
        <f t="shared" si="193"/>
        <v>0</v>
      </c>
      <c r="AX134" s="73">
        <f t="shared" si="194"/>
        <v>0</v>
      </c>
      <c r="AY134" s="73">
        <f t="shared" si="195"/>
        <v>0</v>
      </c>
      <c r="AZ134" s="73">
        <f t="shared" si="196"/>
        <v>0</v>
      </c>
      <c r="BA134" s="73">
        <f t="shared" si="197"/>
        <v>4.6591703224658012</v>
      </c>
      <c r="BB134" s="73">
        <f t="shared" si="198"/>
        <v>6.1495181314018206</v>
      </c>
      <c r="BC134" s="73">
        <f t="shared" si="199"/>
        <v>0</v>
      </c>
      <c r="BD134" s="73">
        <f t="shared" si="200"/>
        <v>0</v>
      </c>
      <c r="BE134" s="73">
        <f t="shared" si="201"/>
        <v>0</v>
      </c>
      <c r="BF134" s="73">
        <f t="shared" si="202"/>
        <v>0</v>
      </c>
      <c r="BG134" s="73">
        <f t="shared" si="203"/>
        <v>6.9496125924445549</v>
      </c>
      <c r="BH134" s="73">
        <f t="shared" si="204"/>
        <v>2.2998135737313534</v>
      </c>
      <c r="BI134" s="73">
        <f t="shared" si="205"/>
        <v>0</v>
      </c>
      <c r="BJ134" s="73">
        <f t="shared" si="206"/>
        <v>0</v>
      </c>
      <c r="BK134" s="73">
        <f t="shared" si="207"/>
        <v>0</v>
      </c>
      <c r="BL134" s="73">
        <f t="shared" si="208"/>
        <v>0</v>
      </c>
      <c r="BM134" s="73">
        <f t="shared" si="209"/>
        <v>0</v>
      </c>
      <c r="BN134" s="73">
        <f t="shared" si="210"/>
        <v>0</v>
      </c>
      <c r="BQ134">
        <f t="shared" si="260"/>
        <v>41.456607068322626</v>
      </c>
      <c r="BR134">
        <f t="shared" si="261"/>
        <v>0</v>
      </c>
      <c r="BS134">
        <f t="shared" si="262"/>
        <v>0.31945150113695081</v>
      </c>
      <c r="BT134">
        <f t="shared" si="263"/>
        <v>0</v>
      </c>
      <c r="BU134">
        <f t="shared" si="264"/>
        <v>10.746307937833993</v>
      </c>
      <c r="BV134">
        <f t="shared" si="265"/>
        <v>0</v>
      </c>
      <c r="BW134">
        <f t="shared" si="266"/>
        <v>0</v>
      </c>
      <c r="BX134">
        <f t="shared" si="267"/>
        <v>0</v>
      </c>
      <c r="BY134">
        <f t="shared" si="268"/>
        <v>0</v>
      </c>
      <c r="BZ134">
        <f t="shared" si="269"/>
        <v>1.8781115569859645</v>
      </c>
      <c r="CA134">
        <f t="shared" si="270"/>
        <v>3.4486497680901409</v>
      </c>
      <c r="CB134">
        <f t="shared" si="271"/>
        <v>0</v>
      </c>
      <c r="CC134">
        <f t="shared" si="272"/>
        <v>0</v>
      </c>
      <c r="CD134">
        <f t="shared" si="273"/>
        <v>0</v>
      </c>
      <c r="CE134">
        <f t="shared" si="274"/>
        <v>0</v>
      </c>
      <c r="CF134">
        <f t="shared" si="275"/>
        <v>4.3073698847971356</v>
      </c>
      <c r="CG134">
        <f t="shared" si="276"/>
        <v>2.1664243864549348</v>
      </c>
      <c r="CH134">
        <f t="shared" si="277"/>
        <v>0</v>
      </c>
      <c r="CI134">
        <f t="shared" si="278"/>
        <v>0</v>
      </c>
      <c r="CJ134">
        <f t="shared" si="279"/>
        <v>0</v>
      </c>
      <c r="CK134">
        <f t="shared" si="280"/>
        <v>0</v>
      </c>
      <c r="CL134">
        <f t="shared" si="281"/>
        <v>0</v>
      </c>
      <c r="CN134">
        <f t="shared" si="236"/>
        <v>64.32292210362175</v>
      </c>
      <c r="CP134">
        <f t="shared" si="305"/>
        <v>2.0700702597364824</v>
      </c>
      <c r="CQ134">
        <f t="shared" si="306"/>
        <v>0</v>
      </c>
      <c r="CR134">
        <f t="shared" si="307"/>
        <v>1.1994424323039455E-2</v>
      </c>
      <c r="CS134">
        <f t="shared" si="308"/>
        <v>0</v>
      </c>
      <c r="CT134">
        <f t="shared" si="309"/>
        <v>0.52698646223195345</v>
      </c>
      <c r="CU134">
        <f t="shared" si="310"/>
        <v>0</v>
      </c>
      <c r="CV134">
        <f t="shared" si="311"/>
        <v>0</v>
      </c>
      <c r="CW134">
        <f t="shared" si="312"/>
        <v>0</v>
      </c>
      <c r="CX134">
        <f t="shared" si="313"/>
        <v>0</v>
      </c>
      <c r="CY134">
        <f t="shared" si="314"/>
        <v>9.3183406449316025E-2</v>
      </c>
      <c r="CZ134">
        <f t="shared" si="315"/>
        <v>0.12299036262803641</v>
      </c>
      <c r="DA134">
        <f t="shared" si="316"/>
        <v>0</v>
      </c>
      <c r="DB134">
        <f t="shared" si="317"/>
        <v>0</v>
      </c>
      <c r="DC134">
        <f t="shared" si="318"/>
        <v>0</v>
      </c>
      <c r="DD134">
        <f t="shared" si="319"/>
        <v>0</v>
      </c>
      <c r="DE134">
        <f t="shared" si="320"/>
        <v>0.20848837777333667</v>
      </c>
      <c r="DF134">
        <f t="shared" si="321"/>
        <v>6.8994407211940598E-2</v>
      </c>
      <c r="DG134">
        <f t="shared" si="322"/>
        <v>0</v>
      </c>
      <c r="DH134">
        <f t="shared" si="323"/>
        <v>0</v>
      </c>
      <c r="DI134">
        <f t="shared" si="324"/>
        <v>0</v>
      </c>
      <c r="DJ134">
        <f t="shared" si="325"/>
        <v>0</v>
      </c>
      <c r="DK134">
        <f t="shared" si="326"/>
        <v>0</v>
      </c>
      <c r="DM134">
        <f t="shared" si="327"/>
        <v>3.102707700354105</v>
      </c>
    </row>
    <row r="135" spans="1:117">
      <c r="A135" s="117" t="s">
        <v>327</v>
      </c>
      <c r="B135" s="117" t="s">
        <v>331</v>
      </c>
      <c r="C135" s="117">
        <v>2.4780000000000002</v>
      </c>
      <c r="F135" s="117">
        <v>5730</v>
      </c>
      <c r="G135" s="117">
        <v>3416</v>
      </c>
      <c r="H135" s="43">
        <f t="shared" si="181"/>
        <v>2.3199914481434539E+22</v>
      </c>
      <c r="I135" s="43">
        <f t="shared" si="182"/>
        <v>7.1982553309103658E+22</v>
      </c>
      <c r="J135" s="42">
        <f t="shared" si="183"/>
        <v>81.359926200000004</v>
      </c>
      <c r="K135" s="42">
        <f t="shared" si="211"/>
        <v>28.915920768000003</v>
      </c>
      <c r="L135" s="42">
        <f t="shared" si="212"/>
        <v>84.857938918996197</v>
      </c>
      <c r="M135" s="79">
        <f t="shared" si="184"/>
        <v>80.884188529624026</v>
      </c>
      <c r="O135" s="52" t="str">
        <f t="shared" si="185"/>
        <v xml:space="preserve">Trachyte </v>
      </c>
      <c r="P135" s="117">
        <v>63.756159726606789</v>
      </c>
      <c r="R135" s="117">
        <v>0.49128480046198386</v>
      </c>
      <c r="T135" s="117">
        <v>16.526758309639163</v>
      </c>
      <c r="V135" s="117">
        <v>0</v>
      </c>
      <c r="W135" s="117">
        <v>0</v>
      </c>
      <c r="X135" s="117">
        <v>0</v>
      </c>
      <c r="Y135" s="117">
        <v>2.8883497439682824</v>
      </c>
      <c r="Z135" s="117">
        <v>5.3036821149670788</v>
      </c>
      <c r="AE135" s="117">
        <v>6.6243086879761259</v>
      </c>
      <c r="AF135" s="117">
        <v>3.3317463484361687</v>
      </c>
      <c r="AI135" s="117">
        <v>0</v>
      </c>
      <c r="AM135" s="86">
        <f t="shared" si="213"/>
        <v>98.922289732055589</v>
      </c>
      <c r="AO135" s="71">
        <f t="shared" si="328"/>
        <v>1.5379010545058198</v>
      </c>
      <c r="AQ135" s="97" t="str">
        <f t="shared" si="187"/>
        <v xml:space="preserve">Trachyte </v>
      </c>
      <c r="AR135" s="73">
        <f t="shared" si="188"/>
        <v>69.002341991216085</v>
      </c>
      <c r="AS135" s="73">
        <f t="shared" si="189"/>
        <v>0</v>
      </c>
      <c r="AT135" s="73">
        <f t="shared" si="190"/>
        <v>0.39981414410131516</v>
      </c>
      <c r="AU135" s="73">
        <f t="shared" si="191"/>
        <v>0</v>
      </c>
      <c r="AV135" s="73">
        <f t="shared" si="192"/>
        <v>10.539729244639069</v>
      </c>
      <c r="AW135" s="73">
        <f t="shared" si="193"/>
        <v>0</v>
      </c>
      <c r="AX135" s="73">
        <f t="shared" si="194"/>
        <v>0</v>
      </c>
      <c r="AY135" s="73">
        <f t="shared" si="195"/>
        <v>0</v>
      </c>
      <c r="AZ135" s="73">
        <f t="shared" si="196"/>
        <v>0</v>
      </c>
      <c r="BA135" s="73">
        <f t="shared" si="197"/>
        <v>4.6591703224658012</v>
      </c>
      <c r="BB135" s="73">
        <f t="shared" si="198"/>
        <v>6.1495181314018206</v>
      </c>
      <c r="BC135" s="73">
        <f t="shared" si="199"/>
        <v>0</v>
      </c>
      <c r="BD135" s="73">
        <f t="shared" si="200"/>
        <v>0</v>
      </c>
      <c r="BE135" s="73">
        <f t="shared" si="201"/>
        <v>0</v>
      </c>
      <c r="BF135" s="73">
        <f t="shared" si="202"/>
        <v>0</v>
      </c>
      <c r="BG135" s="73">
        <f t="shared" si="203"/>
        <v>6.9496125924445549</v>
      </c>
      <c r="BH135" s="73">
        <f t="shared" si="204"/>
        <v>2.2998135737313534</v>
      </c>
      <c r="BI135" s="73">
        <f t="shared" si="205"/>
        <v>0</v>
      </c>
      <c r="BJ135" s="73">
        <f t="shared" si="206"/>
        <v>0</v>
      </c>
      <c r="BK135" s="73">
        <f t="shared" si="207"/>
        <v>0</v>
      </c>
      <c r="BL135" s="73">
        <f t="shared" si="208"/>
        <v>0</v>
      </c>
      <c r="BM135" s="73">
        <f t="shared" si="209"/>
        <v>0</v>
      </c>
      <c r="BN135" s="73">
        <f t="shared" si="210"/>
        <v>0</v>
      </c>
      <c r="BQ135">
        <f t="shared" si="260"/>
        <v>41.456607068322626</v>
      </c>
      <c r="BR135">
        <f t="shared" si="261"/>
        <v>0</v>
      </c>
      <c r="BS135">
        <f t="shared" si="262"/>
        <v>0.31945150113695081</v>
      </c>
      <c r="BT135">
        <f t="shared" si="263"/>
        <v>0</v>
      </c>
      <c r="BU135">
        <f t="shared" si="264"/>
        <v>10.746307937833993</v>
      </c>
      <c r="BV135">
        <f t="shared" si="265"/>
        <v>0</v>
      </c>
      <c r="BW135">
        <f t="shared" si="266"/>
        <v>0</v>
      </c>
      <c r="BX135">
        <f t="shared" si="267"/>
        <v>0</v>
      </c>
      <c r="BY135">
        <f t="shared" si="268"/>
        <v>0</v>
      </c>
      <c r="BZ135">
        <f t="shared" si="269"/>
        <v>1.8781115569859645</v>
      </c>
      <c r="CA135">
        <f t="shared" si="270"/>
        <v>3.4486497680901409</v>
      </c>
      <c r="CB135">
        <f t="shared" si="271"/>
        <v>0</v>
      </c>
      <c r="CC135">
        <f t="shared" si="272"/>
        <v>0</v>
      </c>
      <c r="CD135">
        <f t="shared" si="273"/>
        <v>0</v>
      </c>
      <c r="CE135">
        <f t="shared" si="274"/>
        <v>0</v>
      </c>
      <c r="CF135">
        <f t="shared" si="275"/>
        <v>4.3073698847971356</v>
      </c>
      <c r="CG135">
        <f t="shared" si="276"/>
        <v>2.1664243864549348</v>
      </c>
      <c r="CH135">
        <f t="shared" si="277"/>
        <v>0</v>
      </c>
      <c r="CI135">
        <f t="shared" si="278"/>
        <v>0</v>
      </c>
      <c r="CJ135">
        <f t="shared" si="279"/>
        <v>0</v>
      </c>
      <c r="CK135">
        <f t="shared" si="280"/>
        <v>0</v>
      </c>
      <c r="CL135">
        <f t="shared" si="281"/>
        <v>0</v>
      </c>
      <c r="CN135">
        <f t="shared" si="236"/>
        <v>64.32292210362175</v>
      </c>
      <c r="CP135">
        <f t="shared" si="305"/>
        <v>2.0700702597364824</v>
      </c>
      <c r="CQ135">
        <f t="shared" si="306"/>
        <v>0</v>
      </c>
      <c r="CR135">
        <f t="shared" si="307"/>
        <v>1.1994424323039455E-2</v>
      </c>
      <c r="CS135">
        <f t="shared" si="308"/>
        <v>0</v>
      </c>
      <c r="CT135">
        <f t="shared" si="309"/>
        <v>0.52698646223195345</v>
      </c>
      <c r="CU135">
        <f t="shared" si="310"/>
        <v>0</v>
      </c>
      <c r="CV135">
        <f t="shared" si="311"/>
        <v>0</v>
      </c>
      <c r="CW135">
        <f t="shared" si="312"/>
        <v>0</v>
      </c>
      <c r="CX135">
        <f t="shared" si="313"/>
        <v>0</v>
      </c>
      <c r="CY135">
        <f t="shared" si="314"/>
        <v>9.3183406449316025E-2</v>
      </c>
      <c r="CZ135">
        <f t="shared" si="315"/>
        <v>0.12299036262803641</v>
      </c>
      <c r="DA135">
        <f t="shared" si="316"/>
        <v>0</v>
      </c>
      <c r="DB135">
        <f t="shared" si="317"/>
        <v>0</v>
      </c>
      <c r="DC135">
        <f t="shared" si="318"/>
        <v>0</v>
      </c>
      <c r="DD135">
        <f t="shared" si="319"/>
        <v>0</v>
      </c>
      <c r="DE135">
        <f t="shared" si="320"/>
        <v>0.20848837777333667</v>
      </c>
      <c r="DF135">
        <f t="shared" si="321"/>
        <v>6.8994407211940598E-2</v>
      </c>
      <c r="DG135">
        <f t="shared" si="322"/>
        <v>0</v>
      </c>
      <c r="DH135">
        <f t="shared" si="323"/>
        <v>0</v>
      </c>
      <c r="DI135">
        <f t="shared" si="324"/>
        <v>0</v>
      </c>
      <c r="DJ135">
        <f t="shared" si="325"/>
        <v>0</v>
      </c>
      <c r="DK135">
        <f t="shared" si="326"/>
        <v>0</v>
      </c>
      <c r="DM135">
        <f t="shared" si="327"/>
        <v>3.102707700354105</v>
      </c>
    </row>
    <row r="136" spans="1:117">
      <c r="A136" s="117" t="s">
        <v>327</v>
      </c>
      <c r="B136" s="117" t="s">
        <v>331</v>
      </c>
      <c r="C136" s="117">
        <v>2.4780000000000002</v>
      </c>
      <c r="F136" s="117">
        <v>5730</v>
      </c>
      <c r="G136" s="117">
        <v>3416</v>
      </c>
      <c r="H136" s="43">
        <f t="shared" si="181"/>
        <v>2.3199914481434539E+22</v>
      </c>
      <c r="I136" s="43">
        <f t="shared" si="182"/>
        <v>7.1982553309103658E+22</v>
      </c>
      <c r="J136" s="42">
        <f t="shared" si="183"/>
        <v>81.359926200000004</v>
      </c>
      <c r="K136" s="42">
        <f t="shared" si="211"/>
        <v>28.915920768000003</v>
      </c>
      <c r="L136" s="42">
        <f t="shared" si="212"/>
        <v>84.857938918996197</v>
      </c>
      <c r="M136" s="79">
        <f t="shared" si="184"/>
        <v>80.884188529624026</v>
      </c>
      <c r="O136" s="52" t="str">
        <f t="shared" si="185"/>
        <v xml:space="preserve">Trachyte </v>
      </c>
      <c r="P136" s="117">
        <v>63.756159726606789</v>
      </c>
      <c r="R136" s="117">
        <v>0.49128480046198386</v>
      </c>
      <c r="T136" s="117">
        <v>16.526758309639163</v>
      </c>
      <c r="V136" s="117">
        <v>0</v>
      </c>
      <c r="W136" s="117">
        <v>0</v>
      </c>
      <c r="X136" s="117">
        <v>0</v>
      </c>
      <c r="Y136" s="117">
        <v>2.8883497439682824</v>
      </c>
      <c r="Z136" s="117">
        <v>5.3036821149670788</v>
      </c>
      <c r="AE136" s="117">
        <v>6.6243086879761259</v>
      </c>
      <c r="AF136" s="117">
        <v>3.3317463484361687</v>
      </c>
      <c r="AI136" s="117">
        <v>0</v>
      </c>
      <c r="AM136" s="86">
        <f t="shared" si="213"/>
        <v>98.922289732055589</v>
      </c>
      <c r="AO136" s="71">
        <f t="shared" si="328"/>
        <v>1.5379010545058198</v>
      </c>
      <c r="AQ136" s="97" t="str">
        <f t="shared" si="187"/>
        <v xml:space="preserve">Trachyte </v>
      </c>
      <c r="AR136" s="73">
        <f t="shared" si="188"/>
        <v>69.002341991216085</v>
      </c>
      <c r="AS136" s="73">
        <f t="shared" si="189"/>
        <v>0</v>
      </c>
      <c r="AT136" s="73">
        <f t="shared" si="190"/>
        <v>0.39981414410131516</v>
      </c>
      <c r="AU136" s="73">
        <f t="shared" si="191"/>
        <v>0</v>
      </c>
      <c r="AV136" s="73">
        <f t="shared" si="192"/>
        <v>10.539729244639069</v>
      </c>
      <c r="AW136" s="73">
        <f t="shared" si="193"/>
        <v>0</v>
      </c>
      <c r="AX136" s="73">
        <f t="shared" si="194"/>
        <v>0</v>
      </c>
      <c r="AY136" s="73">
        <f t="shared" si="195"/>
        <v>0</v>
      </c>
      <c r="AZ136" s="73">
        <f t="shared" si="196"/>
        <v>0</v>
      </c>
      <c r="BA136" s="73">
        <f t="shared" si="197"/>
        <v>4.6591703224658012</v>
      </c>
      <c r="BB136" s="73">
        <f t="shared" si="198"/>
        <v>6.1495181314018206</v>
      </c>
      <c r="BC136" s="73">
        <f t="shared" si="199"/>
        <v>0</v>
      </c>
      <c r="BD136" s="73">
        <f t="shared" si="200"/>
        <v>0</v>
      </c>
      <c r="BE136" s="73">
        <f t="shared" si="201"/>
        <v>0</v>
      </c>
      <c r="BF136" s="73">
        <f t="shared" si="202"/>
        <v>0</v>
      </c>
      <c r="BG136" s="73">
        <f t="shared" si="203"/>
        <v>6.9496125924445549</v>
      </c>
      <c r="BH136" s="73">
        <f t="shared" si="204"/>
        <v>2.2998135737313534</v>
      </c>
      <c r="BI136" s="73">
        <f t="shared" si="205"/>
        <v>0</v>
      </c>
      <c r="BJ136" s="73">
        <f t="shared" si="206"/>
        <v>0</v>
      </c>
      <c r="BK136" s="73">
        <f t="shared" si="207"/>
        <v>0</v>
      </c>
      <c r="BL136" s="73">
        <f t="shared" si="208"/>
        <v>0</v>
      </c>
      <c r="BM136" s="73">
        <f t="shared" si="209"/>
        <v>0</v>
      </c>
      <c r="BN136" s="73">
        <f t="shared" si="210"/>
        <v>0</v>
      </c>
      <c r="BQ136">
        <f t="shared" si="260"/>
        <v>41.456607068322626</v>
      </c>
      <c r="BR136">
        <f t="shared" si="261"/>
        <v>0</v>
      </c>
      <c r="BS136">
        <f t="shared" si="262"/>
        <v>0.31945150113695081</v>
      </c>
      <c r="BT136">
        <f t="shared" si="263"/>
        <v>0</v>
      </c>
      <c r="BU136">
        <f t="shared" si="264"/>
        <v>10.746307937833993</v>
      </c>
      <c r="BV136">
        <f t="shared" si="265"/>
        <v>0</v>
      </c>
      <c r="BW136">
        <f t="shared" si="266"/>
        <v>0</v>
      </c>
      <c r="BX136">
        <f t="shared" si="267"/>
        <v>0</v>
      </c>
      <c r="BY136">
        <f t="shared" si="268"/>
        <v>0</v>
      </c>
      <c r="BZ136">
        <f t="shared" si="269"/>
        <v>1.8781115569859645</v>
      </c>
      <c r="CA136">
        <f t="shared" si="270"/>
        <v>3.4486497680901409</v>
      </c>
      <c r="CB136">
        <f t="shared" si="271"/>
        <v>0</v>
      </c>
      <c r="CC136">
        <f t="shared" si="272"/>
        <v>0</v>
      </c>
      <c r="CD136">
        <f t="shared" si="273"/>
        <v>0</v>
      </c>
      <c r="CE136">
        <f t="shared" si="274"/>
        <v>0</v>
      </c>
      <c r="CF136">
        <f t="shared" si="275"/>
        <v>4.3073698847971356</v>
      </c>
      <c r="CG136">
        <f t="shared" si="276"/>
        <v>2.1664243864549348</v>
      </c>
      <c r="CH136">
        <f t="shared" si="277"/>
        <v>0</v>
      </c>
      <c r="CI136">
        <f t="shared" si="278"/>
        <v>0</v>
      </c>
      <c r="CJ136">
        <f t="shared" si="279"/>
        <v>0</v>
      </c>
      <c r="CK136">
        <f t="shared" si="280"/>
        <v>0</v>
      </c>
      <c r="CL136">
        <f t="shared" si="281"/>
        <v>0</v>
      </c>
      <c r="CN136">
        <f t="shared" si="236"/>
        <v>64.32292210362175</v>
      </c>
      <c r="CP136">
        <f t="shared" si="305"/>
        <v>2.0700702597364824</v>
      </c>
      <c r="CQ136">
        <f t="shared" si="306"/>
        <v>0</v>
      </c>
      <c r="CR136">
        <f t="shared" si="307"/>
        <v>1.1994424323039455E-2</v>
      </c>
      <c r="CS136">
        <f t="shared" si="308"/>
        <v>0</v>
      </c>
      <c r="CT136">
        <f t="shared" si="309"/>
        <v>0.52698646223195345</v>
      </c>
      <c r="CU136">
        <f t="shared" si="310"/>
        <v>0</v>
      </c>
      <c r="CV136">
        <f t="shared" si="311"/>
        <v>0</v>
      </c>
      <c r="CW136">
        <f t="shared" si="312"/>
        <v>0</v>
      </c>
      <c r="CX136">
        <f t="shared" si="313"/>
        <v>0</v>
      </c>
      <c r="CY136">
        <f t="shared" si="314"/>
        <v>9.3183406449316025E-2</v>
      </c>
      <c r="CZ136">
        <f t="shared" si="315"/>
        <v>0.12299036262803641</v>
      </c>
      <c r="DA136">
        <f t="shared" si="316"/>
        <v>0</v>
      </c>
      <c r="DB136">
        <f t="shared" si="317"/>
        <v>0</v>
      </c>
      <c r="DC136">
        <f t="shared" si="318"/>
        <v>0</v>
      </c>
      <c r="DD136">
        <f t="shared" si="319"/>
        <v>0</v>
      </c>
      <c r="DE136">
        <f t="shared" si="320"/>
        <v>0.20848837777333667</v>
      </c>
      <c r="DF136">
        <f t="shared" si="321"/>
        <v>6.8994407211940598E-2</v>
      </c>
      <c r="DG136">
        <f t="shared" si="322"/>
        <v>0</v>
      </c>
      <c r="DH136">
        <f t="shared" si="323"/>
        <v>0</v>
      </c>
      <c r="DI136">
        <f t="shared" si="324"/>
        <v>0</v>
      </c>
      <c r="DJ136">
        <f t="shared" si="325"/>
        <v>0</v>
      </c>
      <c r="DK136">
        <f t="shared" si="326"/>
        <v>0</v>
      </c>
      <c r="DM136">
        <f t="shared" si="327"/>
        <v>3.102707700354105</v>
      </c>
    </row>
    <row r="137" spans="1:117">
      <c r="A137" s="117" t="s">
        <v>327</v>
      </c>
      <c r="B137" s="117" t="s">
        <v>331</v>
      </c>
      <c r="C137" s="117">
        <v>2.4609999999999999</v>
      </c>
      <c r="F137" s="117">
        <v>5708</v>
      </c>
      <c r="G137" s="117">
        <v>3394</v>
      </c>
      <c r="H137" s="43">
        <f t="shared" si="181"/>
        <v>2.3040754454725738E+22</v>
      </c>
      <c r="I137" s="43">
        <f t="shared" si="182"/>
        <v>7.1488726268645718E+22</v>
      </c>
      <c r="J137" s="42">
        <f t="shared" si="183"/>
        <v>80.182490704000003</v>
      </c>
      <c r="K137" s="42">
        <f t="shared" si="211"/>
        <v>28.348839796</v>
      </c>
      <c r="L137" s="42">
        <f t="shared" si="212"/>
        <v>83.169660906767405</v>
      </c>
      <c r="M137" s="79">
        <f t="shared" si="184"/>
        <v>79.223171920389319</v>
      </c>
      <c r="O137" s="52" t="str">
        <f t="shared" si="185"/>
        <v xml:space="preserve">Trachyte </v>
      </c>
      <c r="P137" s="117">
        <v>63.715559752355432</v>
      </c>
      <c r="R137" s="117">
        <v>0.49097194990237719</v>
      </c>
      <c r="T137" s="117">
        <v>16.516234056536295</v>
      </c>
      <c r="V137" s="117">
        <v>0</v>
      </c>
      <c r="W137" s="117">
        <v>0</v>
      </c>
      <c r="X137" s="117">
        <v>0</v>
      </c>
      <c r="Y137" s="117">
        <v>2.8865104405074575</v>
      </c>
      <c r="Z137" s="117">
        <v>5.3003047258923859</v>
      </c>
      <c r="AE137" s="117">
        <v>6.6200903228280659</v>
      </c>
      <c r="AF137" s="117">
        <v>3.3296246896578072</v>
      </c>
      <c r="AI137" s="117">
        <v>0</v>
      </c>
      <c r="AM137" s="86">
        <f t="shared" si="213"/>
        <v>98.859295937679804</v>
      </c>
      <c r="AO137" s="71">
        <f t="shared" si="328"/>
        <v>1.5369217178663199</v>
      </c>
      <c r="AQ137" s="97" t="str">
        <f t="shared" si="187"/>
        <v xml:space="preserve">Trachyte </v>
      </c>
      <c r="AR137" s="73">
        <f t="shared" si="188"/>
        <v>69.002341991216099</v>
      </c>
      <c r="AS137" s="73">
        <f t="shared" si="189"/>
        <v>0</v>
      </c>
      <c r="AT137" s="73">
        <f t="shared" si="190"/>
        <v>0.39981414410131522</v>
      </c>
      <c r="AU137" s="73">
        <f t="shared" si="191"/>
        <v>0</v>
      </c>
      <c r="AV137" s="73">
        <f t="shared" si="192"/>
        <v>10.539729244639071</v>
      </c>
      <c r="AW137" s="73">
        <f t="shared" si="193"/>
        <v>0</v>
      </c>
      <c r="AX137" s="73">
        <f t="shared" si="194"/>
        <v>0</v>
      </c>
      <c r="AY137" s="73">
        <f t="shared" si="195"/>
        <v>0</v>
      </c>
      <c r="AZ137" s="73">
        <f t="shared" si="196"/>
        <v>0</v>
      </c>
      <c r="BA137" s="73">
        <f t="shared" si="197"/>
        <v>4.6591703224658012</v>
      </c>
      <c r="BB137" s="73">
        <f t="shared" si="198"/>
        <v>6.1495181314018215</v>
      </c>
      <c r="BC137" s="73">
        <f t="shared" si="199"/>
        <v>0</v>
      </c>
      <c r="BD137" s="73">
        <f t="shared" si="200"/>
        <v>0</v>
      </c>
      <c r="BE137" s="73">
        <f t="shared" si="201"/>
        <v>0</v>
      </c>
      <c r="BF137" s="73">
        <f t="shared" si="202"/>
        <v>0</v>
      </c>
      <c r="BG137" s="73">
        <f t="shared" si="203"/>
        <v>6.9496125924445566</v>
      </c>
      <c r="BH137" s="73">
        <f t="shared" si="204"/>
        <v>2.2998135737313534</v>
      </c>
      <c r="BI137" s="73">
        <f t="shared" si="205"/>
        <v>0</v>
      </c>
      <c r="BJ137" s="73">
        <f t="shared" si="206"/>
        <v>0</v>
      </c>
      <c r="BK137" s="73">
        <f t="shared" si="207"/>
        <v>0</v>
      </c>
      <c r="BL137" s="73">
        <f t="shared" si="208"/>
        <v>0</v>
      </c>
      <c r="BM137" s="73">
        <f t="shared" si="209"/>
        <v>0</v>
      </c>
      <c r="BN137" s="73">
        <f t="shared" si="210"/>
        <v>0</v>
      </c>
      <c r="BQ137">
        <f t="shared" si="260"/>
        <v>41.456607068322633</v>
      </c>
      <c r="BR137">
        <f t="shared" si="261"/>
        <v>0</v>
      </c>
      <c r="BS137">
        <f t="shared" si="262"/>
        <v>0.31945150113695092</v>
      </c>
      <c r="BT137">
        <f t="shared" si="263"/>
        <v>0</v>
      </c>
      <c r="BU137">
        <f t="shared" si="264"/>
        <v>10.746307937833995</v>
      </c>
      <c r="BV137">
        <f t="shared" si="265"/>
        <v>0</v>
      </c>
      <c r="BW137">
        <f t="shared" si="266"/>
        <v>0</v>
      </c>
      <c r="BX137">
        <f t="shared" si="267"/>
        <v>0</v>
      </c>
      <c r="BY137">
        <f t="shared" si="268"/>
        <v>0</v>
      </c>
      <c r="BZ137">
        <f t="shared" si="269"/>
        <v>1.8781115569859645</v>
      </c>
      <c r="CA137">
        <f t="shared" si="270"/>
        <v>3.4486497680901413</v>
      </c>
      <c r="CB137">
        <f t="shared" si="271"/>
        <v>0</v>
      </c>
      <c r="CC137">
        <f t="shared" si="272"/>
        <v>0</v>
      </c>
      <c r="CD137">
        <f t="shared" si="273"/>
        <v>0</v>
      </c>
      <c r="CE137">
        <f t="shared" si="274"/>
        <v>0</v>
      </c>
      <c r="CF137">
        <f t="shared" si="275"/>
        <v>4.3073698847971365</v>
      </c>
      <c r="CG137">
        <f t="shared" si="276"/>
        <v>2.1664243864549348</v>
      </c>
      <c r="CH137">
        <f t="shared" si="277"/>
        <v>0</v>
      </c>
      <c r="CI137">
        <f t="shared" si="278"/>
        <v>0</v>
      </c>
      <c r="CJ137">
        <f t="shared" si="279"/>
        <v>0</v>
      </c>
      <c r="CK137">
        <f t="shared" si="280"/>
        <v>0</v>
      </c>
      <c r="CL137">
        <f t="shared" si="281"/>
        <v>0</v>
      </c>
      <c r="CN137">
        <f t="shared" si="236"/>
        <v>64.322922103621764</v>
      </c>
      <c r="CP137">
        <f t="shared" si="305"/>
        <v>2.0700702597364828</v>
      </c>
      <c r="CQ137">
        <f t="shared" si="306"/>
        <v>0</v>
      </c>
      <c r="CR137">
        <f t="shared" si="307"/>
        <v>1.1994424323039456E-2</v>
      </c>
      <c r="CS137">
        <f t="shared" si="308"/>
        <v>0</v>
      </c>
      <c r="CT137">
        <f t="shared" si="309"/>
        <v>0.52698646223195356</v>
      </c>
      <c r="CU137">
        <f t="shared" si="310"/>
        <v>0</v>
      </c>
      <c r="CV137">
        <f t="shared" si="311"/>
        <v>0</v>
      </c>
      <c r="CW137">
        <f t="shared" si="312"/>
        <v>0</v>
      </c>
      <c r="CX137">
        <f t="shared" si="313"/>
        <v>0</v>
      </c>
      <c r="CY137">
        <f t="shared" si="314"/>
        <v>9.3183406449316025E-2</v>
      </c>
      <c r="CZ137">
        <f t="shared" si="315"/>
        <v>0.12299036262803643</v>
      </c>
      <c r="DA137">
        <f t="shared" si="316"/>
        <v>0</v>
      </c>
      <c r="DB137">
        <f t="shared" si="317"/>
        <v>0</v>
      </c>
      <c r="DC137">
        <f t="shared" si="318"/>
        <v>0</v>
      </c>
      <c r="DD137">
        <f t="shared" si="319"/>
        <v>0</v>
      </c>
      <c r="DE137">
        <f t="shared" si="320"/>
        <v>0.2084883777733367</v>
      </c>
      <c r="DF137">
        <f t="shared" si="321"/>
        <v>6.8994407211940598E-2</v>
      </c>
      <c r="DG137">
        <f t="shared" si="322"/>
        <v>0</v>
      </c>
      <c r="DH137">
        <f t="shared" si="323"/>
        <v>0</v>
      </c>
      <c r="DI137">
        <f t="shared" si="324"/>
        <v>0</v>
      </c>
      <c r="DJ137">
        <f t="shared" si="325"/>
        <v>0</v>
      </c>
      <c r="DK137">
        <f t="shared" si="326"/>
        <v>0</v>
      </c>
      <c r="DM137">
        <f t="shared" si="327"/>
        <v>3.1027077003541059</v>
      </c>
    </row>
    <row r="138" spans="1:117">
      <c r="A138" s="117" t="s">
        <v>327</v>
      </c>
      <c r="B138" s="117" t="s">
        <v>331</v>
      </c>
      <c r="C138" s="117">
        <v>2.4670000000000001</v>
      </c>
      <c r="F138" s="117">
        <v>5872</v>
      </c>
      <c r="G138" s="117">
        <v>3482</v>
      </c>
      <c r="H138" s="43">
        <f t="shared" si="181"/>
        <v>2.3096928581799438E+22</v>
      </c>
      <c r="I138" s="43">
        <f t="shared" si="182"/>
        <v>7.1663018165277945E+22</v>
      </c>
      <c r="J138" s="42">
        <f t="shared" si="183"/>
        <v>85.063107328000015</v>
      </c>
      <c r="K138" s="42">
        <f t="shared" si="211"/>
        <v>29.910707308000003</v>
      </c>
      <c r="L138" s="42">
        <f t="shared" si="212"/>
        <v>87.850687594377575</v>
      </c>
      <c r="M138" s="79">
        <f t="shared" si="184"/>
        <v>83.894576936354511</v>
      </c>
      <c r="O138" s="52" t="str">
        <f t="shared" si="185"/>
        <v xml:space="preserve">Trachyte </v>
      </c>
      <c r="P138" s="117">
        <v>63.487050245182552</v>
      </c>
      <c r="R138" s="117">
        <v>0.48921112791879962</v>
      </c>
      <c r="T138" s="117">
        <v>16.457000228578416</v>
      </c>
      <c r="V138" s="117">
        <v>0</v>
      </c>
      <c r="W138" s="117">
        <v>0</v>
      </c>
      <c r="X138" s="117">
        <v>0</v>
      </c>
      <c r="Y138" s="117">
        <v>2.8761582583909795</v>
      </c>
      <c r="Z138" s="117">
        <v>5.2812957110538248</v>
      </c>
      <c r="AE138" s="117">
        <v>6.5963480284342157</v>
      </c>
      <c r="AF138" s="117">
        <v>3.3176833224335129</v>
      </c>
      <c r="AI138" s="117">
        <v>0</v>
      </c>
      <c r="AM138" s="86">
        <f t="shared" si="213"/>
        <v>98.504746921992293</v>
      </c>
      <c r="AO138" s="71">
        <f t="shared" si="328"/>
        <v>1.5314097012462362</v>
      </c>
      <c r="AQ138" s="97" t="str">
        <f t="shared" si="187"/>
        <v xml:space="preserve">Trachyte </v>
      </c>
      <c r="AR138" s="73">
        <f t="shared" si="188"/>
        <v>69.002341991216085</v>
      </c>
      <c r="AS138" s="73">
        <f t="shared" si="189"/>
        <v>0</v>
      </c>
      <c r="AT138" s="73">
        <f t="shared" si="190"/>
        <v>0.39981414410131522</v>
      </c>
      <c r="AU138" s="73">
        <f t="shared" si="191"/>
        <v>0</v>
      </c>
      <c r="AV138" s="73">
        <f t="shared" si="192"/>
        <v>10.539729244639071</v>
      </c>
      <c r="AW138" s="73">
        <f t="shared" si="193"/>
        <v>0</v>
      </c>
      <c r="AX138" s="73">
        <f t="shared" si="194"/>
        <v>0</v>
      </c>
      <c r="AY138" s="73">
        <f t="shared" si="195"/>
        <v>0</v>
      </c>
      <c r="AZ138" s="73">
        <f t="shared" si="196"/>
        <v>0</v>
      </c>
      <c r="BA138" s="73">
        <f t="shared" si="197"/>
        <v>4.6591703224658012</v>
      </c>
      <c r="BB138" s="73">
        <f t="shared" si="198"/>
        <v>6.1495181314018215</v>
      </c>
      <c r="BC138" s="73">
        <f t="shared" si="199"/>
        <v>0</v>
      </c>
      <c r="BD138" s="73">
        <f t="shared" si="200"/>
        <v>0</v>
      </c>
      <c r="BE138" s="73">
        <f t="shared" si="201"/>
        <v>0</v>
      </c>
      <c r="BF138" s="73">
        <f t="shared" si="202"/>
        <v>0</v>
      </c>
      <c r="BG138" s="73">
        <f t="shared" si="203"/>
        <v>6.9496125924445549</v>
      </c>
      <c r="BH138" s="73">
        <f t="shared" si="204"/>
        <v>2.2998135737313534</v>
      </c>
      <c r="BI138" s="73">
        <f t="shared" si="205"/>
        <v>0</v>
      </c>
      <c r="BJ138" s="73">
        <f t="shared" si="206"/>
        <v>0</v>
      </c>
      <c r="BK138" s="73">
        <f t="shared" si="207"/>
        <v>0</v>
      </c>
      <c r="BL138" s="73">
        <f t="shared" si="208"/>
        <v>0</v>
      </c>
      <c r="BM138" s="73">
        <f t="shared" si="209"/>
        <v>0</v>
      </c>
      <c r="BN138" s="73">
        <f t="shared" si="210"/>
        <v>0</v>
      </c>
      <c r="BQ138">
        <f t="shared" si="260"/>
        <v>41.456607068322626</v>
      </c>
      <c r="BR138">
        <f t="shared" si="261"/>
        <v>0</v>
      </c>
      <c r="BS138">
        <f t="shared" si="262"/>
        <v>0.31945150113695092</v>
      </c>
      <c r="BT138">
        <f t="shared" si="263"/>
        <v>0</v>
      </c>
      <c r="BU138">
        <f t="shared" si="264"/>
        <v>10.746307937833995</v>
      </c>
      <c r="BV138">
        <f t="shared" si="265"/>
        <v>0</v>
      </c>
      <c r="BW138">
        <f t="shared" si="266"/>
        <v>0</v>
      </c>
      <c r="BX138">
        <f t="shared" si="267"/>
        <v>0</v>
      </c>
      <c r="BY138">
        <f t="shared" si="268"/>
        <v>0</v>
      </c>
      <c r="BZ138">
        <f t="shared" si="269"/>
        <v>1.8781115569859645</v>
      </c>
      <c r="CA138">
        <f t="shared" si="270"/>
        <v>3.4486497680901413</v>
      </c>
      <c r="CB138">
        <f t="shared" si="271"/>
        <v>0</v>
      </c>
      <c r="CC138">
        <f t="shared" si="272"/>
        <v>0</v>
      </c>
      <c r="CD138">
        <f t="shared" si="273"/>
        <v>0</v>
      </c>
      <c r="CE138">
        <f t="shared" si="274"/>
        <v>0</v>
      </c>
      <c r="CF138">
        <f t="shared" si="275"/>
        <v>4.3073698847971356</v>
      </c>
      <c r="CG138">
        <f t="shared" si="276"/>
        <v>2.1664243864549348</v>
      </c>
      <c r="CH138">
        <f t="shared" si="277"/>
        <v>0</v>
      </c>
      <c r="CI138">
        <f t="shared" si="278"/>
        <v>0</v>
      </c>
      <c r="CJ138">
        <f t="shared" si="279"/>
        <v>0</v>
      </c>
      <c r="CK138">
        <f t="shared" si="280"/>
        <v>0</v>
      </c>
      <c r="CL138">
        <f t="shared" si="281"/>
        <v>0</v>
      </c>
      <c r="CN138">
        <f t="shared" si="236"/>
        <v>64.32292210362175</v>
      </c>
      <c r="CP138">
        <f t="shared" si="305"/>
        <v>2.0700702597364824</v>
      </c>
      <c r="CQ138">
        <f t="shared" si="306"/>
        <v>0</v>
      </c>
      <c r="CR138">
        <f t="shared" si="307"/>
        <v>1.1994424323039456E-2</v>
      </c>
      <c r="CS138">
        <f t="shared" si="308"/>
        <v>0</v>
      </c>
      <c r="CT138">
        <f t="shared" si="309"/>
        <v>0.52698646223195356</v>
      </c>
      <c r="CU138">
        <f t="shared" si="310"/>
        <v>0</v>
      </c>
      <c r="CV138">
        <f t="shared" si="311"/>
        <v>0</v>
      </c>
      <c r="CW138">
        <f t="shared" si="312"/>
        <v>0</v>
      </c>
      <c r="CX138">
        <f t="shared" si="313"/>
        <v>0</v>
      </c>
      <c r="CY138">
        <f t="shared" si="314"/>
        <v>9.3183406449316025E-2</v>
      </c>
      <c r="CZ138">
        <f t="shared" si="315"/>
        <v>0.12299036262803643</v>
      </c>
      <c r="DA138">
        <f t="shared" si="316"/>
        <v>0</v>
      </c>
      <c r="DB138">
        <f t="shared" si="317"/>
        <v>0</v>
      </c>
      <c r="DC138">
        <f t="shared" si="318"/>
        <v>0</v>
      </c>
      <c r="DD138">
        <f t="shared" si="319"/>
        <v>0</v>
      </c>
      <c r="DE138">
        <f t="shared" si="320"/>
        <v>0.20848837777333667</v>
      </c>
      <c r="DF138">
        <f t="shared" si="321"/>
        <v>6.8994407211940598E-2</v>
      </c>
      <c r="DG138">
        <f t="shared" si="322"/>
        <v>0</v>
      </c>
      <c r="DH138">
        <f t="shared" si="323"/>
        <v>0</v>
      </c>
      <c r="DI138">
        <f t="shared" si="324"/>
        <v>0</v>
      </c>
      <c r="DJ138">
        <f t="shared" si="325"/>
        <v>0</v>
      </c>
      <c r="DK138">
        <f t="shared" si="326"/>
        <v>0</v>
      </c>
      <c r="DM138">
        <f t="shared" si="327"/>
        <v>3.1027077003541055</v>
      </c>
    </row>
    <row r="139" spans="1:117">
      <c r="A139" s="117" t="s">
        <v>327</v>
      </c>
      <c r="B139" s="117" t="s">
        <v>331</v>
      </c>
      <c r="C139" s="117">
        <v>2.4670000000000001</v>
      </c>
      <c r="F139" s="117">
        <v>5926</v>
      </c>
      <c r="G139" s="117">
        <v>3569</v>
      </c>
      <c r="H139" s="43">
        <f t="shared" si="181"/>
        <v>2.3096928581799438E+22</v>
      </c>
      <c r="I139" s="43">
        <f t="shared" si="182"/>
        <v>7.1663018165277945E+22</v>
      </c>
      <c r="J139" s="42">
        <f t="shared" si="183"/>
        <v>86.63481329199999</v>
      </c>
      <c r="K139" s="42">
        <f t="shared" si="211"/>
        <v>31.424056387</v>
      </c>
      <c r="L139" s="42">
        <f t="shared" si="212"/>
        <v>92.390734831377557</v>
      </c>
      <c r="M139" s="79">
        <f t="shared" si="184"/>
        <v>88.434624173354493</v>
      </c>
      <c r="O139" s="52" t="str">
        <f t="shared" si="185"/>
        <v xml:space="preserve">Trachyte </v>
      </c>
      <c r="P139" s="117">
        <v>63.487050245182552</v>
      </c>
      <c r="R139" s="117">
        <v>0.48921112791879962</v>
      </c>
      <c r="T139" s="117">
        <v>16.457000228578416</v>
      </c>
      <c r="V139" s="117">
        <v>0</v>
      </c>
      <c r="W139" s="117">
        <v>0</v>
      </c>
      <c r="X139" s="117">
        <v>0</v>
      </c>
      <c r="Y139" s="117">
        <v>2.8761582583909795</v>
      </c>
      <c r="Z139" s="117">
        <v>5.2812957110538248</v>
      </c>
      <c r="AE139" s="117">
        <v>6.5963480284342157</v>
      </c>
      <c r="AF139" s="117">
        <v>3.3176833224335129</v>
      </c>
      <c r="AI139" s="117">
        <v>0</v>
      </c>
      <c r="AM139" s="86">
        <f t="shared" si="213"/>
        <v>98.504746921992293</v>
      </c>
      <c r="AO139" s="71">
        <f t="shared" si="328"/>
        <v>1.5314097012462362</v>
      </c>
      <c r="AQ139" s="97" t="str">
        <f t="shared" si="187"/>
        <v xml:space="preserve">Trachyte </v>
      </c>
      <c r="AR139" s="73">
        <f t="shared" si="188"/>
        <v>69.002341991216085</v>
      </c>
      <c r="AS139" s="73">
        <f t="shared" si="189"/>
        <v>0</v>
      </c>
      <c r="AT139" s="73">
        <f t="shared" si="190"/>
        <v>0.39981414410131522</v>
      </c>
      <c r="AU139" s="73">
        <f t="shared" si="191"/>
        <v>0</v>
      </c>
      <c r="AV139" s="73">
        <f t="shared" si="192"/>
        <v>10.539729244639071</v>
      </c>
      <c r="AW139" s="73">
        <f t="shared" si="193"/>
        <v>0</v>
      </c>
      <c r="AX139" s="73">
        <f t="shared" si="194"/>
        <v>0</v>
      </c>
      <c r="AY139" s="73">
        <f t="shared" si="195"/>
        <v>0</v>
      </c>
      <c r="AZ139" s="73">
        <f t="shared" si="196"/>
        <v>0</v>
      </c>
      <c r="BA139" s="73">
        <f t="shared" si="197"/>
        <v>4.6591703224658012</v>
      </c>
      <c r="BB139" s="73">
        <f t="shared" si="198"/>
        <v>6.1495181314018215</v>
      </c>
      <c r="BC139" s="73">
        <f t="shared" si="199"/>
        <v>0</v>
      </c>
      <c r="BD139" s="73">
        <f t="shared" si="200"/>
        <v>0</v>
      </c>
      <c r="BE139" s="73">
        <f t="shared" si="201"/>
        <v>0</v>
      </c>
      <c r="BF139" s="73">
        <f t="shared" si="202"/>
        <v>0</v>
      </c>
      <c r="BG139" s="73">
        <f t="shared" si="203"/>
        <v>6.9496125924445549</v>
      </c>
      <c r="BH139" s="73">
        <f t="shared" si="204"/>
        <v>2.2998135737313534</v>
      </c>
      <c r="BI139" s="73">
        <f t="shared" si="205"/>
        <v>0</v>
      </c>
      <c r="BJ139" s="73">
        <f t="shared" si="206"/>
        <v>0</v>
      </c>
      <c r="BK139" s="73">
        <f t="shared" si="207"/>
        <v>0</v>
      </c>
      <c r="BL139" s="73">
        <f t="shared" si="208"/>
        <v>0</v>
      </c>
      <c r="BM139" s="73">
        <f t="shared" si="209"/>
        <v>0</v>
      </c>
      <c r="BN139" s="73">
        <f t="shared" si="210"/>
        <v>0</v>
      </c>
      <c r="BQ139">
        <f t="shared" si="260"/>
        <v>41.456607068322626</v>
      </c>
      <c r="BR139">
        <f t="shared" si="261"/>
        <v>0</v>
      </c>
      <c r="BS139">
        <f t="shared" si="262"/>
        <v>0.31945150113695092</v>
      </c>
      <c r="BT139">
        <f t="shared" si="263"/>
        <v>0</v>
      </c>
      <c r="BU139">
        <f t="shared" si="264"/>
        <v>10.746307937833995</v>
      </c>
      <c r="BV139">
        <f t="shared" si="265"/>
        <v>0</v>
      </c>
      <c r="BW139">
        <f t="shared" si="266"/>
        <v>0</v>
      </c>
      <c r="BX139">
        <f t="shared" si="267"/>
        <v>0</v>
      </c>
      <c r="BY139">
        <f t="shared" si="268"/>
        <v>0</v>
      </c>
      <c r="BZ139">
        <f t="shared" si="269"/>
        <v>1.8781115569859645</v>
      </c>
      <c r="CA139">
        <f t="shared" si="270"/>
        <v>3.4486497680901413</v>
      </c>
      <c r="CB139">
        <f t="shared" si="271"/>
        <v>0</v>
      </c>
      <c r="CC139">
        <f t="shared" si="272"/>
        <v>0</v>
      </c>
      <c r="CD139">
        <f t="shared" si="273"/>
        <v>0</v>
      </c>
      <c r="CE139">
        <f t="shared" si="274"/>
        <v>0</v>
      </c>
      <c r="CF139">
        <f t="shared" si="275"/>
        <v>4.3073698847971356</v>
      </c>
      <c r="CG139">
        <f t="shared" si="276"/>
        <v>2.1664243864549348</v>
      </c>
      <c r="CH139">
        <f t="shared" si="277"/>
        <v>0</v>
      </c>
      <c r="CI139">
        <f t="shared" si="278"/>
        <v>0</v>
      </c>
      <c r="CJ139">
        <f t="shared" si="279"/>
        <v>0</v>
      </c>
      <c r="CK139">
        <f t="shared" si="280"/>
        <v>0</v>
      </c>
      <c r="CL139">
        <f t="shared" si="281"/>
        <v>0</v>
      </c>
      <c r="CN139">
        <f t="shared" si="236"/>
        <v>64.32292210362175</v>
      </c>
      <c r="CP139">
        <f t="shared" si="305"/>
        <v>2.0700702597364824</v>
      </c>
      <c r="CQ139">
        <f t="shared" si="306"/>
        <v>0</v>
      </c>
      <c r="CR139">
        <f t="shared" si="307"/>
        <v>1.1994424323039456E-2</v>
      </c>
      <c r="CS139">
        <f t="shared" si="308"/>
        <v>0</v>
      </c>
      <c r="CT139">
        <f t="shared" si="309"/>
        <v>0.52698646223195356</v>
      </c>
      <c r="CU139">
        <f t="shared" si="310"/>
        <v>0</v>
      </c>
      <c r="CV139">
        <f t="shared" si="311"/>
        <v>0</v>
      </c>
      <c r="CW139">
        <f t="shared" si="312"/>
        <v>0</v>
      </c>
      <c r="CX139">
        <f t="shared" si="313"/>
        <v>0</v>
      </c>
      <c r="CY139">
        <f t="shared" si="314"/>
        <v>9.3183406449316025E-2</v>
      </c>
      <c r="CZ139">
        <f t="shared" si="315"/>
        <v>0.12299036262803643</v>
      </c>
      <c r="DA139">
        <f t="shared" si="316"/>
        <v>0</v>
      </c>
      <c r="DB139">
        <f t="shared" si="317"/>
        <v>0</v>
      </c>
      <c r="DC139">
        <f t="shared" si="318"/>
        <v>0</v>
      </c>
      <c r="DD139">
        <f t="shared" si="319"/>
        <v>0</v>
      </c>
      <c r="DE139">
        <f t="shared" si="320"/>
        <v>0.20848837777333667</v>
      </c>
      <c r="DF139">
        <f t="shared" si="321"/>
        <v>6.8994407211940598E-2</v>
      </c>
      <c r="DG139">
        <f t="shared" si="322"/>
        <v>0</v>
      </c>
      <c r="DH139">
        <f t="shared" si="323"/>
        <v>0</v>
      </c>
      <c r="DI139">
        <f t="shared" si="324"/>
        <v>0</v>
      </c>
      <c r="DJ139">
        <f t="shared" si="325"/>
        <v>0</v>
      </c>
      <c r="DK139">
        <f t="shared" si="326"/>
        <v>0</v>
      </c>
      <c r="DM139">
        <f t="shared" si="327"/>
        <v>3.1027077003541055</v>
      </c>
    </row>
    <row r="140" spans="1:117">
      <c r="A140" s="117" t="s">
        <v>327</v>
      </c>
      <c r="B140" s="117" t="s">
        <v>331</v>
      </c>
      <c r="C140" s="117">
        <v>2.4569999999999999</v>
      </c>
      <c r="F140" s="117">
        <v>5664</v>
      </c>
      <c r="G140" s="117">
        <v>3351</v>
      </c>
      <c r="H140" s="43">
        <f t="shared" si="181"/>
        <v>2.3003305036676629E+22</v>
      </c>
      <c r="I140" s="43">
        <f t="shared" si="182"/>
        <v>7.1372531670890888E+22</v>
      </c>
      <c r="J140" s="42">
        <f t="shared" si="183"/>
        <v>78.822761471999982</v>
      </c>
      <c r="K140" s="42">
        <f t="shared" si="211"/>
        <v>27.590146856999997</v>
      </c>
      <c r="L140" s="42">
        <f t="shared" si="212"/>
        <v>80.896632655360619</v>
      </c>
      <c r="M140" s="79">
        <f t="shared" si="184"/>
        <v>76.956558116745853</v>
      </c>
      <c r="O140" s="52" t="str">
        <f t="shared" si="185"/>
        <v xml:space="preserve">Trachyte </v>
      </c>
      <c r="P140" s="117">
        <v>63.142144888607895</v>
      </c>
      <c r="R140" s="117">
        <v>0.48655339633631944</v>
      </c>
      <c r="T140" s="117">
        <v>16.367594475593101</v>
      </c>
      <c r="V140" s="117">
        <v>0</v>
      </c>
      <c r="W140" s="117">
        <v>0</v>
      </c>
      <c r="X140" s="117">
        <v>0</v>
      </c>
      <c r="Y140" s="117">
        <v>2.8605329870034377</v>
      </c>
      <c r="Z140" s="117">
        <v>5.2526040775102505</v>
      </c>
      <c r="AE140" s="117">
        <v>6.5605121255209236</v>
      </c>
      <c r="AF140" s="117">
        <v>3.2996593829859155</v>
      </c>
      <c r="AI140" s="117">
        <v>0</v>
      </c>
      <c r="AM140" s="86">
        <f t="shared" si="213"/>
        <v>97.969601333557861</v>
      </c>
      <c r="AO140" s="71">
        <f t="shared" si="328"/>
        <v>1.5230900296434391</v>
      </c>
      <c r="AQ140" s="97" t="str">
        <f t="shared" si="187"/>
        <v xml:space="preserve">Trachyte </v>
      </c>
      <c r="AR140" s="73">
        <f t="shared" si="188"/>
        <v>69.002341991216056</v>
      </c>
      <c r="AS140" s="73">
        <f t="shared" si="189"/>
        <v>0</v>
      </c>
      <c r="AT140" s="73">
        <f t="shared" si="190"/>
        <v>0.39981414410131511</v>
      </c>
      <c r="AU140" s="73">
        <f t="shared" si="191"/>
        <v>0</v>
      </c>
      <c r="AV140" s="73">
        <f t="shared" si="192"/>
        <v>10.539729244639068</v>
      </c>
      <c r="AW140" s="73">
        <f t="shared" si="193"/>
        <v>0</v>
      </c>
      <c r="AX140" s="73">
        <f t="shared" si="194"/>
        <v>0</v>
      </c>
      <c r="AY140" s="73">
        <f t="shared" si="195"/>
        <v>0</v>
      </c>
      <c r="AZ140" s="73">
        <f t="shared" si="196"/>
        <v>0</v>
      </c>
      <c r="BA140" s="73">
        <f t="shared" si="197"/>
        <v>4.6591703224657994</v>
      </c>
      <c r="BB140" s="73">
        <f t="shared" si="198"/>
        <v>6.1495181314018188</v>
      </c>
      <c r="BC140" s="73">
        <f t="shared" si="199"/>
        <v>0</v>
      </c>
      <c r="BD140" s="73">
        <f t="shared" si="200"/>
        <v>0</v>
      </c>
      <c r="BE140" s="73">
        <f t="shared" si="201"/>
        <v>0</v>
      </c>
      <c r="BF140" s="73">
        <f t="shared" si="202"/>
        <v>0</v>
      </c>
      <c r="BG140" s="73">
        <f t="shared" si="203"/>
        <v>6.9496125924445531</v>
      </c>
      <c r="BH140" s="73">
        <f t="shared" si="204"/>
        <v>2.2998135737313525</v>
      </c>
      <c r="BI140" s="73">
        <f t="shared" si="205"/>
        <v>0</v>
      </c>
      <c r="BJ140" s="73">
        <f t="shared" si="206"/>
        <v>0</v>
      </c>
      <c r="BK140" s="73">
        <f t="shared" si="207"/>
        <v>0</v>
      </c>
      <c r="BL140" s="73">
        <f t="shared" si="208"/>
        <v>0</v>
      </c>
      <c r="BM140" s="73">
        <f t="shared" si="209"/>
        <v>0</v>
      </c>
      <c r="BN140" s="73">
        <f t="shared" si="210"/>
        <v>0</v>
      </c>
      <c r="BQ140">
        <f t="shared" si="260"/>
        <v>41.456607068322604</v>
      </c>
      <c r="BR140">
        <f t="shared" si="261"/>
        <v>0</v>
      </c>
      <c r="BS140">
        <f t="shared" si="262"/>
        <v>0.31945150113695076</v>
      </c>
      <c r="BT140">
        <f t="shared" si="263"/>
        <v>0</v>
      </c>
      <c r="BU140">
        <f t="shared" si="264"/>
        <v>10.746307937833993</v>
      </c>
      <c r="BV140">
        <f t="shared" si="265"/>
        <v>0</v>
      </c>
      <c r="BW140">
        <f t="shared" si="266"/>
        <v>0</v>
      </c>
      <c r="BX140">
        <f t="shared" si="267"/>
        <v>0</v>
      </c>
      <c r="BY140">
        <f t="shared" si="268"/>
        <v>0</v>
      </c>
      <c r="BZ140">
        <f t="shared" si="269"/>
        <v>1.8781115569859637</v>
      </c>
      <c r="CA140">
        <f t="shared" si="270"/>
        <v>3.44864976809014</v>
      </c>
      <c r="CB140">
        <f t="shared" si="271"/>
        <v>0</v>
      </c>
      <c r="CC140">
        <f t="shared" si="272"/>
        <v>0</v>
      </c>
      <c r="CD140">
        <f t="shared" si="273"/>
        <v>0</v>
      </c>
      <c r="CE140">
        <f t="shared" si="274"/>
        <v>0</v>
      </c>
      <c r="CF140">
        <f t="shared" si="275"/>
        <v>4.3073698847971338</v>
      </c>
      <c r="CG140">
        <f t="shared" si="276"/>
        <v>2.166424386454934</v>
      </c>
      <c r="CH140">
        <f t="shared" si="277"/>
        <v>0</v>
      </c>
      <c r="CI140">
        <f t="shared" si="278"/>
        <v>0</v>
      </c>
      <c r="CJ140">
        <f t="shared" si="279"/>
        <v>0</v>
      </c>
      <c r="CK140">
        <f t="shared" si="280"/>
        <v>0</v>
      </c>
      <c r="CL140">
        <f t="shared" si="281"/>
        <v>0</v>
      </c>
      <c r="CN140">
        <f t="shared" si="236"/>
        <v>64.322922103621721</v>
      </c>
      <c r="CP140">
        <f t="shared" si="305"/>
        <v>2.0700702597364815</v>
      </c>
      <c r="CQ140">
        <f t="shared" si="306"/>
        <v>0</v>
      </c>
      <c r="CR140">
        <f t="shared" si="307"/>
        <v>1.1994424323039453E-2</v>
      </c>
      <c r="CS140">
        <f t="shared" si="308"/>
        <v>0</v>
      </c>
      <c r="CT140">
        <f t="shared" si="309"/>
        <v>0.52698646223195333</v>
      </c>
      <c r="CU140">
        <f t="shared" si="310"/>
        <v>0</v>
      </c>
      <c r="CV140">
        <f t="shared" si="311"/>
        <v>0</v>
      </c>
      <c r="CW140">
        <f t="shared" si="312"/>
        <v>0</v>
      </c>
      <c r="CX140">
        <f t="shared" si="313"/>
        <v>0</v>
      </c>
      <c r="CY140">
        <f t="shared" si="314"/>
        <v>9.3183406449315984E-2</v>
      </c>
      <c r="CZ140">
        <f t="shared" si="315"/>
        <v>0.12299036262803638</v>
      </c>
      <c r="DA140">
        <f t="shared" si="316"/>
        <v>0</v>
      </c>
      <c r="DB140">
        <f t="shared" si="317"/>
        <v>0</v>
      </c>
      <c r="DC140">
        <f t="shared" si="318"/>
        <v>0</v>
      </c>
      <c r="DD140">
        <f t="shared" si="319"/>
        <v>0</v>
      </c>
      <c r="DE140">
        <f t="shared" si="320"/>
        <v>0.20848837777333656</v>
      </c>
      <c r="DF140">
        <f t="shared" si="321"/>
        <v>6.8994407211940584E-2</v>
      </c>
      <c r="DG140">
        <f t="shared" si="322"/>
        <v>0</v>
      </c>
      <c r="DH140">
        <f t="shared" si="323"/>
        <v>0</v>
      </c>
      <c r="DI140">
        <f t="shared" si="324"/>
        <v>0</v>
      </c>
      <c r="DJ140">
        <f t="shared" si="325"/>
        <v>0</v>
      </c>
      <c r="DK140">
        <f t="shared" si="326"/>
        <v>0</v>
      </c>
      <c r="DM140">
        <f t="shared" si="327"/>
        <v>3.1027077003541033</v>
      </c>
    </row>
    <row r="141" spans="1:117">
      <c r="A141" s="117" t="s">
        <v>327</v>
      </c>
      <c r="B141" s="117" t="s">
        <v>331</v>
      </c>
      <c r="C141" s="117">
        <v>2.4470000000000001</v>
      </c>
      <c r="F141" s="117">
        <v>5817</v>
      </c>
      <c r="G141" s="117">
        <v>3427</v>
      </c>
      <c r="H141" s="43">
        <f t="shared" si="181"/>
        <v>2.2909681491553804E+22</v>
      </c>
      <c r="I141" s="43">
        <f t="shared" si="182"/>
        <v>7.1082045176503899E+22</v>
      </c>
      <c r="J141" s="42">
        <f t="shared" si="183"/>
        <v>82.800335583000006</v>
      </c>
      <c r="K141" s="42">
        <f t="shared" si="211"/>
        <v>28.738373063000001</v>
      </c>
      <c r="L141" s="42">
        <f t="shared" si="212"/>
        <v>84.348937687343707</v>
      </c>
      <c r="M141" s="79">
        <f t="shared" si="184"/>
        <v>80.42489926813721</v>
      </c>
      <c r="O141" s="52" t="str">
        <f t="shared" si="185"/>
        <v xml:space="preserve">Trachyte </v>
      </c>
      <c r="P141" s="117">
        <v>62.912562476001852</v>
      </c>
      <c r="R141" s="117">
        <v>0.4847843068828393</v>
      </c>
      <c r="T141" s="117">
        <v>16.30808253099741</v>
      </c>
      <c r="V141" s="117">
        <v>0</v>
      </c>
      <c r="W141" s="117">
        <v>0</v>
      </c>
      <c r="X141" s="117">
        <v>0</v>
      </c>
      <c r="Y141" s="117">
        <v>2.8501321989774056</v>
      </c>
      <c r="Z141" s="117">
        <v>5.2335058109134076</v>
      </c>
      <c r="AE141" s="117">
        <v>6.536658355517301</v>
      </c>
      <c r="AF141" s="117">
        <v>3.2876619482573286</v>
      </c>
      <c r="AI141" s="117">
        <v>0</v>
      </c>
      <c r="AM141" s="86">
        <f t="shared" si="213"/>
        <v>97.613387627547539</v>
      </c>
      <c r="AO141" s="71">
        <f t="shared" si="328"/>
        <v>1.5175521328197148</v>
      </c>
      <c r="AQ141" s="97" t="str">
        <f t="shared" si="187"/>
        <v xml:space="preserve">Trachyte </v>
      </c>
      <c r="AR141" s="73">
        <f t="shared" si="188"/>
        <v>69.00234199121607</v>
      </c>
      <c r="AS141" s="73">
        <f t="shared" si="189"/>
        <v>0</v>
      </c>
      <c r="AT141" s="73">
        <f t="shared" si="190"/>
        <v>0.39981414410131522</v>
      </c>
      <c r="AU141" s="73">
        <f t="shared" si="191"/>
        <v>0</v>
      </c>
      <c r="AV141" s="73">
        <f t="shared" si="192"/>
        <v>10.539729244639071</v>
      </c>
      <c r="AW141" s="73">
        <f t="shared" si="193"/>
        <v>0</v>
      </c>
      <c r="AX141" s="73">
        <f t="shared" si="194"/>
        <v>0</v>
      </c>
      <c r="AY141" s="73">
        <f t="shared" si="195"/>
        <v>0</v>
      </c>
      <c r="AZ141" s="73">
        <f t="shared" si="196"/>
        <v>0</v>
      </c>
      <c r="BA141" s="73">
        <f t="shared" si="197"/>
        <v>4.6591703224658003</v>
      </c>
      <c r="BB141" s="73">
        <f t="shared" si="198"/>
        <v>6.1495181314018197</v>
      </c>
      <c r="BC141" s="73">
        <f t="shared" si="199"/>
        <v>0</v>
      </c>
      <c r="BD141" s="73">
        <f t="shared" si="200"/>
        <v>0</v>
      </c>
      <c r="BE141" s="73">
        <f t="shared" si="201"/>
        <v>0</v>
      </c>
      <c r="BF141" s="73">
        <f t="shared" si="202"/>
        <v>0</v>
      </c>
      <c r="BG141" s="73">
        <f t="shared" si="203"/>
        <v>6.9496125924445549</v>
      </c>
      <c r="BH141" s="73">
        <f t="shared" si="204"/>
        <v>2.299813573731353</v>
      </c>
      <c r="BI141" s="73">
        <f t="shared" si="205"/>
        <v>0</v>
      </c>
      <c r="BJ141" s="73">
        <f t="shared" si="206"/>
        <v>0</v>
      </c>
      <c r="BK141" s="73">
        <f t="shared" si="207"/>
        <v>0</v>
      </c>
      <c r="BL141" s="73">
        <f t="shared" si="208"/>
        <v>0</v>
      </c>
      <c r="BM141" s="73">
        <f t="shared" si="209"/>
        <v>0</v>
      </c>
      <c r="BN141" s="73">
        <f t="shared" si="210"/>
        <v>0</v>
      </c>
      <c r="BQ141">
        <f t="shared" si="260"/>
        <v>41.456607068322612</v>
      </c>
      <c r="BR141">
        <f t="shared" si="261"/>
        <v>0</v>
      </c>
      <c r="BS141">
        <f t="shared" si="262"/>
        <v>0.31945150113695092</v>
      </c>
      <c r="BT141">
        <f t="shared" si="263"/>
        <v>0</v>
      </c>
      <c r="BU141">
        <f t="shared" si="264"/>
        <v>10.746307937833995</v>
      </c>
      <c r="BV141">
        <f t="shared" si="265"/>
        <v>0</v>
      </c>
      <c r="BW141">
        <f t="shared" si="266"/>
        <v>0</v>
      </c>
      <c r="BX141">
        <f t="shared" si="267"/>
        <v>0</v>
      </c>
      <c r="BY141">
        <f t="shared" si="268"/>
        <v>0</v>
      </c>
      <c r="BZ141">
        <f t="shared" si="269"/>
        <v>1.8781115569859643</v>
      </c>
      <c r="CA141">
        <f t="shared" si="270"/>
        <v>3.4486497680901405</v>
      </c>
      <c r="CB141">
        <f t="shared" si="271"/>
        <v>0</v>
      </c>
      <c r="CC141">
        <f t="shared" si="272"/>
        <v>0</v>
      </c>
      <c r="CD141">
        <f t="shared" si="273"/>
        <v>0</v>
      </c>
      <c r="CE141">
        <f t="shared" si="274"/>
        <v>0</v>
      </c>
      <c r="CF141">
        <f t="shared" si="275"/>
        <v>4.3073698847971356</v>
      </c>
      <c r="CG141">
        <f t="shared" si="276"/>
        <v>2.1664243864549344</v>
      </c>
      <c r="CH141">
        <f t="shared" si="277"/>
        <v>0</v>
      </c>
      <c r="CI141">
        <f t="shared" si="278"/>
        <v>0</v>
      </c>
      <c r="CJ141">
        <f t="shared" si="279"/>
        <v>0</v>
      </c>
      <c r="CK141">
        <f t="shared" si="280"/>
        <v>0</v>
      </c>
      <c r="CL141">
        <f t="shared" si="281"/>
        <v>0</v>
      </c>
      <c r="CN141">
        <f t="shared" si="236"/>
        <v>64.322922103621735</v>
      </c>
      <c r="CP141">
        <f t="shared" si="305"/>
        <v>2.070070259736482</v>
      </c>
      <c r="CQ141">
        <f t="shared" si="306"/>
        <v>0</v>
      </c>
      <c r="CR141">
        <f t="shared" si="307"/>
        <v>1.1994424323039456E-2</v>
      </c>
      <c r="CS141">
        <f t="shared" si="308"/>
        <v>0</v>
      </c>
      <c r="CT141">
        <f t="shared" si="309"/>
        <v>0.52698646223195356</v>
      </c>
      <c r="CU141">
        <f t="shared" si="310"/>
        <v>0</v>
      </c>
      <c r="CV141">
        <f t="shared" si="311"/>
        <v>0</v>
      </c>
      <c r="CW141">
        <f t="shared" si="312"/>
        <v>0</v>
      </c>
      <c r="CX141">
        <f t="shared" si="313"/>
        <v>0</v>
      </c>
      <c r="CY141">
        <f t="shared" si="314"/>
        <v>9.3183406449316011E-2</v>
      </c>
      <c r="CZ141">
        <f t="shared" si="315"/>
        <v>0.12299036262803639</v>
      </c>
      <c r="DA141">
        <f t="shared" si="316"/>
        <v>0</v>
      </c>
      <c r="DB141">
        <f t="shared" si="317"/>
        <v>0</v>
      </c>
      <c r="DC141">
        <f t="shared" si="318"/>
        <v>0</v>
      </c>
      <c r="DD141">
        <f t="shared" si="319"/>
        <v>0</v>
      </c>
      <c r="DE141">
        <f t="shared" si="320"/>
        <v>0.20848837777333667</v>
      </c>
      <c r="DF141">
        <f t="shared" si="321"/>
        <v>6.8994407211940584E-2</v>
      </c>
      <c r="DG141">
        <f t="shared" si="322"/>
        <v>0</v>
      </c>
      <c r="DH141">
        <f t="shared" si="323"/>
        <v>0</v>
      </c>
      <c r="DI141">
        <f t="shared" si="324"/>
        <v>0</v>
      </c>
      <c r="DJ141">
        <f t="shared" si="325"/>
        <v>0</v>
      </c>
      <c r="DK141">
        <f t="shared" si="326"/>
        <v>0</v>
      </c>
      <c r="DM141">
        <f t="shared" si="327"/>
        <v>3.1027077003541046</v>
      </c>
    </row>
    <row r="142" spans="1:117">
      <c r="A142" s="117" t="s">
        <v>327</v>
      </c>
      <c r="B142" s="117" t="s">
        <v>331</v>
      </c>
      <c r="C142" s="117">
        <v>2.452</v>
      </c>
      <c r="F142" s="117">
        <v>5681</v>
      </c>
      <c r="G142" s="117">
        <v>3373</v>
      </c>
      <c r="H142" s="43">
        <f t="shared" si="181"/>
        <v>2.295649326411521E+22</v>
      </c>
      <c r="I142" s="43">
        <f t="shared" si="182"/>
        <v>7.122728842369741E+22</v>
      </c>
      <c r="J142" s="42">
        <f t="shared" si="183"/>
        <v>79.135261972000009</v>
      </c>
      <c r="K142" s="42">
        <f t="shared" si="211"/>
        <v>27.896720307999999</v>
      </c>
      <c r="L142" s="42">
        <f t="shared" si="212"/>
        <v>81.82016621535216</v>
      </c>
      <c r="M142" s="79">
        <f t="shared" si="184"/>
        <v>77.888109736441521</v>
      </c>
      <c r="O142" s="52" t="str">
        <f t="shared" si="185"/>
        <v xml:space="preserve">Trachyte </v>
      </c>
      <c r="P142" s="117">
        <v>62.756439316761025</v>
      </c>
      <c r="R142" s="117">
        <v>0.48358127120026323</v>
      </c>
      <c r="T142" s="117">
        <v>16.267612563383697</v>
      </c>
      <c r="V142" s="117">
        <v>0</v>
      </c>
      <c r="W142" s="117">
        <v>0</v>
      </c>
      <c r="X142" s="117">
        <v>0</v>
      </c>
      <c r="Y142" s="117">
        <v>2.8430593406221591</v>
      </c>
      <c r="Z142" s="117">
        <v>5.2205183974470319</v>
      </c>
      <c r="AE142" s="117">
        <v>6.520437052280279</v>
      </c>
      <c r="AF142" s="117">
        <v>3.2795033206370725</v>
      </c>
      <c r="AI142" s="117">
        <v>0</v>
      </c>
      <c r="AM142" s="86">
        <f t="shared" si="213"/>
        <v>97.371151262331551</v>
      </c>
      <c r="AO142" s="71">
        <f t="shared" si="328"/>
        <v>1.5137861912658503</v>
      </c>
      <c r="AQ142" s="97" t="str">
        <f t="shared" si="187"/>
        <v xml:space="preserve">Trachyte </v>
      </c>
      <c r="AR142" s="73">
        <f t="shared" si="188"/>
        <v>69.00234199121607</v>
      </c>
      <c r="AS142" s="73">
        <f t="shared" si="189"/>
        <v>0</v>
      </c>
      <c r="AT142" s="73">
        <f t="shared" si="190"/>
        <v>0.39981414410131516</v>
      </c>
      <c r="AU142" s="73">
        <f t="shared" si="191"/>
        <v>0</v>
      </c>
      <c r="AV142" s="73">
        <f t="shared" si="192"/>
        <v>10.539729244639071</v>
      </c>
      <c r="AW142" s="73">
        <f t="shared" si="193"/>
        <v>0</v>
      </c>
      <c r="AX142" s="73">
        <f t="shared" si="194"/>
        <v>0</v>
      </c>
      <c r="AY142" s="73">
        <f t="shared" si="195"/>
        <v>0</v>
      </c>
      <c r="AZ142" s="73">
        <f t="shared" si="196"/>
        <v>0</v>
      </c>
      <c r="BA142" s="73">
        <f t="shared" si="197"/>
        <v>4.6591703224658012</v>
      </c>
      <c r="BB142" s="73">
        <f t="shared" si="198"/>
        <v>6.1495181314018206</v>
      </c>
      <c r="BC142" s="73">
        <f t="shared" si="199"/>
        <v>0</v>
      </c>
      <c r="BD142" s="73">
        <f t="shared" si="200"/>
        <v>0</v>
      </c>
      <c r="BE142" s="73">
        <f t="shared" si="201"/>
        <v>0</v>
      </c>
      <c r="BF142" s="73">
        <f t="shared" si="202"/>
        <v>0</v>
      </c>
      <c r="BG142" s="73">
        <f t="shared" si="203"/>
        <v>6.949612592444554</v>
      </c>
      <c r="BH142" s="73">
        <f t="shared" si="204"/>
        <v>2.2998135737313534</v>
      </c>
      <c r="BI142" s="73">
        <f t="shared" si="205"/>
        <v>0</v>
      </c>
      <c r="BJ142" s="73">
        <f t="shared" si="206"/>
        <v>0</v>
      </c>
      <c r="BK142" s="73">
        <f t="shared" si="207"/>
        <v>0</v>
      </c>
      <c r="BL142" s="73">
        <f t="shared" si="208"/>
        <v>0</v>
      </c>
      <c r="BM142" s="73">
        <f t="shared" si="209"/>
        <v>0</v>
      </c>
      <c r="BN142" s="73">
        <f t="shared" si="210"/>
        <v>0</v>
      </c>
      <c r="BQ142">
        <f t="shared" si="260"/>
        <v>41.456607068322612</v>
      </c>
      <c r="BR142">
        <f t="shared" si="261"/>
        <v>0</v>
      </c>
      <c r="BS142">
        <f t="shared" si="262"/>
        <v>0.31945150113695081</v>
      </c>
      <c r="BT142">
        <f t="shared" si="263"/>
        <v>0</v>
      </c>
      <c r="BU142">
        <f t="shared" si="264"/>
        <v>10.746307937833995</v>
      </c>
      <c r="BV142">
        <f t="shared" si="265"/>
        <v>0</v>
      </c>
      <c r="BW142">
        <f t="shared" si="266"/>
        <v>0</v>
      </c>
      <c r="BX142">
        <f t="shared" si="267"/>
        <v>0</v>
      </c>
      <c r="BY142">
        <f t="shared" si="268"/>
        <v>0</v>
      </c>
      <c r="BZ142">
        <f t="shared" si="269"/>
        <v>1.8781115569859645</v>
      </c>
      <c r="CA142">
        <f t="shared" si="270"/>
        <v>3.4486497680901409</v>
      </c>
      <c r="CB142">
        <f t="shared" si="271"/>
        <v>0</v>
      </c>
      <c r="CC142">
        <f t="shared" si="272"/>
        <v>0</v>
      </c>
      <c r="CD142">
        <f t="shared" si="273"/>
        <v>0</v>
      </c>
      <c r="CE142">
        <f t="shared" si="274"/>
        <v>0</v>
      </c>
      <c r="CF142">
        <f t="shared" si="275"/>
        <v>4.3073698847971347</v>
      </c>
      <c r="CG142">
        <f t="shared" si="276"/>
        <v>2.1664243864549348</v>
      </c>
      <c r="CH142">
        <f t="shared" si="277"/>
        <v>0</v>
      </c>
      <c r="CI142">
        <f t="shared" si="278"/>
        <v>0</v>
      </c>
      <c r="CJ142">
        <f t="shared" si="279"/>
        <v>0</v>
      </c>
      <c r="CK142">
        <f t="shared" si="280"/>
        <v>0</v>
      </c>
      <c r="CL142">
        <f t="shared" si="281"/>
        <v>0</v>
      </c>
      <c r="CN142">
        <f t="shared" si="236"/>
        <v>64.322922103621735</v>
      </c>
      <c r="CP142">
        <f t="shared" si="305"/>
        <v>2.070070259736482</v>
      </c>
      <c r="CQ142">
        <f t="shared" si="306"/>
        <v>0</v>
      </c>
      <c r="CR142">
        <f t="shared" si="307"/>
        <v>1.1994424323039455E-2</v>
      </c>
      <c r="CS142">
        <f t="shared" si="308"/>
        <v>0</v>
      </c>
      <c r="CT142">
        <f t="shared" si="309"/>
        <v>0.52698646223195356</v>
      </c>
      <c r="CU142">
        <f t="shared" si="310"/>
        <v>0</v>
      </c>
      <c r="CV142">
        <f t="shared" si="311"/>
        <v>0</v>
      </c>
      <c r="CW142">
        <f t="shared" si="312"/>
        <v>0</v>
      </c>
      <c r="CX142">
        <f t="shared" si="313"/>
        <v>0</v>
      </c>
      <c r="CY142">
        <f t="shared" si="314"/>
        <v>9.3183406449316025E-2</v>
      </c>
      <c r="CZ142">
        <f t="shared" si="315"/>
        <v>0.12299036262803641</v>
      </c>
      <c r="DA142">
        <f t="shared" si="316"/>
        <v>0</v>
      </c>
      <c r="DB142">
        <f t="shared" si="317"/>
        <v>0</v>
      </c>
      <c r="DC142">
        <f t="shared" si="318"/>
        <v>0</v>
      </c>
      <c r="DD142">
        <f t="shared" si="319"/>
        <v>0</v>
      </c>
      <c r="DE142">
        <f t="shared" si="320"/>
        <v>0.20848837777333662</v>
      </c>
      <c r="DF142">
        <f t="shared" si="321"/>
        <v>6.8994407211940598E-2</v>
      </c>
      <c r="DG142">
        <f t="shared" si="322"/>
        <v>0</v>
      </c>
      <c r="DH142">
        <f t="shared" si="323"/>
        <v>0</v>
      </c>
      <c r="DI142">
        <f t="shared" si="324"/>
        <v>0</v>
      </c>
      <c r="DJ142">
        <f t="shared" si="325"/>
        <v>0</v>
      </c>
      <c r="DK142">
        <f t="shared" si="326"/>
        <v>0</v>
      </c>
      <c r="DM142">
        <f t="shared" si="327"/>
        <v>3.1027077003541046</v>
      </c>
    </row>
    <row r="143" spans="1:117">
      <c r="A143" s="117" t="s">
        <v>327</v>
      </c>
      <c r="B143" s="117" t="s">
        <v>331</v>
      </c>
      <c r="C143" s="117">
        <v>2.4369999999999998</v>
      </c>
      <c r="F143" s="117">
        <v>5686</v>
      </c>
      <c r="G143" s="117">
        <v>3372</v>
      </c>
      <c r="H143" s="43">
        <f t="shared" si="181"/>
        <v>2.2816057946430987E+22</v>
      </c>
      <c r="I143" s="43">
        <f t="shared" si="182"/>
        <v>7.0791558682116885E+22</v>
      </c>
      <c r="J143" s="42">
        <f t="shared" si="183"/>
        <v>78.789662451999988</v>
      </c>
      <c r="K143" s="42">
        <f t="shared" si="211"/>
        <v>27.709625807999998</v>
      </c>
      <c r="L143" s="42">
        <f t="shared" si="212"/>
        <v>81.270322336326757</v>
      </c>
      <c r="M143" s="79">
        <f t="shared" si="184"/>
        <v>77.362320036528544</v>
      </c>
      <c r="O143" s="52" t="str">
        <f t="shared" si="185"/>
        <v xml:space="preserve">Trachyte </v>
      </c>
      <c r="P143" s="117">
        <v>62.672693522866432</v>
      </c>
      <c r="R143" s="117">
        <v>0.48293595260172367</v>
      </c>
      <c r="T143" s="117">
        <v>16.245904127664232</v>
      </c>
      <c r="V143" s="117">
        <v>0</v>
      </c>
      <c r="W143" s="117">
        <v>0</v>
      </c>
      <c r="X143" s="117">
        <v>0</v>
      </c>
      <c r="Y143" s="117">
        <v>2.8392653990894332</v>
      </c>
      <c r="Z143" s="117">
        <v>5.2135518381186925</v>
      </c>
      <c r="AE143" s="117">
        <v>6.5117358069032631</v>
      </c>
      <c r="AF143" s="117">
        <v>3.2751269632121325</v>
      </c>
      <c r="AI143" s="117">
        <v>0</v>
      </c>
      <c r="AM143" s="86">
        <f t="shared" si="213"/>
        <v>97.241213610455887</v>
      </c>
      <c r="AO143" s="71">
        <f t="shared" si="328"/>
        <v>1.5117661081037965</v>
      </c>
      <c r="AQ143" s="97" t="str">
        <f t="shared" si="187"/>
        <v xml:space="preserve">Trachyte </v>
      </c>
      <c r="AR143" s="73">
        <f t="shared" si="188"/>
        <v>69.00234199121607</v>
      </c>
      <c r="AS143" s="73">
        <f t="shared" si="189"/>
        <v>0</v>
      </c>
      <c r="AT143" s="73">
        <f t="shared" si="190"/>
        <v>0.39981414410131516</v>
      </c>
      <c r="AU143" s="73">
        <f t="shared" si="191"/>
        <v>0</v>
      </c>
      <c r="AV143" s="73">
        <f t="shared" si="192"/>
        <v>10.539729244639069</v>
      </c>
      <c r="AW143" s="73">
        <f t="shared" si="193"/>
        <v>0</v>
      </c>
      <c r="AX143" s="73">
        <f t="shared" si="194"/>
        <v>0</v>
      </c>
      <c r="AY143" s="73">
        <f t="shared" si="195"/>
        <v>0</v>
      </c>
      <c r="AZ143" s="73">
        <f t="shared" si="196"/>
        <v>0</v>
      </c>
      <c r="BA143" s="73">
        <f t="shared" si="197"/>
        <v>4.6591703224658012</v>
      </c>
      <c r="BB143" s="73">
        <f t="shared" si="198"/>
        <v>6.1495181314018206</v>
      </c>
      <c r="BC143" s="73">
        <f t="shared" si="199"/>
        <v>0</v>
      </c>
      <c r="BD143" s="73">
        <f t="shared" si="200"/>
        <v>0</v>
      </c>
      <c r="BE143" s="73">
        <f t="shared" si="201"/>
        <v>0</v>
      </c>
      <c r="BF143" s="73">
        <f t="shared" si="202"/>
        <v>0</v>
      </c>
      <c r="BG143" s="73">
        <f t="shared" si="203"/>
        <v>6.9496125924445549</v>
      </c>
      <c r="BH143" s="73">
        <f t="shared" si="204"/>
        <v>2.2998135737313534</v>
      </c>
      <c r="BI143" s="73">
        <f t="shared" si="205"/>
        <v>0</v>
      </c>
      <c r="BJ143" s="73">
        <f t="shared" si="206"/>
        <v>0</v>
      </c>
      <c r="BK143" s="73">
        <f t="shared" si="207"/>
        <v>0</v>
      </c>
      <c r="BL143" s="73">
        <f t="shared" si="208"/>
        <v>0</v>
      </c>
      <c r="BM143" s="73">
        <f t="shared" si="209"/>
        <v>0</v>
      </c>
      <c r="BN143" s="73">
        <f t="shared" si="210"/>
        <v>0</v>
      </c>
      <c r="BQ143">
        <f t="shared" si="260"/>
        <v>41.456607068322612</v>
      </c>
      <c r="BR143">
        <f t="shared" si="261"/>
        <v>0</v>
      </c>
      <c r="BS143">
        <f t="shared" si="262"/>
        <v>0.31945150113695081</v>
      </c>
      <c r="BT143">
        <f t="shared" si="263"/>
        <v>0</v>
      </c>
      <c r="BU143">
        <f t="shared" si="264"/>
        <v>10.746307937833993</v>
      </c>
      <c r="BV143">
        <f t="shared" si="265"/>
        <v>0</v>
      </c>
      <c r="BW143">
        <f t="shared" si="266"/>
        <v>0</v>
      </c>
      <c r="BX143">
        <f t="shared" si="267"/>
        <v>0</v>
      </c>
      <c r="BY143">
        <f t="shared" si="268"/>
        <v>0</v>
      </c>
      <c r="BZ143">
        <f t="shared" si="269"/>
        <v>1.8781115569859645</v>
      </c>
      <c r="CA143">
        <f t="shared" si="270"/>
        <v>3.4486497680901409</v>
      </c>
      <c r="CB143">
        <f t="shared" si="271"/>
        <v>0</v>
      </c>
      <c r="CC143">
        <f t="shared" si="272"/>
        <v>0</v>
      </c>
      <c r="CD143">
        <f t="shared" si="273"/>
        <v>0</v>
      </c>
      <c r="CE143">
        <f t="shared" si="274"/>
        <v>0</v>
      </c>
      <c r="CF143">
        <f t="shared" si="275"/>
        <v>4.3073698847971356</v>
      </c>
      <c r="CG143">
        <f t="shared" si="276"/>
        <v>2.1664243864549348</v>
      </c>
      <c r="CH143">
        <f t="shared" si="277"/>
        <v>0</v>
      </c>
      <c r="CI143">
        <f t="shared" si="278"/>
        <v>0</v>
      </c>
      <c r="CJ143">
        <f t="shared" si="279"/>
        <v>0</v>
      </c>
      <c r="CK143">
        <f t="shared" si="280"/>
        <v>0</v>
      </c>
      <c r="CL143">
        <f t="shared" si="281"/>
        <v>0</v>
      </c>
      <c r="CN143">
        <f t="shared" si="236"/>
        <v>64.322922103621721</v>
      </c>
      <c r="CP143">
        <f t="shared" si="305"/>
        <v>2.070070259736482</v>
      </c>
      <c r="CQ143">
        <f t="shared" si="306"/>
        <v>0</v>
      </c>
      <c r="CR143">
        <f t="shared" si="307"/>
        <v>1.1994424323039455E-2</v>
      </c>
      <c r="CS143">
        <f t="shared" si="308"/>
        <v>0</v>
      </c>
      <c r="CT143">
        <f t="shared" si="309"/>
        <v>0.52698646223195345</v>
      </c>
      <c r="CU143">
        <f t="shared" si="310"/>
        <v>0</v>
      </c>
      <c r="CV143">
        <f t="shared" si="311"/>
        <v>0</v>
      </c>
      <c r="CW143">
        <f t="shared" si="312"/>
        <v>0</v>
      </c>
      <c r="CX143">
        <f t="shared" si="313"/>
        <v>0</v>
      </c>
      <c r="CY143">
        <f t="shared" si="314"/>
        <v>9.3183406449316025E-2</v>
      </c>
      <c r="CZ143">
        <f t="shared" si="315"/>
        <v>0.12299036262803641</v>
      </c>
      <c r="DA143">
        <f t="shared" si="316"/>
        <v>0</v>
      </c>
      <c r="DB143">
        <f t="shared" si="317"/>
        <v>0</v>
      </c>
      <c r="DC143">
        <f t="shared" si="318"/>
        <v>0</v>
      </c>
      <c r="DD143">
        <f t="shared" si="319"/>
        <v>0</v>
      </c>
      <c r="DE143">
        <f t="shared" si="320"/>
        <v>0.20848837777333667</v>
      </c>
      <c r="DF143">
        <f t="shared" si="321"/>
        <v>6.8994407211940598E-2</v>
      </c>
      <c r="DG143">
        <f t="shared" si="322"/>
        <v>0</v>
      </c>
      <c r="DH143">
        <f t="shared" si="323"/>
        <v>0</v>
      </c>
      <c r="DI143">
        <f t="shared" si="324"/>
        <v>0</v>
      </c>
      <c r="DJ143">
        <f t="shared" si="325"/>
        <v>0</v>
      </c>
      <c r="DK143">
        <f t="shared" si="326"/>
        <v>0</v>
      </c>
      <c r="DM143">
        <f t="shared" si="327"/>
        <v>3.1027077003541046</v>
      </c>
    </row>
    <row r="144" spans="1:117">
      <c r="A144" s="117" t="s">
        <v>327</v>
      </c>
      <c r="B144" s="117" t="s">
        <v>331</v>
      </c>
      <c r="C144" s="117">
        <v>2.4119999999999999</v>
      </c>
      <c r="F144" s="117">
        <v>5654</v>
      </c>
      <c r="G144" s="117">
        <v>3329</v>
      </c>
      <c r="H144" s="43">
        <f t="shared" si="181"/>
        <v>2.2581999083623931E+22</v>
      </c>
      <c r="I144" s="43">
        <f t="shared" si="182"/>
        <v>7.0065342446149311E+22</v>
      </c>
      <c r="J144" s="42">
        <f t="shared" si="183"/>
        <v>77.106130992000004</v>
      </c>
      <c r="K144" s="42">
        <f t="shared" si="211"/>
        <v>26.730365291999998</v>
      </c>
      <c r="L144" s="42">
        <f t="shared" si="212"/>
        <v>78.351606823284413</v>
      </c>
      <c r="M144" s="79">
        <f t="shared" si="184"/>
        <v>74.48369482200691</v>
      </c>
      <c r="O144" s="52" t="str">
        <f t="shared" si="185"/>
        <v xml:space="preserve">Trachyte </v>
      </c>
      <c r="P144" s="117">
        <v>61.754425714779536</v>
      </c>
      <c r="R144" s="117">
        <v>0.47586007132529284</v>
      </c>
      <c r="T144" s="117">
        <v>16.007872379942125</v>
      </c>
      <c r="V144" s="117">
        <v>0</v>
      </c>
      <c r="W144" s="117">
        <v>0</v>
      </c>
      <c r="X144" s="117">
        <v>0</v>
      </c>
      <c r="Y144" s="117">
        <v>2.797665048633017</v>
      </c>
      <c r="Z144" s="117">
        <v>5.1371639162083325</v>
      </c>
      <c r="AE144" s="117">
        <v>6.4163271523499956</v>
      </c>
      <c r="AF144" s="117">
        <v>3.2271404560322901</v>
      </c>
      <c r="AI144" s="117">
        <v>0</v>
      </c>
      <c r="AM144" s="86">
        <f t="shared" si="213"/>
        <v>95.816454739270597</v>
      </c>
      <c r="AO144" s="71">
        <f t="shared" si="328"/>
        <v>1.4896160125454807</v>
      </c>
      <c r="AQ144" s="97" t="str">
        <f t="shared" si="187"/>
        <v xml:space="preserve">Trachyte </v>
      </c>
      <c r="AR144" s="73">
        <f t="shared" si="188"/>
        <v>69.002341991216085</v>
      </c>
      <c r="AS144" s="73">
        <f t="shared" si="189"/>
        <v>0</v>
      </c>
      <c r="AT144" s="73">
        <f t="shared" si="190"/>
        <v>0.39981414410131522</v>
      </c>
      <c r="AU144" s="73">
        <f t="shared" si="191"/>
        <v>0</v>
      </c>
      <c r="AV144" s="73">
        <f t="shared" si="192"/>
        <v>10.539729244639071</v>
      </c>
      <c r="AW144" s="73">
        <f t="shared" si="193"/>
        <v>0</v>
      </c>
      <c r="AX144" s="73">
        <f t="shared" si="194"/>
        <v>0</v>
      </c>
      <c r="AY144" s="73">
        <f t="shared" si="195"/>
        <v>0</v>
      </c>
      <c r="AZ144" s="73">
        <f t="shared" si="196"/>
        <v>0</v>
      </c>
      <c r="BA144" s="73">
        <f t="shared" si="197"/>
        <v>4.6591703224658012</v>
      </c>
      <c r="BB144" s="73">
        <f t="shared" si="198"/>
        <v>6.1495181314018206</v>
      </c>
      <c r="BC144" s="73">
        <f t="shared" si="199"/>
        <v>0</v>
      </c>
      <c r="BD144" s="73">
        <f t="shared" si="200"/>
        <v>0</v>
      </c>
      <c r="BE144" s="73">
        <f t="shared" si="201"/>
        <v>0</v>
      </c>
      <c r="BF144" s="73">
        <f t="shared" si="202"/>
        <v>0</v>
      </c>
      <c r="BG144" s="73">
        <f t="shared" si="203"/>
        <v>6.9496125924445549</v>
      </c>
      <c r="BH144" s="73">
        <f t="shared" si="204"/>
        <v>2.2998135737313539</v>
      </c>
      <c r="BI144" s="73">
        <f t="shared" si="205"/>
        <v>0</v>
      </c>
      <c r="BJ144" s="73">
        <f t="shared" si="206"/>
        <v>0</v>
      </c>
      <c r="BK144" s="73">
        <f t="shared" si="207"/>
        <v>0</v>
      </c>
      <c r="BL144" s="73">
        <f t="shared" si="208"/>
        <v>0</v>
      </c>
      <c r="BM144" s="73">
        <f t="shared" si="209"/>
        <v>0</v>
      </c>
      <c r="BN144" s="73">
        <f t="shared" si="210"/>
        <v>0</v>
      </c>
      <c r="BQ144">
        <f t="shared" si="260"/>
        <v>41.456607068322626</v>
      </c>
      <c r="BR144">
        <f t="shared" si="261"/>
        <v>0</v>
      </c>
      <c r="BS144">
        <f t="shared" si="262"/>
        <v>0.31945150113695092</v>
      </c>
      <c r="BT144">
        <f t="shared" si="263"/>
        <v>0</v>
      </c>
      <c r="BU144">
        <f t="shared" si="264"/>
        <v>10.746307937833995</v>
      </c>
      <c r="BV144">
        <f t="shared" si="265"/>
        <v>0</v>
      </c>
      <c r="BW144">
        <f t="shared" si="266"/>
        <v>0</v>
      </c>
      <c r="BX144">
        <f t="shared" si="267"/>
        <v>0</v>
      </c>
      <c r="BY144">
        <f t="shared" si="268"/>
        <v>0</v>
      </c>
      <c r="BZ144">
        <f t="shared" si="269"/>
        <v>1.8781115569859645</v>
      </c>
      <c r="CA144">
        <f t="shared" si="270"/>
        <v>3.4486497680901409</v>
      </c>
      <c r="CB144">
        <f t="shared" si="271"/>
        <v>0</v>
      </c>
      <c r="CC144">
        <f t="shared" si="272"/>
        <v>0</v>
      </c>
      <c r="CD144">
        <f t="shared" si="273"/>
        <v>0</v>
      </c>
      <c r="CE144">
        <f t="shared" si="274"/>
        <v>0</v>
      </c>
      <c r="CF144">
        <f t="shared" si="275"/>
        <v>4.3073698847971356</v>
      </c>
      <c r="CG144">
        <f t="shared" si="276"/>
        <v>2.1664243864549353</v>
      </c>
      <c r="CH144">
        <f t="shared" si="277"/>
        <v>0</v>
      </c>
      <c r="CI144">
        <f t="shared" si="278"/>
        <v>0</v>
      </c>
      <c r="CJ144">
        <f t="shared" si="279"/>
        <v>0</v>
      </c>
      <c r="CK144">
        <f t="shared" si="280"/>
        <v>0</v>
      </c>
      <c r="CL144">
        <f t="shared" si="281"/>
        <v>0</v>
      </c>
      <c r="CN144">
        <f t="shared" si="236"/>
        <v>64.32292210362175</v>
      </c>
      <c r="CP144">
        <f t="shared" si="305"/>
        <v>2.0700702597364824</v>
      </c>
      <c r="CQ144">
        <f t="shared" si="306"/>
        <v>0</v>
      </c>
      <c r="CR144">
        <f t="shared" si="307"/>
        <v>1.1994424323039456E-2</v>
      </c>
      <c r="CS144">
        <f t="shared" si="308"/>
        <v>0</v>
      </c>
      <c r="CT144">
        <f t="shared" si="309"/>
        <v>0.52698646223195356</v>
      </c>
      <c r="CU144">
        <f t="shared" si="310"/>
        <v>0</v>
      </c>
      <c r="CV144">
        <f t="shared" si="311"/>
        <v>0</v>
      </c>
      <c r="CW144">
        <f t="shared" si="312"/>
        <v>0</v>
      </c>
      <c r="CX144">
        <f t="shared" si="313"/>
        <v>0</v>
      </c>
      <c r="CY144">
        <f t="shared" si="314"/>
        <v>9.3183406449316025E-2</v>
      </c>
      <c r="CZ144">
        <f t="shared" si="315"/>
        <v>0.12299036262803641</v>
      </c>
      <c r="DA144">
        <f t="shared" si="316"/>
        <v>0</v>
      </c>
      <c r="DB144">
        <f t="shared" si="317"/>
        <v>0</v>
      </c>
      <c r="DC144">
        <f t="shared" si="318"/>
        <v>0</v>
      </c>
      <c r="DD144">
        <f t="shared" si="319"/>
        <v>0</v>
      </c>
      <c r="DE144">
        <f t="shared" si="320"/>
        <v>0.20848837777333667</v>
      </c>
      <c r="DF144">
        <f t="shared" si="321"/>
        <v>6.8994407211940612E-2</v>
      </c>
      <c r="DG144">
        <f t="shared" si="322"/>
        <v>0</v>
      </c>
      <c r="DH144">
        <f t="shared" si="323"/>
        <v>0</v>
      </c>
      <c r="DI144">
        <f t="shared" si="324"/>
        <v>0</v>
      </c>
      <c r="DJ144">
        <f t="shared" si="325"/>
        <v>0</v>
      </c>
      <c r="DK144">
        <f t="shared" si="326"/>
        <v>0</v>
      </c>
      <c r="DM144">
        <f t="shared" si="327"/>
        <v>3.102707700354105</v>
      </c>
    </row>
    <row r="145" spans="1:117">
      <c r="A145" s="117" t="s">
        <v>327</v>
      </c>
      <c r="B145" s="117" t="s">
        <v>319</v>
      </c>
      <c r="C145" s="117">
        <v>2.6989999999999998</v>
      </c>
      <c r="F145" s="117">
        <v>6505</v>
      </c>
      <c r="G145" s="117">
        <v>3711</v>
      </c>
      <c r="H145" s="43">
        <f t="shared" ref="H145:H201" si="329">($C$2*C145)/CN145</f>
        <v>2.6328750525209016E+22</v>
      </c>
      <c r="I145" s="43">
        <f t="shared" ref="I145:I201" si="330">($C$2/CN145)*C145*DM145</f>
        <v>7.6901863492652049E+22</v>
      </c>
      <c r="J145" s="42">
        <f t="shared" ref="J145:J201" si="331">(C145*F145^2)/1000000</f>
        <v>114.20825247499999</v>
      </c>
      <c r="K145" s="42">
        <f t="shared" si="211"/>
        <v>37.169335179000001</v>
      </c>
      <c r="L145" s="42">
        <f t="shared" si="212"/>
        <v>109.36331251505112</v>
      </c>
      <c r="M145" s="79">
        <f t="shared" ref="M145:M201" si="332">3*K145 + 2*(0.0001 - I145*$G$2*$J$2)/100</f>
        <v>105.24371316217328</v>
      </c>
      <c r="O145" s="52" t="str">
        <f t="shared" ref="O145:O201" si="333">B145</f>
        <v>Basalt</v>
      </c>
      <c r="P145" s="117">
        <v>50.221262839103211</v>
      </c>
      <c r="R145" s="117">
        <v>2.6262389781952784</v>
      </c>
      <c r="T145" s="117">
        <v>18.911127380233708</v>
      </c>
      <c r="V145" s="117">
        <v>0</v>
      </c>
      <c r="W145" s="117">
        <v>4.6551147776675808E-2</v>
      </c>
      <c r="X145" s="117">
        <v>0</v>
      </c>
      <c r="Y145" s="117">
        <v>11.144542698158878</v>
      </c>
      <c r="Z145" s="117">
        <v>12.453880472639154</v>
      </c>
      <c r="AE145" s="117">
        <v>3.1926237911483182</v>
      </c>
      <c r="AF145" s="117">
        <v>1.4037726927447618</v>
      </c>
      <c r="AI145" s="117">
        <v>0</v>
      </c>
      <c r="AM145" s="86">
        <f t="shared" si="213"/>
        <v>100</v>
      </c>
      <c r="AO145" s="71">
        <f t="shared" si="328"/>
        <v>1.6198564043897861</v>
      </c>
      <c r="AQ145" s="97" t="str">
        <f t="shared" si="187"/>
        <v>Basalt</v>
      </c>
      <c r="AR145" s="73">
        <f t="shared" si="188"/>
        <v>51.603741112237557</v>
      </c>
      <c r="AS145" s="73">
        <f t="shared" si="189"/>
        <v>0</v>
      </c>
      <c r="AT145" s="73">
        <f t="shared" si="190"/>
        <v>2.0291350196429785</v>
      </c>
      <c r="AU145" s="73">
        <f t="shared" si="191"/>
        <v>0</v>
      </c>
      <c r="AV145" s="73">
        <f t="shared" si="192"/>
        <v>11.450147357031842</v>
      </c>
      <c r="AW145" s="73">
        <f t="shared" si="193"/>
        <v>0</v>
      </c>
      <c r="AX145" s="73">
        <f t="shared" si="194"/>
        <v>0</v>
      </c>
      <c r="AY145" s="73">
        <f t="shared" si="195"/>
        <v>3.9996971057679277E-2</v>
      </c>
      <c r="AZ145" s="73">
        <f t="shared" si="196"/>
        <v>0</v>
      </c>
      <c r="BA145" s="73">
        <f t="shared" si="197"/>
        <v>17.067618900754074</v>
      </c>
      <c r="BB145" s="73">
        <f t="shared" si="198"/>
        <v>13.709454387598274</v>
      </c>
      <c r="BC145" s="73">
        <f t="shared" si="199"/>
        <v>0</v>
      </c>
      <c r="BD145" s="73">
        <f t="shared" si="200"/>
        <v>0</v>
      </c>
      <c r="BE145" s="73">
        <f t="shared" si="201"/>
        <v>0</v>
      </c>
      <c r="BF145" s="73">
        <f t="shared" si="202"/>
        <v>0</v>
      </c>
      <c r="BG145" s="73">
        <f t="shared" si="203"/>
        <v>3.1799453508128868</v>
      </c>
      <c r="BH145" s="73">
        <f t="shared" si="204"/>
        <v>0.91996090086470372</v>
      </c>
      <c r="BI145" s="73">
        <f t="shared" si="205"/>
        <v>0</v>
      </c>
      <c r="BJ145" s="73">
        <f t="shared" si="206"/>
        <v>0</v>
      </c>
      <c r="BK145" s="73">
        <f t="shared" si="207"/>
        <v>0</v>
      </c>
      <c r="BL145" s="73">
        <f t="shared" si="208"/>
        <v>0</v>
      </c>
      <c r="BM145" s="73">
        <f t="shared" si="209"/>
        <v>0</v>
      </c>
      <c r="BN145" s="73">
        <f t="shared" si="210"/>
        <v>0</v>
      </c>
      <c r="BQ145">
        <f t="shared" si="260"/>
        <v>31.003527660232322</v>
      </c>
      <c r="BR145">
        <f t="shared" si="261"/>
        <v>0</v>
      </c>
      <c r="BS145">
        <f t="shared" si="262"/>
        <v>1.62127888069474</v>
      </c>
      <c r="BT145">
        <f t="shared" si="263"/>
        <v>0</v>
      </c>
      <c r="BU145">
        <f t="shared" si="264"/>
        <v>11.674570245229665</v>
      </c>
      <c r="BV145">
        <f t="shared" si="265"/>
        <v>0</v>
      </c>
      <c r="BW145">
        <f t="shared" si="266"/>
        <v>0</v>
      </c>
      <c r="BX145">
        <f t="shared" si="267"/>
        <v>2.8737823704942558E-2</v>
      </c>
      <c r="BY145">
        <f t="shared" si="268"/>
        <v>0</v>
      </c>
      <c r="BZ145">
        <f t="shared" si="269"/>
        <v>6.8799571788939673</v>
      </c>
      <c r="CA145">
        <f t="shared" si="270"/>
        <v>7.6882620205651122</v>
      </c>
      <c r="CB145">
        <f t="shared" si="271"/>
        <v>0</v>
      </c>
      <c r="CC145">
        <f t="shared" si="272"/>
        <v>0</v>
      </c>
      <c r="CD145">
        <f t="shared" si="273"/>
        <v>0</v>
      </c>
      <c r="CE145">
        <f t="shared" si="274"/>
        <v>0</v>
      </c>
      <c r="CF145">
        <f t="shared" si="275"/>
        <v>1.9709301284338272</v>
      </c>
      <c r="CG145">
        <f t="shared" si="276"/>
        <v>0.86660316861455089</v>
      </c>
      <c r="CH145">
        <f t="shared" si="277"/>
        <v>0</v>
      </c>
      <c r="CI145">
        <f t="shared" si="278"/>
        <v>0</v>
      </c>
      <c r="CJ145">
        <f t="shared" si="279"/>
        <v>0</v>
      </c>
      <c r="CK145">
        <f t="shared" si="280"/>
        <v>0</v>
      </c>
      <c r="CL145">
        <f t="shared" si="281"/>
        <v>0</v>
      </c>
      <c r="CN145">
        <f t="shared" si="236"/>
        <v>61.733867106369132</v>
      </c>
      <c r="CP145">
        <f t="shared" si="305"/>
        <v>1.5481122333671267</v>
      </c>
      <c r="CQ145">
        <f t="shared" si="306"/>
        <v>0</v>
      </c>
      <c r="CR145">
        <f t="shared" si="307"/>
        <v>6.0874050589289352E-2</v>
      </c>
      <c r="CS145">
        <f t="shared" si="308"/>
        <v>0</v>
      </c>
      <c r="CT145">
        <f t="shared" si="309"/>
        <v>0.57250736785159217</v>
      </c>
      <c r="CU145">
        <f t="shared" si="310"/>
        <v>0</v>
      </c>
      <c r="CV145">
        <f t="shared" si="311"/>
        <v>0</v>
      </c>
      <c r="CW145">
        <f t="shared" si="312"/>
        <v>7.9993942115358558E-4</v>
      </c>
      <c r="CX145">
        <f t="shared" si="313"/>
        <v>0</v>
      </c>
      <c r="CY145">
        <f t="shared" si="314"/>
        <v>0.34135237801508145</v>
      </c>
      <c r="CZ145">
        <f t="shared" si="315"/>
        <v>0.27418908775196549</v>
      </c>
      <c r="DA145">
        <f t="shared" si="316"/>
        <v>0</v>
      </c>
      <c r="DB145">
        <f t="shared" si="317"/>
        <v>0</v>
      </c>
      <c r="DC145">
        <f t="shared" si="318"/>
        <v>0</v>
      </c>
      <c r="DD145">
        <f t="shared" si="319"/>
        <v>0</v>
      </c>
      <c r="DE145">
        <f t="shared" si="320"/>
        <v>9.5398360524386605E-2</v>
      </c>
      <c r="DF145">
        <f t="shared" si="321"/>
        <v>2.759882702594111E-2</v>
      </c>
      <c r="DG145">
        <f t="shared" si="322"/>
        <v>0</v>
      </c>
      <c r="DH145">
        <f t="shared" si="323"/>
        <v>0</v>
      </c>
      <c r="DI145">
        <f t="shared" si="324"/>
        <v>0</v>
      </c>
      <c r="DJ145">
        <f t="shared" si="325"/>
        <v>0</v>
      </c>
      <c r="DK145">
        <f t="shared" si="326"/>
        <v>0</v>
      </c>
      <c r="DM145">
        <f t="shared" si="327"/>
        <v>2.9208322445465367</v>
      </c>
    </row>
    <row r="146" spans="1:117">
      <c r="A146" s="117" t="s">
        <v>327</v>
      </c>
      <c r="B146" s="117" t="s">
        <v>319</v>
      </c>
      <c r="C146" s="117">
        <v>2.6829999999999998</v>
      </c>
      <c r="F146" s="117">
        <v>6329</v>
      </c>
      <c r="G146" s="117">
        <v>3576</v>
      </c>
      <c r="H146" s="43">
        <f t="shared" si="329"/>
        <v>2.6172670492454907E+22</v>
      </c>
      <c r="I146" s="43">
        <f t="shared" si="330"/>
        <v>7.6445979900253961E+22</v>
      </c>
      <c r="J146" s="42">
        <f t="shared" si="331"/>
        <v>107.470894603</v>
      </c>
      <c r="K146" s="42">
        <f t="shared" si="211"/>
        <v>34.309603008000003</v>
      </c>
      <c r="L146" s="42">
        <f t="shared" si="212"/>
        <v>100.79683001477849</v>
      </c>
      <c r="M146" s="79">
        <f t="shared" si="332"/>
        <v>96.701652147504959</v>
      </c>
      <c r="O146" s="52" t="str">
        <f t="shared" si="333"/>
        <v>Basalt</v>
      </c>
      <c r="P146" s="117">
        <v>49.55460614908035</v>
      </c>
      <c r="R146" s="117">
        <v>2.5913772545858613</v>
      </c>
      <c r="T146" s="117">
        <v>18.660093677152648</v>
      </c>
      <c r="V146" s="117">
        <v>0</v>
      </c>
      <c r="W146" s="117">
        <v>4.5933209629779974E-2</v>
      </c>
      <c r="X146" s="117">
        <v>0</v>
      </c>
      <c r="Y146" s="117">
        <v>10.996605678518897</v>
      </c>
      <c r="Z146" s="117">
        <v>12.288562791153742</v>
      </c>
      <c r="AE146" s="117">
        <v>3.1502436539559495</v>
      </c>
      <c r="AF146" s="117">
        <v>1.385138464850336</v>
      </c>
      <c r="AI146" s="117">
        <v>0</v>
      </c>
      <c r="AM146" s="86">
        <f t="shared" si="213"/>
        <v>98.672560878927555</v>
      </c>
      <c r="AO146" s="71">
        <f t="shared" si="328"/>
        <v>1.598353796772719</v>
      </c>
      <c r="AQ146" s="97" t="str">
        <f t="shared" si="187"/>
        <v>Basalt</v>
      </c>
      <c r="AR146" s="73">
        <f t="shared" si="188"/>
        <v>51.603741112237557</v>
      </c>
      <c r="AS146" s="73">
        <f t="shared" si="189"/>
        <v>0</v>
      </c>
      <c r="AT146" s="73">
        <f t="shared" si="190"/>
        <v>2.029135019642978</v>
      </c>
      <c r="AU146" s="73">
        <f t="shared" si="191"/>
        <v>0</v>
      </c>
      <c r="AV146" s="73">
        <f t="shared" si="192"/>
        <v>11.450147357031842</v>
      </c>
      <c r="AW146" s="73">
        <f t="shared" si="193"/>
        <v>0</v>
      </c>
      <c r="AX146" s="73">
        <f t="shared" si="194"/>
        <v>0</v>
      </c>
      <c r="AY146" s="73">
        <f t="shared" si="195"/>
        <v>3.9996971057679263E-2</v>
      </c>
      <c r="AZ146" s="73">
        <f t="shared" si="196"/>
        <v>0</v>
      </c>
      <c r="BA146" s="73">
        <f t="shared" si="197"/>
        <v>17.067618900754074</v>
      </c>
      <c r="BB146" s="73">
        <f t="shared" si="198"/>
        <v>13.709454387598274</v>
      </c>
      <c r="BC146" s="73">
        <f t="shared" si="199"/>
        <v>0</v>
      </c>
      <c r="BD146" s="73">
        <f t="shared" si="200"/>
        <v>0</v>
      </c>
      <c r="BE146" s="73">
        <f t="shared" si="201"/>
        <v>0</v>
      </c>
      <c r="BF146" s="73">
        <f t="shared" si="202"/>
        <v>0</v>
      </c>
      <c r="BG146" s="73">
        <f t="shared" si="203"/>
        <v>3.1799453508128859</v>
      </c>
      <c r="BH146" s="73">
        <f t="shared" si="204"/>
        <v>0.91996090086470361</v>
      </c>
      <c r="BI146" s="73">
        <f t="shared" si="205"/>
        <v>0</v>
      </c>
      <c r="BJ146" s="73">
        <f t="shared" si="206"/>
        <v>0</v>
      </c>
      <c r="BK146" s="73">
        <f t="shared" si="207"/>
        <v>0</v>
      </c>
      <c r="BL146" s="73">
        <f t="shared" si="208"/>
        <v>0</v>
      </c>
      <c r="BM146" s="73">
        <f t="shared" si="209"/>
        <v>0</v>
      </c>
      <c r="BN146" s="73">
        <f t="shared" si="210"/>
        <v>0</v>
      </c>
      <c r="BQ146">
        <f t="shared" si="260"/>
        <v>31.003527660232322</v>
      </c>
      <c r="BR146">
        <f t="shared" si="261"/>
        <v>0</v>
      </c>
      <c r="BS146">
        <f t="shared" si="262"/>
        <v>1.6212788806947396</v>
      </c>
      <c r="BT146">
        <f t="shared" si="263"/>
        <v>0</v>
      </c>
      <c r="BU146">
        <f t="shared" si="264"/>
        <v>11.674570245229665</v>
      </c>
      <c r="BV146">
        <f t="shared" si="265"/>
        <v>0</v>
      </c>
      <c r="BW146">
        <f t="shared" si="266"/>
        <v>0</v>
      </c>
      <c r="BX146">
        <f t="shared" si="267"/>
        <v>2.8737823704942548E-2</v>
      </c>
      <c r="BY146">
        <f t="shared" si="268"/>
        <v>0</v>
      </c>
      <c r="BZ146">
        <f t="shared" si="269"/>
        <v>6.8799571788939673</v>
      </c>
      <c r="CA146">
        <f t="shared" si="270"/>
        <v>7.6882620205651122</v>
      </c>
      <c r="CB146">
        <f t="shared" si="271"/>
        <v>0</v>
      </c>
      <c r="CC146">
        <f t="shared" si="272"/>
        <v>0</v>
      </c>
      <c r="CD146">
        <f t="shared" si="273"/>
        <v>0</v>
      </c>
      <c r="CE146">
        <f t="shared" si="274"/>
        <v>0</v>
      </c>
      <c r="CF146">
        <f t="shared" si="275"/>
        <v>1.9709301284338265</v>
      </c>
      <c r="CG146">
        <f t="shared" si="276"/>
        <v>0.86660316861455078</v>
      </c>
      <c r="CH146">
        <f t="shared" si="277"/>
        <v>0</v>
      </c>
      <c r="CI146">
        <f t="shared" si="278"/>
        <v>0</v>
      </c>
      <c r="CJ146">
        <f t="shared" si="279"/>
        <v>0</v>
      </c>
      <c r="CK146">
        <f t="shared" si="280"/>
        <v>0</v>
      </c>
      <c r="CL146">
        <f t="shared" si="281"/>
        <v>0</v>
      </c>
      <c r="CN146">
        <f t="shared" si="236"/>
        <v>61.733867106369132</v>
      </c>
      <c r="CP146">
        <f t="shared" si="305"/>
        <v>1.5481122333671267</v>
      </c>
      <c r="CQ146">
        <f t="shared" si="306"/>
        <v>0</v>
      </c>
      <c r="CR146">
        <f t="shared" si="307"/>
        <v>6.0874050589289345E-2</v>
      </c>
      <c r="CS146">
        <f t="shared" si="308"/>
        <v>0</v>
      </c>
      <c r="CT146">
        <f t="shared" si="309"/>
        <v>0.57250736785159217</v>
      </c>
      <c r="CU146">
        <f t="shared" si="310"/>
        <v>0</v>
      </c>
      <c r="CV146">
        <f t="shared" si="311"/>
        <v>0</v>
      </c>
      <c r="CW146">
        <f t="shared" si="312"/>
        <v>7.9993942115358526E-4</v>
      </c>
      <c r="CX146">
        <f t="shared" si="313"/>
        <v>0</v>
      </c>
      <c r="CY146">
        <f t="shared" si="314"/>
        <v>0.34135237801508145</v>
      </c>
      <c r="CZ146">
        <f t="shared" si="315"/>
        <v>0.27418908775196549</v>
      </c>
      <c r="DA146">
        <f t="shared" si="316"/>
        <v>0</v>
      </c>
      <c r="DB146">
        <f t="shared" si="317"/>
        <v>0</v>
      </c>
      <c r="DC146">
        <f t="shared" si="318"/>
        <v>0</v>
      </c>
      <c r="DD146">
        <f t="shared" si="319"/>
        <v>0</v>
      </c>
      <c r="DE146">
        <f t="shared" si="320"/>
        <v>9.5398360524386577E-2</v>
      </c>
      <c r="DF146">
        <f t="shared" si="321"/>
        <v>2.7598827025941106E-2</v>
      </c>
      <c r="DG146">
        <f t="shared" si="322"/>
        <v>0</v>
      </c>
      <c r="DH146">
        <f t="shared" si="323"/>
        <v>0</v>
      </c>
      <c r="DI146">
        <f t="shared" si="324"/>
        <v>0</v>
      </c>
      <c r="DJ146">
        <f t="shared" si="325"/>
        <v>0</v>
      </c>
      <c r="DK146">
        <f t="shared" si="326"/>
        <v>0</v>
      </c>
      <c r="DM146">
        <f t="shared" si="327"/>
        <v>2.9208322445465367</v>
      </c>
    </row>
    <row r="147" spans="1:117">
      <c r="A147" s="117" t="s">
        <v>327</v>
      </c>
      <c r="B147" s="117" t="s">
        <v>319</v>
      </c>
      <c r="C147" s="117">
        <v>2.6880000000000002</v>
      </c>
      <c r="F147" s="117">
        <v>6428</v>
      </c>
      <c r="G147" s="117">
        <v>3634</v>
      </c>
      <c r="H147" s="43">
        <f t="shared" si="329"/>
        <v>2.6221445502690566E+22</v>
      </c>
      <c r="I147" s="43">
        <f t="shared" si="330"/>
        <v>7.6588443522878384E+22</v>
      </c>
      <c r="J147" s="42">
        <f t="shared" si="331"/>
        <v>111.06596659200001</v>
      </c>
      <c r="K147" s="42">
        <f t="shared" si="211"/>
        <v>35.497609728</v>
      </c>
      <c r="L147" s="42">
        <f t="shared" si="212"/>
        <v>104.3568770458012</v>
      </c>
      <c r="M147" s="79">
        <f t="shared" si="332"/>
        <v>100.2540674642763</v>
      </c>
      <c r="O147" s="52" t="str">
        <f t="shared" si="333"/>
        <v>Basalt</v>
      </c>
      <c r="P147" s="117">
        <v>49.55460614908035</v>
      </c>
      <c r="R147" s="117">
        <v>2.5913772545858613</v>
      </c>
      <c r="T147" s="117">
        <v>18.660093677152648</v>
      </c>
      <c r="V147" s="117">
        <v>0</v>
      </c>
      <c r="W147" s="117">
        <v>4.5933209629779974E-2</v>
      </c>
      <c r="X147" s="117">
        <v>0</v>
      </c>
      <c r="Y147" s="117">
        <v>10.996605678518897</v>
      </c>
      <c r="Z147" s="117">
        <v>12.288562791153742</v>
      </c>
      <c r="AE147" s="117">
        <v>3.1502436539559495</v>
      </c>
      <c r="AF147" s="117">
        <v>1.385138464850336</v>
      </c>
      <c r="AI147" s="117">
        <v>0</v>
      </c>
      <c r="AM147" s="86">
        <f t="shared" si="213"/>
        <v>98.672560878927555</v>
      </c>
      <c r="AO147" s="71">
        <f t="shared" si="328"/>
        <v>1.598353796772719</v>
      </c>
      <c r="AQ147" s="97" t="str">
        <f t="shared" si="187"/>
        <v>Basalt</v>
      </c>
      <c r="AR147" s="73">
        <f t="shared" si="188"/>
        <v>51.603741112237557</v>
      </c>
      <c r="AS147" s="73">
        <f t="shared" si="189"/>
        <v>0</v>
      </c>
      <c r="AT147" s="73">
        <f t="shared" si="190"/>
        <v>2.029135019642978</v>
      </c>
      <c r="AU147" s="73">
        <f t="shared" si="191"/>
        <v>0</v>
      </c>
      <c r="AV147" s="73">
        <f t="shared" si="192"/>
        <v>11.450147357031842</v>
      </c>
      <c r="AW147" s="73">
        <f t="shared" si="193"/>
        <v>0</v>
      </c>
      <c r="AX147" s="73">
        <f t="shared" si="194"/>
        <v>0</v>
      </c>
      <c r="AY147" s="73">
        <f t="shared" si="195"/>
        <v>3.9996971057679263E-2</v>
      </c>
      <c r="AZ147" s="73">
        <f t="shared" si="196"/>
        <v>0</v>
      </c>
      <c r="BA147" s="73">
        <f t="shared" si="197"/>
        <v>17.067618900754074</v>
      </c>
      <c r="BB147" s="73">
        <f t="shared" si="198"/>
        <v>13.709454387598274</v>
      </c>
      <c r="BC147" s="73">
        <f t="shared" si="199"/>
        <v>0</v>
      </c>
      <c r="BD147" s="73">
        <f t="shared" si="200"/>
        <v>0</v>
      </c>
      <c r="BE147" s="73">
        <f t="shared" si="201"/>
        <v>0</v>
      </c>
      <c r="BF147" s="73">
        <f t="shared" si="202"/>
        <v>0</v>
      </c>
      <c r="BG147" s="73">
        <f t="shared" si="203"/>
        <v>3.1799453508128859</v>
      </c>
      <c r="BH147" s="73">
        <f t="shared" si="204"/>
        <v>0.91996090086470361</v>
      </c>
      <c r="BI147" s="73">
        <f t="shared" si="205"/>
        <v>0</v>
      </c>
      <c r="BJ147" s="73">
        <f t="shared" si="206"/>
        <v>0</v>
      </c>
      <c r="BK147" s="73">
        <f t="shared" si="207"/>
        <v>0</v>
      </c>
      <c r="BL147" s="73">
        <f t="shared" si="208"/>
        <v>0</v>
      </c>
      <c r="BM147" s="73">
        <f t="shared" si="209"/>
        <v>0</v>
      </c>
      <c r="BN147" s="73">
        <f t="shared" si="210"/>
        <v>0</v>
      </c>
      <c r="BQ147">
        <f t="shared" si="260"/>
        <v>31.003527660232322</v>
      </c>
      <c r="BR147">
        <f t="shared" si="261"/>
        <v>0</v>
      </c>
      <c r="BS147">
        <f t="shared" si="262"/>
        <v>1.6212788806947396</v>
      </c>
      <c r="BT147">
        <f t="shared" si="263"/>
        <v>0</v>
      </c>
      <c r="BU147">
        <f t="shared" si="264"/>
        <v>11.674570245229665</v>
      </c>
      <c r="BV147">
        <f t="shared" si="265"/>
        <v>0</v>
      </c>
      <c r="BW147">
        <f t="shared" si="266"/>
        <v>0</v>
      </c>
      <c r="BX147">
        <f t="shared" si="267"/>
        <v>2.8737823704942548E-2</v>
      </c>
      <c r="BY147">
        <f t="shared" si="268"/>
        <v>0</v>
      </c>
      <c r="BZ147">
        <f t="shared" si="269"/>
        <v>6.8799571788939673</v>
      </c>
      <c r="CA147">
        <f t="shared" si="270"/>
        <v>7.6882620205651122</v>
      </c>
      <c r="CB147">
        <f t="shared" si="271"/>
        <v>0</v>
      </c>
      <c r="CC147">
        <f t="shared" si="272"/>
        <v>0</v>
      </c>
      <c r="CD147">
        <f t="shared" si="273"/>
        <v>0</v>
      </c>
      <c r="CE147">
        <f t="shared" si="274"/>
        <v>0</v>
      </c>
      <c r="CF147">
        <f t="shared" si="275"/>
        <v>1.9709301284338265</v>
      </c>
      <c r="CG147">
        <f t="shared" si="276"/>
        <v>0.86660316861455078</v>
      </c>
      <c r="CH147">
        <f t="shared" si="277"/>
        <v>0</v>
      </c>
      <c r="CI147">
        <f t="shared" si="278"/>
        <v>0</v>
      </c>
      <c r="CJ147">
        <f t="shared" si="279"/>
        <v>0</v>
      </c>
      <c r="CK147">
        <f t="shared" si="280"/>
        <v>0</v>
      </c>
      <c r="CL147">
        <f t="shared" si="281"/>
        <v>0</v>
      </c>
      <c r="CN147">
        <f t="shared" si="236"/>
        <v>61.733867106369132</v>
      </c>
      <c r="CP147">
        <f t="shared" si="305"/>
        <v>1.5481122333671267</v>
      </c>
      <c r="CQ147">
        <f t="shared" si="306"/>
        <v>0</v>
      </c>
      <c r="CR147">
        <f t="shared" si="307"/>
        <v>6.0874050589289345E-2</v>
      </c>
      <c r="CS147">
        <f t="shared" si="308"/>
        <v>0</v>
      </c>
      <c r="CT147">
        <f t="shared" si="309"/>
        <v>0.57250736785159217</v>
      </c>
      <c r="CU147">
        <f t="shared" si="310"/>
        <v>0</v>
      </c>
      <c r="CV147">
        <f t="shared" si="311"/>
        <v>0</v>
      </c>
      <c r="CW147">
        <f t="shared" si="312"/>
        <v>7.9993942115358526E-4</v>
      </c>
      <c r="CX147">
        <f t="shared" si="313"/>
        <v>0</v>
      </c>
      <c r="CY147">
        <f t="shared" si="314"/>
        <v>0.34135237801508145</v>
      </c>
      <c r="CZ147">
        <f t="shared" si="315"/>
        <v>0.27418908775196549</v>
      </c>
      <c r="DA147">
        <f t="shared" si="316"/>
        <v>0</v>
      </c>
      <c r="DB147">
        <f t="shared" si="317"/>
        <v>0</v>
      </c>
      <c r="DC147">
        <f t="shared" si="318"/>
        <v>0</v>
      </c>
      <c r="DD147">
        <f t="shared" si="319"/>
        <v>0</v>
      </c>
      <c r="DE147">
        <f t="shared" si="320"/>
        <v>9.5398360524386577E-2</v>
      </c>
      <c r="DF147">
        <f t="shared" si="321"/>
        <v>2.7598827025941106E-2</v>
      </c>
      <c r="DG147">
        <f t="shared" si="322"/>
        <v>0</v>
      </c>
      <c r="DH147">
        <f t="shared" si="323"/>
        <v>0</v>
      </c>
      <c r="DI147">
        <f t="shared" si="324"/>
        <v>0</v>
      </c>
      <c r="DJ147">
        <f t="shared" si="325"/>
        <v>0</v>
      </c>
      <c r="DK147">
        <f t="shared" si="326"/>
        <v>0</v>
      </c>
      <c r="DM147">
        <f t="shared" si="327"/>
        <v>2.9208322445465367</v>
      </c>
    </row>
    <row r="148" spans="1:117">
      <c r="A148" s="117" t="s">
        <v>327</v>
      </c>
      <c r="B148" s="117" t="s">
        <v>319</v>
      </c>
      <c r="C148" s="117">
        <v>2.6589999999999998</v>
      </c>
      <c r="F148" s="117">
        <v>6230</v>
      </c>
      <c r="G148" s="117">
        <v>3586</v>
      </c>
      <c r="H148" s="43">
        <f t="shared" si="329"/>
        <v>2.5938550443323739E+22</v>
      </c>
      <c r="I148" s="43">
        <f t="shared" si="330"/>
        <v>7.5762154511656821E+22</v>
      </c>
      <c r="J148" s="42">
        <f t="shared" si="331"/>
        <v>103.2035011</v>
      </c>
      <c r="K148" s="42">
        <f t="shared" si="211"/>
        <v>34.193133963999998</v>
      </c>
      <c r="L148" s="42">
        <f t="shared" si="212"/>
        <v>100.46649390186955</v>
      </c>
      <c r="M148" s="79">
        <f t="shared" si="332"/>
        <v>96.407948263002481</v>
      </c>
      <c r="O148" s="52" t="str">
        <f t="shared" si="333"/>
        <v>Basalt</v>
      </c>
      <c r="P148" s="117">
        <v>48.851275410531287</v>
      </c>
      <c r="R148" s="117">
        <v>2.554597721461453</v>
      </c>
      <c r="T148" s="117">
        <v>18.395250134095047</v>
      </c>
      <c r="V148" s="117">
        <v>0</v>
      </c>
      <c r="W148" s="117">
        <v>4.5281277533787696E-2</v>
      </c>
      <c r="X148" s="117">
        <v>0</v>
      </c>
      <c r="Y148" s="117">
        <v>10.840530362933949</v>
      </c>
      <c r="Z148" s="117">
        <v>12.114150670560811</v>
      </c>
      <c r="AE148" s="117">
        <v>3.1055321050621756</v>
      </c>
      <c r="AF148" s="117">
        <v>1.3654791327481883</v>
      </c>
      <c r="AI148" s="117">
        <v>0</v>
      </c>
      <c r="AM148" s="86">
        <f t="shared" si="213"/>
        <v>97.272096814926712</v>
      </c>
      <c r="AO148" s="71">
        <f t="shared" si="328"/>
        <v>1.5756682899408236</v>
      </c>
      <c r="AQ148" s="97" t="str">
        <f t="shared" si="187"/>
        <v>Basalt</v>
      </c>
      <c r="AR148" s="73">
        <f t="shared" si="188"/>
        <v>51.603741112237557</v>
      </c>
      <c r="AS148" s="73">
        <f t="shared" si="189"/>
        <v>0</v>
      </c>
      <c r="AT148" s="73">
        <f t="shared" si="190"/>
        <v>2.029135019642978</v>
      </c>
      <c r="AU148" s="73">
        <f t="shared" si="191"/>
        <v>0</v>
      </c>
      <c r="AV148" s="73">
        <f t="shared" si="192"/>
        <v>11.45014735703184</v>
      </c>
      <c r="AW148" s="73">
        <f t="shared" si="193"/>
        <v>0</v>
      </c>
      <c r="AX148" s="73">
        <f t="shared" si="194"/>
        <v>0</v>
      </c>
      <c r="AY148" s="73">
        <f t="shared" si="195"/>
        <v>3.9996971057679263E-2</v>
      </c>
      <c r="AZ148" s="73">
        <f t="shared" si="196"/>
        <v>0</v>
      </c>
      <c r="BA148" s="73">
        <f t="shared" si="197"/>
        <v>17.06761890075407</v>
      </c>
      <c r="BB148" s="73">
        <f t="shared" si="198"/>
        <v>13.709454387598274</v>
      </c>
      <c r="BC148" s="73">
        <f t="shared" si="199"/>
        <v>0</v>
      </c>
      <c r="BD148" s="73">
        <f t="shared" si="200"/>
        <v>0</v>
      </c>
      <c r="BE148" s="73">
        <f t="shared" si="201"/>
        <v>0</v>
      </c>
      <c r="BF148" s="73">
        <f t="shared" si="202"/>
        <v>0</v>
      </c>
      <c r="BG148" s="73">
        <f t="shared" si="203"/>
        <v>3.1799453508128859</v>
      </c>
      <c r="BH148" s="73">
        <f t="shared" si="204"/>
        <v>0.91996090086470339</v>
      </c>
      <c r="BI148" s="73">
        <f t="shared" si="205"/>
        <v>0</v>
      </c>
      <c r="BJ148" s="73">
        <f t="shared" si="206"/>
        <v>0</v>
      </c>
      <c r="BK148" s="73">
        <f t="shared" si="207"/>
        <v>0</v>
      </c>
      <c r="BL148" s="73">
        <f t="shared" si="208"/>
        <v>0</v>
      </c>
      <c r="BM148" s="73">
        <f t="shared" si="209"/>
        <v>0</v>
      </c>
      <c r="BN148" s="73">
        <f t="shared" si="210"/>
        <v>0</v>
      </c>
      <c r="BQ148">
        <f t="shared" si="260"/>
        <v>31.003527660232322</v>
      </c>
      <c r="BR148">
        <f t="shared" si="261"/>
        <v>0</v>
      </c>
      <c r="BS148">
        <f t="shared" si="262"/>
        <v>1.6212788806947396</v>
      </c>
      <c r="BT148">
        <f t="shared" si="263"/>
        <v>0</v>
      </c>
      <c r="BU148">
        <f t="shared" si="264"/>
        <v>11.674570245229663</v>
      </c>
      <c r="BV148">
        <f t="shared" si="265"/>
        <v>0</v>
      </c>
      <c r="BW148">
        <f t="shared" si="266"/>
        <v>0</v>
      </c>
      <c r="BX148">
        <f t="shared" si="267"/>
        <v>2.8737823704942548E-2</v>
      </c>
      <c r="BY148">
        <f t="shared" si="268"/>
        <v>0</v>
      </c>
      <c r="BZ148">
        <f t="shared" si="269"/>
        <v>6.8799571788939655</v>
      </c>
      <c r="CA148">
        <f t="shared" si="270"/>
        <v>7.6882620205651122</v>
      </c>
      <c r="CB148">
        <f t="shared" si="271"/>
        <v>0</v>
      </c>
      <c r="CC148">
        <f t="shared" si="272"/>
        <v>0</v>
      </c>
      <c r="CD148">
        <f t="shared" si="273"/>
        <v>0</v>
      </c>
      <c r="CE148">
        <f t="shared" si="274"/>
        <v>0</v>
      </c>
      <c r="CF148">
        <f t="shared" si="275"/>
        <v>1.9709301284338265</v>
      </c>
      <c r="CG148">
        <f t="shared" si="276"/>
        <v>0.86660316861455056</v>
      </c>
      <c r="CH148">
        <f t="shared" si="277"/>
        <v>0</v>
      </c>
      <c r="CI148">
        <f t="shared" si="278"/>
        <v>0</v>
      </c>
      <c r="CJ148">
        <f t="shared" si="279"/>
        <v>0</v>
      </c>
      <c r="CK148">
        <f t="shared" si="280"/>
        <v>0</v>
      </c>
      <c r="CL148">
        <f t="shared" si="281"/>
        <v>0</v>
      </c>
      <c r="CN148">
        <f t="shared" si="236"/>
        <v>61.733867106369132</v>
      </c>
      <c r="CP148">
        <f t="shared" si="305"/>
        <v>1.5481122333671267</v>
      </c>
      <c r="CQ148">
        <f t="shared" si="306"/>
        <v>0</v>
      </c>
      <c r="CR148">
        <f t="shared" si="307"/>
        <v>6.0874050589289345E-2</v>
      </c>
      <c r="CS148">
        <f t="shared" si="308"/>
        <v>0</v>
      </c>
      <c r="CT148">
        <f t="shared" si="309"/>
        <v>0.57250736785159195</v>
      </c>
      <c r="CU148">
        <f t="shared" si="310"/>
        <v>0</v>
      </c>
      <c r="CV148">
        <f t="shared" si="311"/>
        <v>0</v>
      </c>
      <c r="CW148">
        <f t="shared" si="312"/>
        <v>7.9993942115358526E-4</v>
      </c>
      <c r="CX148">
        <f t="shared" si="313"/>
        <v>0</v>
      </c>
      <c r="CY148">
        <f t="shared" si="314"/>
        <v>0.34135237801508139</v>
      </c>
      <c r="CZ148">
        <f t="shared" si="315"/>
        <v>0.27418908775196549</v>
      </c>
      <c r="DA148">
        <f t="shared" si="316"/>
        <v>0</v>
      </c>
      <c r="DB148">
        <f t="shared" si="317"/>
        <v>0</v>
      </c>
      <c r="DC148">
        <f t="shared" si="318"/>
        <v>0</v>
      </c>
      <c r="DD148">
        <f t="shared" si="319"/>
        <v>0</v>
      </c>
      <c r="DE148">
        <f t="shared" si="320"/>
        <v>9.5398360524386577E-2</v>
      </c>
      <c r="DF148">
        <f t="shared" si="321"/>
        <v>2.7598827025941103E-2</v>
      </c>
      <c r="DG148">
        <f t="shared" si="322"/>
        <v>0</v>
      </c>
      <c r="DH148">
        <f t="shared" si="323"/>
        <v>0</v>
      </c>
      <c r="DI148">
        <f t="shared" si="324"/>
        <v>0</v>
      </c>
      <c r="DJ148">
        <f t="shared" si="325"/>
        <v>0</v>
      </c>
      <c r="DK148">
        <f t="shared" si="326"/>
        <v>0</v>
      </c>
      <c r="DM148">
        <f t="shared" si="327"/>
        <v>2.9208322445465367</v>
      </c>
    </row>
    <row r="149" spans="1:117">
      <c r="A149" s="117" t="s">
        <v>327</v>
      </c>
      <c r="B149" s="117" t="s">
        <v>319</v>
      </c>
      <c r="C149" s="117">
        <v>2.6480000000000001</v>
      </c>
      <c r="F149" s="117">
        <v>6330</v>
      </c>
      <c r="G149" s="117">
        <v>3645</v>
      </c>
      <c r="H149" s="43">
        <f t="shared" si="329"/>
        <v>2.5831245420805289E+22</v>
      </c>
      <c r="I149" s="43">
        <f t="shared" si="330"/>
        <v>7.5448734541883164E+22</v>
      </c>
      <c r="J149" s="42">
        <f t="shared" si="331"/>
        <v>106.1024472</v>
      </c>
      <c r="K149" s="42">
        <f t="shared" si="211"/>
        <v>35.1813942</v>
      </c>
      <c r="L149" s="42">
        <f t="shared" si="212"/>
        <v>103.44001549361963</v>
      </c>
      <c r="M149" s="79">
        <f t="shared" si="332"/>
        <v>99.398259626105528</v>
      </c>
      <c r="O149" s="52" t="str">
        <f t="shared" si="333"/>
        <v>Basalt</v>
      </c>
      <c r="P149" s="117">
        <v>48.851275410531287</v>
      </c>
      <c r="R149" s="117">
        <v>2.554597721461453</v>
      </c>
      <c r="T149" s="117">
        <v>18.395250134095047</v>
      </c>
      <c r="V149" s="117">
        <v>0</v>
      </c>
      <c r="W149" s="117">
        <v>4.5281277533787696E-2</v>
      </c>
      <c r="X149" s="117">
        <v>0</v>
      </c>
      <c r="Y149" s="117">
        <v>10.840530362933949</v>
      </c>
      <c r="Z149" s="117">
        <v>12.114150670560811</v>
      </c>
      <c r="AE149" s="117">
        <v>3.1055321050621756</v>
      </c>
      <c r="AF149" s="117">
        <v>1.3654791327481883</v>
      </c>
      <c r="AI149" s="117">
        <v>0</v>
      </c>
      <c r="AM149" s="86">
        <f t="shared" si="213"/>
        <v>97.272096814926712</v>
      </c>
      <c r="AO149" s="71">
        <f t="shared" si="328"/>
        <v>1.5756682899408236</v>
      </c>
      <c r="AQ149" s="97" t="str">
        <f t="shared" si="187"/>
        <v>Basalt</v>
      </c>
      <c r="AR149" s="73">
        <f t="shared" si="188"/>
        <v>51.603741112237557</v>
      </c>
      <c r="AS149" s="73">
        <f t="shared" si="189"/>
        <v>0</v>
      </c>
      <c r="AT149" s="73">
        <f t="shared" si="190"/>
        <v>2.029135019642978</v>
      </c>
      <c r="AU149" s="73">
        <f t="shared" si="191"/>
        <v>0</v>
      </c>
      <c r="AV149" s="73">
        <f t="shared" si="192"/>
        <v>11.45014735703184</v>
      </c>
      <c r="AW149" s="73">
        <f t="shared" si="193"/>
        <v>0</v>
      </c>
      <c r="AX149" s="73">
        <f t="shared" si="194"/>
        <v>0</v>
      </c>
      <c r="AY149" s="73">
        <f t="shared" si="195"/>
        <v>3.9996971057679263E-2</v>
      </c>
      <c r="AZ149" s="73">
        <f t="shared" si="196"/>
        <v>0</v>
      </c>
      <c r="BA149" s="73">
        <f t="shared" si="197"/>
        <v>17.06761890075407</v>
      </c>
      <c r="BB149" s="73">
        <f t="shared" si="198"/>
        <v>13.709454387598274</v>
      </c>
      <c r="BC149" s="73">
        <f t="shared" si="199"/>
        <v>0</v>
      </c>
      <c r="BD149" s="73">
        <f t="shared" si="200"/>
        <v>0</v>
      </c>
      <c r="BE149" s="73">
        <f t="shared" si="201"/>
        <v>0</v>
      </c>
      <c r="BF149" s="73">
        <f t="shared" si="202"/>
        <v>0</v>
      </c>
      <c r="BG149" s="73">
        <f t="shared" si="203"/>
        <v>3.1799453508128859</v>
      </c>
      <c r="BH149" s="73">
        <f t="shared" si="204"/>
        <v>0.91996090086470339</v>
      </c>
      <c r="BI149" s="73">
        <f t="shared" si="205"/>
        <v>0</v>
      </c>
      <c r="BJ149" s="73">
        <f t="shared" si="206"/>
        <v>0</v>
      </c>
      <c r="BK149" s="73">
        <f t="shared" si="207"/>
        <v>0</v>
      </c>
      <c r="BL149" s="73">
        <f t="shared" si="208"/>
        <v>0</v>
      </c>
      <c r="BM149" s="73">
        <f t="shared" si="209"/>
        <v>0</v>
      </c>
      <c r="BN149" s="73">
        <f t="shared" si="210"/>
        <v>0</v>
      </c>
      <c r="BQ149">
        <f t="shared" si="260"/>
        <v>31.003527660232322</v>
      </c>
      <c r="BR149">
        <f t="shared" si="261"/>
        <v>0</v>
      </c>
      <c r="BS149">
        <f t="shared" si="262"/>
        <v>1.6212788806947396</v>
      </c>
      <c r="BT149">
        <f t="shared" si="263"/>
        <v>0</v>
      </c>
      <c r="BU149">
        <f t="shared" si="264"/>
        <v>11.674570245229663</v>
      </c>
      <c r="BV149">
        <f t="shared" si="265"/>
        <v>0</v>
      </c>
      <c r="BW149">
        <f t="shared" si="266"/>
        <v>0</v>
      </c>
      <c r="BX149">
        <f t="shared" si="267"/>
        <v>2.8737823704942548E-2</v>
      </c>
      <c r="BY149">
        <f t="shared" si="268"/>
        <v>0</v>
      </c>
      <c r="BZ149">
        <f t="shared" si="269"/>
        <v>6.8799571788939655</v>
      </c>
      <c r="CA149">
        <f t="shared" si="270"/>
        <v>7.6882620205651122</v>
      </c>
      <c r="CB149">
        <f t="shared" si="271"/>
        <v>0</v>
      </c>
      <c r="CC149">
        <f t="shared" si="272"/>
        <v>0</v>
      </c>
      <c r="CD149">
        <f t="shared" si="273"/>
        <v>0</v>
      </c>
      <c r="CE149">
        <f t="shared" si="274"/>
        <v>0</v>
      </c>
      <c r="CF149">
        <f t="shared" si="275"/>
        <v>1.9709301284338265</v>
      </c>
      <c r="CG149">
        <f t="shared" si="276"/>
        <v>0.86660316861455056</v>
      </c>
      <c r="CH149">
        <f t="shared" si="277"/>
        <v>0</v>
      </c>
      <c r="CI149">
        <f t="shared" si="278"/>
        <v>0</v>
      </c>
      <c r="CJ149">
        <f t="shared" si="279"/>
        <v>0</v>
      </c>
      <c r="CK149">
        <f t="shared" si="280"/>
        <v>0</v>
      </c>
      <c r="CL149">
        <f t="shared" si="281"/>
        <v>0</v>
      </c>
      <c r="CN149">
        <f t="shared" si="236"/>
        <v>61.733867106369132</v>
      </c>
      <c r="CP149">
        <f t="shared" si="305"/>
        <v>1.5481122333671267</v>
      </c>
      <c r="CQ149">
        <f t="shared" si="306"/>
        <v>0</v>
      </c>
      <c r="CR149">
        <f t="shared" si="307"/>
        <v>6.0874050589289345E-2</v>
      </c>
      <c r="CS149">
        <f t="shared" si="308"/>
        <v>0</v>
      </c>
      <c r="CT149">
        <f t="shared" si="309"/>
        <v>0.57250736785159195</v>
      </c>
      <c r="CU149">
        <f t="shared" si="310"/>
        <v>0</v>
      </c>
      <c r="CV149">
        <f t="shared" si="311"/>
        <v>0</v>
      </c>
      <c r="CW149">
        <f t="shared" si="312"/>
        <v>7.9993942115358526E-4</v>
      </c>
      <c r="CX149">
        <f t="shared" si="313"/>
        <v>0</v>
      </c>
      <c r="CY149">
        <f t="shared" si="314"/>
        <v>0.34135237801508139</v>
      </c>
      <c r="CZ149">
        <f t="shared" si="315"/>
        <v>0.27418908775196549</v>
      </c>
      <c r="DA149">
        <f t="shared" si="316"/>
        <v>0</v>
      </c>
      <c r="DB149">
        <f t="shared" si="317"/>
        <v>0</v>
      </c>
      <c r="DC149">
        <f t="shared" si="318"/>
        <v>0</v>
      </c>
      <c r="DD149">
        <f t="shared" si="319"/>
        <v>0</v>
      </c>
      <c r="DE149">
        <f t="shared" si="320"/>
        <v>9.5398360524386577E-2</v>
      </c>
      <c r="DF149">
        <f t="shared" si="321"/>
        <v>2.7598827025941103E-2</v>
      </c>
      <c r="DG149">
        <f t="shared" si="322"/>
        <v>0</v>
      </c>
      <c r="DH149">
        <f t="shared" si="323"/>
        <v>0</v>
      </c>
      <c r="DI149">
        <f t="shared" si="324"/>
        <v>0</v>
      </c>
      <c r="DJ149">
        <f t="shared" si="325"/>
        <v>0</v>
      </c>
      <c r="DK149">
        <f t="shared" si="326"/>
        <v>0</v>
      </c>
      <c r="DM149">
        <f t="shared" si="327"/>
        <v>2.9208322445465367</v>
      </c>
    </row>
    <row r="150" spans="1:117">
      <c r="A150" s="117" t="s">
        <v>327</v>
      </c>
      <c r="B150" s="117" t="s">
        <v>332</v>
      </c>
      <c r="C150" s="117">
        <v>2.677</v>
      </c>
      <c r="F150" s="117">
        <v>6232</v>
      </c>
      <c r="G150" s="117">
        <v>3558</v>
      </c>
      <c r="H150" s="43">
        <f t="shared" si="329"/>
        <v>2.6229032426300712E+22</v>
      </c>
      <c r="I150" s="43">
        <f t="shared" si="330"/>
        <v>7.53286834392521E+22</v>
      </c>
      <c r="J150" s="42">
        <f t="shared" si="331"/>
        <v>103.96885484800001</v>
      </c>
      <c r="K150" s="42">
        <f t="shared" si="211"/>
        <v>33.889117428000006</v>
      </c>
      <c r="L150" s="42">
        <f t="shared" si="212"/>
        <v>99.530782127969985</v>
      </c>
      <c r="M150" s="79">
        <f t="shared" si="332"/>
        <v>95.531208467758546</v>
      </c>
      <c r="O150" s="52" t="str">
        <f t="shared" si="333"/>
        <v>Tephrite</v>
      </c>
      <c r="P150" s="117">
        <v>50.25381830447693</v>
      </c>
      <c r="R150" s="117">
        <v>2.3347190057021816</v>
      </c>
      <c r="T150" s="117">
        <v>13.893056529145809</v>
      </c>
      <c r="V150" s="117">
        <v>0</v>
      </c>
      <c r="W150" s="117">
        <v>0</v>
      </c>
      <c r="X150" s="117">
        <v>0</v>
      </c>
      <c r="Y150" s="117">
        <v>8.705711703370687</v>
      </c>
      <c r="Z150" s="117">
        <v>14.854057755208181</v>
      </c>
      <c r="AE150" s="117">
        <v>6.9755389648843611</v>
      </c>
      <c r="AF150" s="117">
        <v>2.9830977372118594</v>
      </c>
      <c r="AI150" s="117">
        <v>0</v>
      </c>
      <c r="AM150" s="86">
        <f t="shared" si="213"/>
        <v>100.00000000000001</v>
      </c>
      <c r="AO150" s="71">
        <f t="shared" si="328"/>
        <v>1.6269831353993907</v>
      </c>
      <c r="AQ150" s="97" t="str">
        <f t="shared" ref="AQ150:AQ202" si="334">O150</f>
        <v>Tephrite</v>
      </c>
      <c r="AR150" s="73">
        <f t="shared" ref="AR150:AR188" si="335">100*P150/$AR$3/$AO150</f>
        <v>51.41100455869644</v>
      </c>
      <c r="AS150" s="73">
        <f t="shared" ref="AS150:AS188" si="336">100*Q150/$AS$3/$AO150</f>
        <v>0</v>
      </c>
      <c r="AT150" s="73">
        <f t="shared" ref="AT150:AT188" si="337">100*R150/$AT$3/$AO150</f>
        <v>1.7959936140100328</v>
      </c>
      <c r="AU150" s="73">
        <f t="shared" ref="AU150:AU188" si="338">100*S150/$AU$3/$AO150</f>
        <v>0</v>
      </c>
      <c r="AV150" s="73">
        <f t="shared" ref="AV150:AV188" si="339">100*T150/$AV$3/$AO150</f>
        <v>8.3750021029350634</v>
      </c>
      <c r="AW150" s="73">
        <f t="shared" ref="AW150:AW188" si="340">100*U150/$AW$3/$AO150</f>
        <v>0</v>
      </c>
      <c r="AX150" s="73">
        <f t="shared" ref="AX150:AX188" si="341">100*V150/$AX$3/$AO150</f>
        <v>0</v>
      </c>
      <c r="AY150" s="73">
        <f t="shared" ref="AY150:AY188" si="342">100*W150/$AY$3/$AO150</f>
        <v>0</v>
      </c>
      <c r="AZ150" s="73">
        <f t="shared" ref="AZ150:AZ188" si="343">100*X150/$AZ$3/$AO150</f>
        <v>0</v>
      </c>
      <c r="BA150" s="73">
        <f t="shared" ref="BA150:BA188" si="344">100*Y150/$BA$3/$AO150</f>
        <v>13.274202287827809</v>
      </c>
      <c r="BB150" s="73">
        <f t="shared" ref="BB150:BB188" si="345">100*Z150/$BB$3/$AO150</f>
        <v>16.279986933584212</v>
      </c>
      <c r="BC150" s="73">
        <f t="shared" ref="BC150:BC188" si="346">100*AA150/$BC$3/$AO150</f>
        <v>0</v>
      </c>
      <c r="BD150" s="73">
        <f t="shared" ref="BD150:BD188" si="347">100*AB150/$BD$3/$AO150</f>
        <v>0</v>
      </c>
      <c r="BE150" s="73">
        <f t="shared" ref="BE150:BE188" si="348">100*AC150/$BE$3/$AO150</f>
        <v>0</v>
      </c>
      <c r="BF150" s="73">
        <f t="shared" ref="BF150:BF188" si="349">100*AD150/$BF$3/$AO150</f>
        <v>0</v>
      </c>
      <c r="BG150" s="73">
        <f t="shared" ref="BG150:BG188" si="350">100*AE150/$BG$3/$AO150</f>
        <v>6.9174040819043157</v>
      </c>
      <c r="BH150" s="73">
        <f t="shared" ref="BH150:BH188" si="351">100*AF150/$BH$3/$AO150</f>
        <v>1.9464064210421357</v>
      </c>
      <c r="BI150" s="73">
        <f t="shared" ref="BI150:BI188" si="352">100*AG150/$BI$3/$AO150</f>
        <v>0</v>
      </c>
      <c r="BJ150" s="73">
        <f t="shared" ref="BJ150:BJ188" si="353">100*AH150/$BJ$3/$AO150</f>
        <v>0</v>
      </c>
      <c r="BK150" s="73">
        <f t="shared" ref="BK150:BK188" si="354">100*AI150/$BK$3/$AO150</f>
        <v>0</v>
      </c>
      <c r="BL150" s="73">
        <f t="shared" ref="BL150:BL188" si="355">100*AJ150/$BL$3/$AO150</f>
        <v>0</v>
      </c>
      <c r="BM150" s="73">
        <f t="shared" ref="BM150:BM188" si="356">100*AK150/$BM$3/$AO150</f>
        <v>0</v>
      </c>
      <c r="BN150" s="73">
        <f t="shared" ref="BN150:BN188" si="357">100*AL150/$BN$3/$AO150</f>
        <v>0</v>
      </c>
      <c r="BQ150">
        <f t="shared" si="260"/>
        <v>30.88773153886482</v>
      </c>
      <c r="BR150">
        <f t="shared" si="261"/>
        <v>0</v>
      </c>
      <c r="BS150">
        <f t="shared" si="262"/>
        <v>1.4349988975940162</v>
      </c>
      <c r="BT150">
        <f t="shared" si="263"/>
        <v>0</v>
      </c>
      <c r="BU150">
        <f t="shared" si="264"/>
        <v>8.5391521441525899</v>
      </c>
      <c r="BV150">
        <f t="shared" si="265"/>
        <v>0</v>
      </c>
      <c r="BW150">
        <f t="shared" si="266"/>
        <v>0</v>
      </c>
      <c r="BX150">
        <f t="shared" si="267"/>
        <v>0</v>
      </c>
      <c r="BY150">
        <f t="shared" si="268"/>
        <v>0</v>
      </c>
      <c r="BZ150">
        <f t="shared" si="269"/>
        <v>5.3508309422233893</v>
      </c>
      <c r="CA150">
        <f t="shared" si="270"/>
        <v>9.1298166723540248</v>
      </c>
      <c r="CB150">
        <f t="shared" si="271"/>
        <v>0</v>
      </c>
      <c r="CC150">
        <f t="shared" si="272"/>
        <v>0</v>
      </c>
      <c r="CD150">
        <f t="shared" si="273"/>
        <v>0</v>
      </c>
      <c r="CE150">
        <f t="shared" si="274"/>
        <v>0</v>
      </c>
      <c r="CF150">
        <f t="shared" si="275"/>
        <v>4.2874070499642949</v>
      </c>
      <c r="CG150">
        <f t="shared" si="276"/>
        <v>1.8335148486216919</v>
      </c>
      <c r="CH150">
        <f t="shared" si="277"/>
        <v>0</v>
      </c>
      <c r="CI150">
        <f t="shared" si="278"/>
        <v>0</v>
      </c>
      <c r="CJ150">
        <f t="shared" si="279"/>
        <v>0</v>
      </c>
      <c r="CK150">
        <f t="shared" si="280"/>
        <v>0</v>
      </c>
      <c r="CL150">
        <f t="shared" si="281"/>
        <v>0</v>
      </c>
      <c r="CN150">
        <f t="shared" si="236"/>
        <v>61.463452093774819</v>
      </c>
      <c r="CP150">
        <f t="shared" si="305"/>
        <v>1.542330136760893</v>
      </c>
      <c r="CQ150">
        <f t="shared" si="306"/>
        <v>0</v>
      </c>
      <c r="CR150">
        <f t="shared" si="307"/>
        <v>5.3879808420300976E-2</v>
      </c>
      <c r="CS150">
        <f t="shared" si="308"/>
        <v>0</v>
      </c>
      <c r="CT150">
        <f t="shared" si="309"/>
        <v>0.4187501051467532</v>
      </c>
      <c r="CU150">
        <f t="shared" si="310"/>
        <v>0</v>
      </c>
      <c r="CV150">
        <f t="shared" si="311"/>
        <v>0</v>
      </c>
      <c r="CW150">
        <f t="shared" si="312"/>
        <v>0</v>
      </c>
      <c r="CX150">
        <f t="shared" si="313"/>
        <v>0</v>
      </c>
      <c r="CY150">
        <f t="shared" si="314"/>
        <v>0.26548404575655615</v>
      </c>
      <c r="CZ150">
        <f t="shared" si="315"/>
        <v>0.32559973867168424</v>
      </c>
      <c r="DA150">
        <f t="shared" si="316"/>
        <v>0</v>
      </c>
      <c r="DB150">
        <f t="shared" si="317"/>
        <v>0</v>
      </c>
      <c r="DC150">
        <f t="shared" si="318"/>
        <v>0</v>
      </c>
      <c r="DD150">
        <f t="shared" si="319"/>
        <v>0</v>
      </c>
      <c r="DE150">
        <f t="shared" si="320"/>
        <v>0.20752212245712948</v>
      </c>
      <c r="DF150">
        <f t="shared" si="321"/>
        <v>5.8392192631264071E-2</v>
      </c>
      <c r="DG150">
        <f t="shared" si="322"/>
        <v>0</v>
      </c>
      <c r="DH150">
        <f t="shared" si="323"/>
        <v>0</v>
      </c>
      <c r="DI150">
        <f t="shared" si="324"/>
        <v>0</v>
      </c>
      <c r="DJ150">
        <f t="shared" si="325"/>
        <v>0</v>
      </c>
      <c r="DK150">
        <f t="shared" si="326"/>
        <v>0</v>
      </c>
      <c r="DM150">
        <f t="shared" si="327"/>
        <v>2.871958149844581</v>
      </c>
    </row>
    <row r="151" spans="1:117">
      <c r="A151" s="117" t="s">
        <v>327</v>
      </c>
      <c r="B151" s="117" t="s">
        <v>332</v>
      </c>
      <c r="C151" s="117">
        <v>2.6850000000000001</v>
      </c>
      <c r="F151" s="117">
        <v>6254</v>
      </c>
      <c r="G151" s="117">
        <v>3580</v>
      </c>
      <c r="H151" s="43">
        <f t="shared" si="329"/>
        <v>2.6307415788052822E+22</v>
      </c>
      <c r="I151" s="43">
        <f t="shared" si="330"/>
        <v>7.5553797173848299E+22</v>
      </c>
      <c r="J151" s="42">
        <f t="shared" si="331"/>
        <v>105.01710546000001</v>
      </c>
      <c r="K151" s="42">
        <f t="shared" si="211"/>
        <v>34.412033999999998</v>
      </c>
      <c r="L151" s="42">
        <f t="shared" si="212"/>
        <v>101.09314686927878</v>
      </c>
      <c r="M151" s="79">
        <f t="shared" si="332"/>
        <v>97.081620803657671</v>
      </c>
      <c r="O151" s="52" t="str">
        <f t="shared" si="333"/>
        <v>Tephrite</v>
      </c>
      <c r="P151" s="117">
        <v>49.807894347842513</v>
      </c>
      <c r="R151" s="117">
        <v>2.3140020299224617</v>
      </c>
      <c r="T151" s="117">
        <v>13.769777404369922</v>
      </c>
      <c r="V151" s="117">
        <v>0</v>
      </c>
      <c r="W151" s="117">
        <v>0</v>
      </c>
      <c r="X151" s="117">
        <v>0</v>
      </c>
      <c r="Y151" s="117">
        <v>8.6284621422614212</v>
      </c>
      <c r="Z151" s="117">
        <v>14.722251249160291</v>
      </c>
      <c r="AE151" s="117">
        <v>6.9136419779522917</v>
      </c>
      <c r="AF151" s="117">
        <v>2.9566274153361145</v>
      </c>
      <c r="AI151" s="117">
        <v>0</v>
      </c>
      <c r="AM151" s="86">
        <f t="shared" si="213"/>
        <v>99.112656566845033</v>
      </c>
      <c r="AO151" s="71">
        <f t="shared" si="328"/>
        <v>1.612546207388885</v>
      </c>
      <c r="AQ151" s="97" t="str">
        <f t="shared" si="334"/>
        <v>Tephrite</v>
      </c>
      <c r="AR151" s="73">
        <f t="shared" si="335"/>
        <v>51.41100455869644</v>
      </c>
      <c r="AS151" s="73">
        <f t="shared" si="336"/>
        <v>0</v>
      </c>
      <c r="AT151" s="73">
        <f t="shared" si="337"/>
        <v>1.7959936140100325</v>
      </c>
      <c r="AU151" s="73">
        <f t="shared" si="338"/>
        <v>0</v>
      </c>
      <c r="AV151" s="73">
        <f t="shared" si="339"/>
        <v>8.3750021029350616</v>
      </c>
      <c r="AW151" s="73">
        <f t="shared" si="340"/>
        <v>0</v>
      </c>
      <c r="AX151" s="73">
        <f t="shared" si="341"/>
        <v>0</v>
      </c>
      <c r="AY151" s="73">
        <f t="shared" si="342"/>
        <v>0</v>
      </c>
      <c r="AZ151" s="73">
        <f t="shared" si="343"/>
        <v>0</v>
      </c>
      <c r="BA151" s="73">
        <f t="shared" si="344"/>
        <v>13.274202287827809</v>
      </c>
      <c r="BB151" s="73">
        <f t="shared" si="345"/>
        <v>16.279986933584208</v>
      </c>
      <c r="BC151" s="73">
        <f t="shared" si="346"/>
        <v>0</v>
      </c>
      <c r="BD151" s="73">
        <f t="shared" si="347"/>
        <v>0</v>
      </c>
      <c r="BE151" s="73">
        <f t="shared" si="348"/>
        <v>0</v>
      </c>
      <c r="BF151" s="73">
        <f t="shared" si="349"/>
        <v>0</v>
      </c>
      <c r="BG151" s="73">
        <f t="shared" si="350"/>
        <v>6.9174040819043165</v>
      </c>
      <c r="BH151" s="73">
        <f t="shared" si="351"/>
        <v>1.9464064210421352</v>
      </c>
      <c r="BI151" s="73">
        <f t="shared" si="352"/>
        <v>0</v>
      </c>
      <c r="BJ151" s="73">
        <f t="shared" si="353"/>
        <v>0</v>
      </c>
      <c r="BK151" s="73">
        <f t="shared" si="354"/>
        <v>0</v>
      </c>
      <c r="BL151" s="73">
        <f t="shared" si="355"/>
        <v>0</v>
      </c>
      <c r="BM151" s="73">
        <f t="shared" si="356"/>
        <v>0</v>
      </c>
      <c r="BN151" s="73">
        <f t="shared" si="357"/>
        <v>0</v>
      </c>
      <c r="BQ151">
        <f t="shared" si="260"/>
        <v>30.88773153886482</v>
      </c>
      <c r="BR151">
        <f t="shared" si="261"/>
        <v>0</v>
      </c>
      <c r="BS151">
        <f t="shared" si="262"/>
        <v>1.4349988975940162</v>
      </c>
      <c r="BT151">
        <f t="shared" si="263"/>
        <v>0</v>
      </c>
      <c r="BU151">
        <f t="shared" si="264"/>
        <v>8.5391521441525882</v>
      </c>
      <c r="BV151">
        <f t="shared" si="265"/>
        <v>0</v>
      </c>
      <c r="BW151">
        <f t="shared" si="266"/>
        <v>0</v>
      </c>
      <c r="BX151">
        <f t="shared" si="267"/>
        <v>0</v>
      </c>
      <c r="BY151">
        <f t="shared" si="268"/>
        <v>0</v>
      </c>
      <c r="BZ151">
        <f t="shared" si="269"/>
        <v>5.3508309422233893</v>
      </c>
      <c r="CA151">
        <f t="shared" si="270"/>
        <v>9.1298166723540248</v>
      </c>
      <c r="CB151">
        <f t="shared" si="271"/>
        <v>0</v>
      </c>
      <c r="CC151">
        <f t="shared" si="272"/>
        <v>0</v>
      </c>
      <c r="CD151">
        <f t="shared" si="273"/>
        <v>0</v>
      </c>
      <c r="CE151">
        <f t="shared" si="274"/>
        <v>0</v>
      </c>
      <c r="CF151">
        <f t="shared" si="275"/>
        <v>4.2874070499642949</v>
      </c>
      <c r="CG151">
        <f t="shared" si="276"/>
        <v>1.8335148486216917</v>
      </c>
      <c r="CH151">
        <f t="shared" si="277"/>
        <v>0</v>
      </c>
      <c r="CI151">
        <f t="shared" si="278"/>
        <v>0</v>
      </c>
      <c r="CJ151">
        <f t="shared" si="279"/>
        <v>0</v>
      </c>
      <c r="CK151">
        <f t="shared" si="280"/>
        <v>0</v>
      </c>
      <c r="CL151">
        <f t="shared" si="281"/>
        <v>0</v>
      </c>
      <c r="CN151">
        <f t="shared" si="236"/>
        <v>61.463452093774819</v>
      </c>
      <c r="CP151">
        <f t="shared" si="305"/>
        <v>1.542330136760893</v>
      </c>
      <c r="CQ151">
        <f t="shared" si="306"/>
        <v>0</v>
      </c>
      <c r="CR151">
        <f t="shared" si="307"/>
        <v>5.3879808420300976E-2</v>
      </c>
      <c r="CS151">
        <f t="shared" si="308"/>
        <v>0</v>
      </c>
      <c r="CT151">
        <f t="shared" si="309"/>
        <v>0.41875010514675304</v>
      </c>
      <c r="CU151">
        <f t="shared" si="310"/>
        <v>0</v>
      </c>
      <c r="CV151">
        <f t="shared" si="311"/>
        <v>0</v>
      </c>
      <c r="CW151">
        <f t="shared" si="312"/>
        <v>0</v>
      </c>
      <c r="CX151">
        <f t="shared" si="313"/>
        <v>0</v>
      </c>
      <c r="CY151">
        <f t="shared" si="314"/>
        <v>0.26548404575655615</v>
      </c>
      <c r="CZ151">
        <f t="shared" si="315"/>
        <v>0.32559973867168418</v>
      </c>
      <c r="DA151">
        <f t="shared" si="316"/>
        <v>0</v>
      </c>
      <c r="DB151">
        <f t="shared" si="317"/>
        <v>0</v>
      </c>
      <c r="DC151">
        <f t="shared" si="318"/>
        <v>0</v>
      </c>
      <c r="DD151">
        <f t="shared" si="319"/>
        <v>0</v>
      </c>
      <c r="DE151">
        <f t="shared" si="320"/>
        <v>0.20752212245712948</v>
      </c>
      <c r="DF151">
        <f t="shared" si="321"/>
        <v>5.8392192631264064E-2</v>
      </c>
      <c r="DG151">
        <f t="shared" si="322"/>
        <v>0</v>
      </c>
      <c r="DH151">
        <f t="shared" si="323"/>
        <v>0</v>
      </c>
      <c r="DI151">
        <f t="shared" si="324"/>
        <v>0</v>
      </c>
      <c r="DJ151">
        <f t="shared" si="325"/>
        <v>0</v>
      </c>
      <c r="DK151">
        <f t="shared" si="326"/>
        <v>0</v>
      </c>
      <c r="DM151">
        <f t="shared" si="327"/>
        <v>2.871958149844581</v>
      </c>
    </row>
    <row r="152" spans="1:117">
      <c r="A152" s="117" t="s">
        <v>327</v>
      </c>
      <c r="B152" s="117" t="s">
        <v>332</v>
      </c>
      <c r="C152" s="117">
        <v>2.661</v>
      </c>
      <c r="F152" s="117">
        <v>6265</v>
      </c>
      <c r="G152" s="117">
        <v>3580</v>
      </c>
      <c r="H152" s="43">
        <f t="shared" si="329"/>
        <v>2.6072265702796482E+22</v>
      </c>
      <c r="I152" s="43">
        <f t="shared" si="330"/>
        <v>7.4878455970059711E+22</v>
      </c>
      <c r="J152" s="42">
        <f t="shared" si="331"/>
        <v>104.444848725</v>
      </c>
      <c r="K152" s="42">
        <f t="shared" ref="K152:K201" si="358">(C152*G152^2)/1000000</f>
        <v>34.104440400000001</v>
      </c>
      <c r="L152" s="42">
        <f t="shared" ref="L152:L201" si="359">3*K152 + 2*(0.0001 - H152*$G$2*$J$2)/100</f>
        <v>100.18952099335229</v>
      </c>
      <c r="M152" s="79">
        <f t="shared" si="332"/>
        <v>96.213852143960196</v>
      </c>
      <c r="O152" s="52" t="str">
        <f t="shared" si="333"/>
        <v>Tephrite</v>
      </c>
      <c r="P152" s="117">
        <v>49.807894347842513</v>
      </c>
      <c r="R152" s="117">
        <v>2.3140020299224617</v>
      </c>
      <c r="T152" s="117">
        <v>13.769777404369922</v>
      </c>
      <c r="V152" s="117">
        <v>0</v>
      </c>
      <c r="W152" s="117">
        <v>0</v>
      </c>
      <c r="X152" s="117">
        <v>0</v>
      </c>
      <c r="Y152" s="117">
        <v>8.6284621422614212</v>
      </c>
      <c r="Z152" s="117">
        <v>14.722251249160291</v>
      </c>
      <c r="AE152" s="117">
        <v>6.9136419779522917</v>
      </c>
      <c r="AF152" s="117">
        <v>2.9566274153361145</v>
      </c>
      <c r="AI152" s="117">
        <v>0</v>
      </c>
      <c r="AM152" s="86">
        <f t="shared" ref="AM152:AM203" si="360">SUM(P152:AI152)</f>
        <v>99.112656566845033</v>
      </c>
      <c r="AO152" s="71">
        <f t="shared" si="328"/>
        <v>1.612546207388885</v>
      </c>
      <c r="AQ152" s="97" t="str">
        <f t="shared" si="334"/>
        <v>Tephrite</v>
      </c>
      <c r="AR152" s="73">
        <f t="shared" si="335"/>
        <v>51.41100455869644</v>
      </c>
      <c r="AS152" s="73">
        <f t="shared" si="336"/>
        <v>0</v>
      </c>
      <c r="AT152" s="73">
        <f t="shared" si="337"/>
        <v>1.7959936140100325</v>
      </c>
      <c r="AU152" s="73">
        <f t="shared" si="338"/>
        <v>0</v>
      </c>
      <c r="AV152" s="73">
        <f t="shared" si="339"/>
        <v>8.3750021029350616</v>
      </c>
      <c r="AW152" s="73">
        <f t="shared" si="340"/>
        <v>0</v>
      </c>
      <c r="AX152" s="73">
        <f t="shared" si="341"/>
        <v>0</v>
      </c>
      <c r="AY152" s="73">
        <f t="shared" si="342"/>
        <v>0</v>
      </c>
      <c r="AZ152" s="73">
        <f t="shared" si="343"/>
        <v>0</v>
      </c>
      <c r="BA152" s="73">
        <f t="shared" si="344"/>
        <v>13.274202287827809</v>
      </c>
      <c r="BB152" s="73">
        <f t="shared" si="345"/>
        <v>16.279986933584208</v>
      </c>
      <c r="BC152" s="73">
        <f t="shared" si="346"/>
        <v>0</v>
      </c>
      <c r="BD152" s="73">
        <f t="shared" si="347"/>
        <v>0</v>
      </c>
      <c r="BE152" s="73">
        <f t="shared" si="348"/>
        <v>0</v>
      </c>
      <c r="BF152" s="73">
        <f t="shared" si="349"/>
        <v>0</v>
      </c>
      <c r="BG152" s="73">
        <f t="shared" si="350"/>
        <v>6.9174040819043165</v>
      </c>
      <c r="BH152" s="73">
        <f t="shared" si="351"/>
        <v>1.9464064210421352</v>
      </c>
      <c r="BI152" s="73">
        <f t="shared" si="352"/>
        <v>0</v>
      </c>
      <c r="BJ152" s="73">
        <f t="shared" si="353"/>
        <v>0</v>
      </c>
      <c r="BK152" s="73">
        <f t="shared" si="354"/>
        <v>0</v>
      </c>
      <c r="BL152" s="73">
        <f t="shared" si="355"/>
        <v>0</v>
      </c>
      <c r="BM152" s="73">
        <f t="shared" si="356"/>
        <v>0</v>
      </c>
      <c r="BN152" s="73">
        <f t="shared" si="357"/>
        <v>0</v>
      </c>
      <c r="BQ152">
        <f t="shared" si="260"/>
        <v>30.88773153886482</v>
      </c>
      <c r="BR152">
        <f t="shared" si="261"/>
        <v>0</v>
      </c>
      <c r="BS152">
        <f t="shared" si="262"/>
        <v>1.4349988975940162</v>
      </c>
      <c r="BT152">
        <f t="shared" si="263"/>
        <v>0</v>
      </c>
      <c r="BU152">
        <f t="shared" si="264"/>
        <v>8.5391521441525882</v>
      </c>
      <c r="BV152">
        <f t="shared" si="265"/>
        <v>0</v>
      </c>
      <c r="BW152">
        <f t="shared" si="266"/>
        <v>0</v>
      </c>
      <c r="BX152">
        <f t="shared" si="267"/>
        <v>0</v>
      </c>
      <c r="BY152">
        <f t="shared" si="268"/>
        <v>0</v>
      </c>
      <c r="BZ152">
        <f t="shared" si="269"/>
        <v>5.3508309422233893</v>
      </c>
      <c r="CA152">
        <f t="shared" si="270"/>
        <v>9.1298166723540248</v>
      </c>
      <c r="CB152">
        <f t="shared" si="271"/>
        <v>0</v>
      </c>
      <c r="CC152">
        <f t="shared" si="272"/>
        <v>0</v>
      </c>
      <c r="CD152">
        <f t="shared" si="273"/>
        <v>0</v>
      </c>
      <c r="CE152">
        <f t="shared" si="274"/>
        <v>0</v>
      </c>
      <c r="CF152">
        <f t="shared" si="275"/>
        <v>4.2874070499642949</v>
      </c>
      <c r="CG152">
        <f t="shared" si="276"/>
        <v>1.8335148486216917</v>
      </c>
      <c r="CH152">
        <f t="shared" si="277"/>
        <v>0</v>
      </c>
      <c r="CI152">
        <f t="shared" si="278"/>
        <v>0</v>
      </c>
      <c r="CJ152">
        <f t="shared" si="279"/>
        <v>0</v>
      </c>
      <c r="CK152">
        <f t="shared" si="280"/>
        <v>0</v>
      </c>
      <c r="CL152">
        <f t="shared" si="281"/>
        <v>0</v>
      </c>
      <c r="CN152">
        <f t="shared" si="236"/>
        <v>61.463452093774819</v>
      </c>
      <c r="CP152">
        <f t="shared" si="305"/>
        <v>1.542330136760893</v>
      </c>
      <c r="CQ152">
        <f t="shared" si="306"/>
        <v>0</v>
      </c>
      <c r="CR152">
        <f t="shared" si="307"/>
        <v>5.3879808420300976E-2</v>
      </c>
      <c r="CS152">
        <f t="shared" si="308"/>
        <v>0</v>
      </c>
      <c r="CT152">
        <f t="shared" si="309"/>
        <v>0.41875010514675304</v>
      </c>
      <c r="CU152">
        <f t="shared" si="310"/>
        <v>0</v>
      </c>
      <c r="CV152">
        <f t="shared" si="311"/>
        <v>0</v>
      </c>
      <c r="CW152">
        <f t="shared" si="312"/>
        <v>0</v>
      </c>
      <c r="CX152">
        <f t="shared" si="313"/>
        <v>0</v>
      </c>
      <c r="CY152">
        <f t="shared" si="314"/>
        <v>0.26548404575655615</v>
      </c>
      <c r="CZ152">
        <f t="shared" si="315"/>
        <v>0.32559973867168418</v>
      </c>
      <c r="DA152">
        <f t="shared" si="316"/>
        <v>0</v>
      </c>
      <c r="DB152">
        <f t="shared" si="317"/>
        <v>0</v>
      </c>
      <c r="DC152">
        <f t="shared" si="318"/>
        <v>0</v>
      </c>
      <c r="DD152">
        <f t="shared" si="319"/>
        <v>0</v>
      </c>
      <c r="DE152">
        <f t="shared" si="320"/>
        <v>0.20752212245712948</v>
      </c>
      <c r="DF152">
        <f t="shared" si="321"/>
        <v>5.8392192631264064E-2</v>
      </c>
      <c r="DG152">
        <f t="shared" si="322"/>
        <v>0</v>
      </c>
      <c r="DH152">
        <f t="shared" si="323"/>
        <v>0</v>
      </c>
      <c r="DI152">
        <f t="shared" si="324"/>
        <v>0</v>
      </c>
      <c r="DJ152">
        <f t="shared" si="325"/>
        <v>0</v>
      </c>
      <c r="DK152">
        <f t="shared" si="326"/>
        <v>0</v>
      </c>
      <c r="DM152">
        <f t="shared" si="327"/>
        <v>2.871958149844581</v>
      </c>
    </row>
    <row r="153" spans="1:117">
      <c r="A153" s="117" t="s">
        <v>327</v>
      </c>
      <c r="B153" s="117" t="s">
        <v>332</v>
      </c>
      <c r="C153" s="117">
        <v>2.677</v>
      </c>
      <c r="F153" s="117">
        <v>6276</v>
      </c>
      <c r="G153" s="117">
        <v>3602</v>
      </c>
      <c r="H153" s="43">
        <f t="shared" si="329"/>
        <v>2.6229032426300712E+22</v>
      </c>
      <c r="I153" s="43">
        <f t="shared" si="330"/>
        <v>7.53286834392521E+22</v>
      </c>
      <c r="J153" s="42">
        <f t="shared" si="331"/>
        <v>105.44214715199999</v>
      </c>
      <c r="K153" s="42">
        <f t="shared" si="358"/>
        <v>34.732479508000004</v>
      </c>
      <c r="L153" s="42">
        <f t="shared" si="359"/>
        <v>102.06086836796996</v>
      </c>
      <c r="M153" s="79">
        <f t="shared" si="332"/>
        <v>98.06129470775852</v>
      </c>
      <c r="O153" s="52" t="str">
        <f t="shared" si="333"/>
        <v>Tephrite</v>
      </c>
      <c r="P153" s="117">
        <v>49.49358065414593</v>
      </c>
      <c r="R153" s="117">
        <v>2.2993994747498432</v>
      </c>
      <c r="T153" s="117">
        <v>13.682882954122304</v>
      </c>
      <c r="V153" s="117">
        <v>0</v>
      </c>
      <c r="W153" s="117">
        <v>0</v>
      </c>
      <c r="X153" s="117">
        <v>0</v>
      </c>
      <c r="Y153" s="117">
        <v>8.5740120627636767</v>
      </c>
      <c r="Z153" s="117">
        <v>14.629346194043197</v>
      </c>
      <c r="AE153" s="117">
        <v>6.8700133047180847</v>
      </c>
      <c r="AF153" s="117">
        <v>2.9379695600710658</v>
      </c>
      <c r="AI153" s="117">
        <v>0</v>
      </c>
      <c r="AM153" s="86">
        <f t="shared" si="360"/>
        <v>98.487204204614088</v>
      </c>
      <c r="AO153" s="71">
        <f t="shared" si="328"/>
        <v>1.602370202935431</v>
      </c>
      <c r="AQ153" s="97" t="str">
        <f t="shared" si="334"/>
        <v>Tephrite</v>
      </c>
      <c r="AR153" s="73">
        <f t="shared" si="335"/>
        <v>51.411004558696433</v>
      </c>
      <c r="AS153" s="73">
        <f t="shared" si="336"/>
        <v>0</v>
      </c>
      <c r="AT153" s="73">
        <f t="shared" si="337"/>
        <v>1.7959936140100323</v>
      </c>
      <c r="AU153" s="73">
        <f t="shared" si="338"/>
        <v>0</v>
      </c>
      <c r="AV153" s="73">
        <f t="shared" si="339"/>
        <v>8.3750021029350616</v>
      </c>
      <c r="AW153" s="73">
        <f t="shared" si="340"/>
        <v>0</v>
      </c>
      <c r="AX153" s="73">
        <f t="shared" si="341"/>
        <v>0</v>
      </c>
      <c r="AY153" s="73">
        <f t="shared" si="342"/>
        <v>0</v>
      </c>
      <c r="AZ153" s="73">
        <f t="shared" si="343"/>
        <v>0</v>
      </c>
      <c r="BA153" s="73">
        <f t="shared" si="344"/>
        <v>13.27420228782781</v>
      </c>
      <c r="BB153" s="73">
        <f t="shared" si="345"/>
        <v>16.279986933584208</v>
      </c>
      <c r="BC153" s="73">
        <f t="shared" si="346"/>
        <v>0</v>
      </c>
      <c r="BD153" s="73">
        <f t="shared" si="347"/>
        <v>0</v>
      </c>
      <c r="BE153" s="73">
        <f t="shared" si="348"/>
        <v>0</v>
      </c>
      <c r="BF153" s="73">
        <f t="shared" si="349"/>
        <v>0</v>
      </c>
      <c r="BG153" s="73">
        <f t="shared" si="350"/>
        <v>6.9174040819043157</v>
      </c>
      <c r="BH153" s="73">
        <f t="shared" si="351"/>
        <v>1.9464064210421352</v>
      </c>
      <c r="BI153" s="73">
        <f t="shared" si="352"/>
        <v>0</v>
      </c>
      <c r="BJ153" s="73">
        <f t="shared" si="353"/>
        <v>0</v>
      </c>
      <c r="BK153" s="73">
        <f t="shared" si="354"/>
        <v>0</v>
      </c>
      <c r="BL153" s="73">
        <f t="shared" si="355"/>
        <v>0</v>
      </c>
      <c r="BM153" s="73">
        <f t="shared" si="356"/>
        <v>0</v>
      </c>
      <c r="BN153" s="73">
        <f t="shared" si="357"/>
        <v>0</v>
      </c>
      <c r="BQ153">
        <f t="shared" si="260"/>
        <v>30.88773153886482</v>
      </c>
      <c r="BR153">
        <f t="shared" si="261"/>
        <v>0</v>
      </c>
      <c r="BS153">
        <f t="shared" si="262"/>
        <v>1.434998897594016</v>
      </c>
      <c r="BT153">
        <f t="shared" si="263"/>
        <v>0</v>
      </c>
      <c r="BU153">
        <f t="shared" si="264"/>
        <v>8.5391521441525882</v>
      </c>
      <c r="BV153">
        <f t="shared" si="265"/>
        <v>0</v>
      </c>
      <c r="BW153">
        <f t="shared" si="266"/>
        <v>0</v>
      </c>
      <c r="BX153">
        <f t="shared" si="267"/>
        <v>0</v>
      </c>
      <c r="BY153">
        <f t="shared" si="268"/>
        <v>0</v>
      </c>
      <c r="BZ153">
        <f t="shared" si="269"/>
        <v>5.3508309422233911</v>
      </c>
      <c r="CA153">
        <f t="shared" si="270"/>
        <v>9.1298166723540248</v>
      </c>
      <c r="CB153">
        <f t="shared" si="271"/>
        <v>0</v>
      </c>
      <c r="CC153">
        <f t="shared" si="272"/>
        <v>0</v>
      </c>
      <c r="CD153">
        <f t="shared" si="273"/>
        <v>0</v>
      </c>
      <c r="CE153">
        <f t="shared" si="274"/>
        <v>0</v>
      </c>
      <c r="CF153">
        <f t="shared" si="275"/>
        <v>4.2874070499642949</v>
      </c>
      <c r="CG153">
        <f t="shared" si="276"/>
        <v>1.8335148486216917</v>
      </c>
      <c r="CH153">
        <f t="shared" si="277"/>
        <v>0</v>
      </c>
      <c r="CI153">
        <f t="shared" si="278"/>
        <v>0</v>
      </c>
      <c r="CJ153">
        <f t="shared" si="279"/>
        <v>0</v>
      </c>
      <c r="CK153">
        <f t="shared" si="280"/>
        <v>0</v>
      </c>
      <c r="CL153">
        <f t="shared" si="281"/>
        <v>0</v>
      </c>
      <c r="CN153">
        <f t="shared" si="236"/>
        <v>61.463452093774819</v>
      </c>
      <c r="CP153">
        <f t="shared" si="305"/>
        <v>1.542330136760893</v>
      </c>
      <c r="CQ153">
        <f t="shared" si="306"/>
        <v>0</v>
      </c>
      <c r="CR153">
        <f t="shared" si="307"/>
        <v>5.3879808420300969E-2</v>
      </c>
      <c r="CS153">
        <f t="shared" si="308"/>
        <v>0</v>
      </c>
      <c r="CT153">
        <f t="shared" si="309"/>
        <v>0.41875010514675304</v>
      </c>
      <c r="CU153">
        <f t="shared" si="310"/>
        <v>0</v>
      </c>
      <c r="CV153">
        <f t="shared" si="311"/>
        <v>0</v>
      </c>
      <c r="CW153">
        <f t="shared" si="312"/>
        <v>0</v>
      </c>
      <c r="CX153">
        <f t="shared" si="313"/>
        <v>0</v>
      </c>
      <c r="CY153">
        <f t="shared" si="314"/>
        <v>0.26548404575655621</v>
      </c>
      <c r="CZ153">
        <f t="shared" si="315"/>
        <v>0.32559973867168418</v>
      </c>
      <c r="DA153">
        <f t="shared" si="316"/>
        <v>0</v>
      </c>
      <c r="DB153">
        <f t="shared" si="317"/>
        <v>0</v>
      </c>
      <c r="DC153">
        <f t="shared" si="318"/>
        <v>0</v>
      </c>
      <c r="DD153">
        <f t="shared" si="319"/>
        <v>0</v>
      </c>
      <c r="DE153">
        <f t="shared" si="320"/>
        <v>0.20752212245712948</v>
      </c>
      <c r="DF153">
        <f t="shared" si="321"/>
        <v>5.8392192631264064E-2</v>
      </c>
      <c r="DG153">
        <f t="shared" si="322"/>
        <v>0</v>
      </c>
      <c r="DH153">
        <f t="shared" si="323"/>
        <v>0</v>
      </c>
      <c r="DI153">
        <f t="shared" si="324"/>
        <v>0</v>
      </c>
      <c r="DJ153">
        <f t="shared" si="325"/>
        <v>0</v>
      </c>
      <c r="DK153">
        <f t="shared" si="326"/>
        <v>0</v>
      </c>
      <c r="DM153">
        <f t="shared" si="327"/>
        <v>2.871958149844581</v>
      </c>
    </row>
    <row r="154" spans="1:117">
      <c r="A154" s="117" t="s">
        <v>327</v>
      </c>
      <c r="B154" s="117" t="s">
        <v>332</v>
      </c>
      <c r="C154" s="117">
        <v>2.677</v>
      </c>
      <c r="F154" s="117">
        <v>6287</v>
      </c>
      <c r="G154" s="117">
        <v>3580</v>
      </c>
      <c r="H154" s="43">
        <f t="shared" si="329"/>
        <v>2.6229032426300712E+22</v>
      </c>
      <c r="I154" s="43">
        <f t="shared" si="330"/>
        <v>7.53286834392521E+22</v>
      </c>
      <c r="J154" s="42">
        <f t="shared" si="331"/>
        <v>105.81208981300001</v>
      </c>
      <c r="K154" s="42">
        <f t="shared" si="358"/>
        <v>34.309502799999997</v>
      </c>
      <c r="L154" s="42">
        <f t="shared" si="359"/>
        <v>100.79193824396995</v>
      </c>
      <c r="M154" s="79">
        <f t="shared" si="332"/>
        <v>96.792364583758513</v>
      </c>
      <c r="O154" s="52" t="str">
        <f t="shared" si="333"/>
        <v>Tephrite</v>
      </c>
      <c r="P154" s="117">
        <v>49.49358065414593</v>
      </c>
      <c r="R154" s="117">
        <v>2.2993994747498432</v>
      </c>
      <c r="T154" s="117">
        <v>13.682882954122304</v>
      </c>
      <c r="V154" s="117">
        <v>0</v>
      </c>
      <c r="W154" s="117">
        <v>0</v>
      </c>
      <c r="X154" s="117">
        <v>0</v>
      </c>
      <c r="Y154" s="117">
        <v>8.5740120627636767</v>
      </c>
      <c r="Z154" s="117">
        <v>14.629346194043197</v>
      </c>
      <c r="AE154" s="117">
        <v>6.8700133047180847</v>
      </c>
      <c r="AF154" s="117">
        <v>2.9379695600710658</v>
      </c>
      <c r="AI154" s="117">
        <v>0</v>
      </c>
      <c r="AM154" s="86">
        <f t="shared" si="360"/>
        <v>98.487204204614088</v>
      </c>
      <c r="AO154" s="71">
        <f t="shared" si="328"/>
        <v>1.602370202935431</v>
      </c>
      <c r="AQ154" s="97" t="str">
        <f t="shared" si="334"/>
        <v>Tephrite</v>
      </c>
      <c r="AR154" s="73">
        <f t="shared" si="335"/>
        <v>51.411004558696433</v>
      </c>
      <c r="AS154" s="73">
        <f t="shared" si="336"/>
        <v>0</v>
      </c>
      <c r="AT154" s="73">
        <f t="shared" si="337"/>
        <v>1.7959936140100323</v>
      </c>
      <c r="AU154" s="73">
        <f t="shared" si="338"/>
        <v>0</v>
      </c>
      <c r="AV154" s="73">
        <f t="shared" si="339"/>
        <v>8.3750021029350616</v>
      </c>
      <c r="AW154" s="73">
        <f t="shared" si="340"/>
        <v>0</v>
      </c>
      <c r="AX154" s="73">
        <f t="shared" si="341"/>
        <v>0</v>
      </c>
      <c r="AY154" s="73">
        <f t="shared" si="342"/>
        <v>0</v>
      </c>
      <c r="AZ154" s="73">
        <f t="shared" si="343"/>
        <v>0</v>
      </c>
      <c r="BA154" s="73">
        <f t="shared" si="344"/>
        <v>13.27420228782781</v>
      </c>
      <c r="BB154" s="73">
        <f t="shared" si="345"/>
        <v>16.279986933584208</v>
      </c>
      <c r="BC154" s="73">
        <f t="shared" si="346"/>
        <v>0</v>
      </c>
      <c r="BD154" s="73">
        <f t="shared" si="347"/>
        <v>0</v>
      </c>
      <c r="BE154" s="73">
        <f t="shared" si="348"/>
        <v>0</v>
      </c>
      <c r="BF154" s="73">
        <f t="shared" si="349"/>
        <v>0</v>
      </c>
      <c r="BG154" s="73">
        <f t="shared" si="350"/>
        <v>6.9174040819043157</v>
      </c>
      <c r="BH154" s="73">
        <f t="shared" si="351"/>
        <v>1.9464064210421352</v>
      </c>
      <c r="BI154" s="73">
        <f t="shared" si="352"/>
        <v>0</v>
      </c>
      <c r="BJ154" s="73">
        <f t="shared" si="353"/>
        <v>0</v>
      </c>
      <c r="BK154" s="73">
        <f t="shared" si="354"/>
        <v>0</v>
      </c>
      <c r="BL154" s="73">
        <f t="shared" si="355"/>
        <v>0</v>
      </c>
      <c r="BM154" s="73">
        <f t="shared" si="356"/>
        <v>0</v>
      </c>
      <c r="BN154" s="73">
        <f t="shared" si="357"/>
        <v>0</v>
      </c>
      <c r="BQ154">
        <f t="shared" si="260"/>
        <v>30.88773153886482</v>
      </c>
      <c r="BR154">
        <f t="shared" si="261"/>
        <v>0</v>
      </c>
      <c r="BS154">
        <f t="shared" si="262"/>
        <v>1.434998897594016</v>
      </c>
      <c r="BT154">
        <f t="shared" si="263"/>
        <v>0</v>
      </c>
      <c r="BU154">
        <f t="shared" si="264"/>
        <v>8.5391521441525882</v>
      </c>
      <c r="BV154">
        <f t="shared" si="265"/>
        <v>0</v>
      </c>
      <c r="BW154">
        <f t="shared" si="266"/>
        <v>0</v>
      </c>
      <c r="BX154">
        <f t="shared" si="267"/>
        <v>0</v>
      </c>
      <c r="BY154">
        <f t="shared" si="268"/>
        <v>0</v>
      </c>
      <c r="BZ154">
        <f t="shared" si="269"/>
        <v>5.3508309422233911</v>
      </c>
      <c r="CA154">
        <f t="shared" si="270"/>
        <v>9.1298166723540248</v>
      </c>
      <c r="CB154">
        <f t="shared" si="271"/>
        <v>0</v>
      </c>
      <c r="CC154">
        <f t="shared" si="272"/>
        <v>0</v>
      </c>
      <c r="CD154">
        <f t="shared" si="273"/>
        <v>0</v>
      </c>
      <c r="CE154">
        <f t="shared" si="274"/>
        <v>0</v>
      </c>
      <c r="CF154">
        <f t="shared" si="275"/>
        <v>4.2874070499642949</v>
      </c>
      <c r="CG154">
        <f t="shared" si="276"/>
        <v>1.8335148486216917</v>
      </c>
      <c r="CH154">
        <f t="shared" si="277"/>
        <v>0</v>
      </c>
      <c r="CI154">
        <f t="shared" si="278"/>
        <v>0</v>
      </c>
      <c r="CJ154">
        <f t="shared" si="279"/>
        <v>0</v>
      </c>
      <c r="CK154">
        <f t="shared" si="280"/>
        <v>0</v>
      </c>
      <c r="CL154">
        <f t="shared" si="281"/>
        <v>0</v>
      </c>
      <c r="CN154">
        <f t="shared" ref="CN154:CN188" si="361">SUM(BQ154:CL154)</f>
        <v>61.463452093774819</v>
      </c>
      <c r="CP154">
        <f t="shared" si="305"/>
        <v>1.542330136760893</v>
      </c>
      <c r="CQ154">
        <f t="shared" si="306"/>
        <v>0</v>
      </c>
      <c r="CR154">
        <f t="shared" si="307"/>
        <v>5.3879808420300969E-2</v>
      </c>
      <c r="CS154">
        <f t="shared" si="308"/>
        <v>0</v>
      </c>
      <c r="CT154">
        <f t="shared" si="309"/>
        <v>0.41875010514675304</v>
      </c>
      <c r="CU154">
        <f t="shared" si="310"/>
        <v>0</v>
      </c>
      <c r="CV154">
        <f t="shared" si="311"/>
        <v>0</v>
      </c>
      <c r="CW154">
        <f t="shared" si="312"/>
        <v>0</v>
      </c>
      <c r="CX154">
        <f t="shared" si="313"/>
        <v>0</v>
      </c>
      <c r="CY154">
        <f t="shared" si="314"/>
        <v>0.26548404575655621</v>
      </c>
      <c r="CZ154">
        <f t="shared" si="315"/>
        <v>0.32559973867168418</v>
      </c>
      <c r="DA154">
        <f t="shared" si="316"/>
        <v>0</v>
      </c>
      <c r="DB154">
        <f t="shared" si="317"/>
        <v>0</v>
      </c>
      <c r="DC154">
        <f t="shared" si="318"/>
        <v>0</v>
      </c>
      <c r="DD154">
        <f t="shared" si="319"/>
        <v>0</v>
      </c>
      <c r="DE154">
        <f t="shared" si="320"/>
        <v>0.20752212245712948</v>
      </c>
      <c r="DF154">
        <f t="shared" si="321"/>
        <v>5.8392192631264064E-2</v>
      </c>
      <c r="DG154">
        <f t="shared" si="322"/>
        <v>0</v>
      </c>
      <c r="DH154">
        <f t="shared" si="323"/>
        <v>0</v>
      </c>
      <c r="DI154">
        <f t="shared" si="324"/>
        <v>0</v>
      </c>
      <c r="DJ154">
        <f t="shared" si="325"/>
        <v>0</v>
      </c>
      <c r="DK154">
        <f t="shared" si="326"/>
        <v>0</v>
      </c>
      <c r="DM154">
        <f t="shared" si="327"/>
        <v>2.871958149844581</v>
      </c>
    </row>
    <row r="155" spans="1:117">
      <c r="A155" s="117" t="s">
        <v>327</v>
      </c>
      <c r="B155" s="117" t="s">
        <v>332</v>
      </c>
      <c r="C155" s="117">
        <v>2.661</v>
      </c>
      <c r="F155" s="117">
        <v>6243</v>
      </c>
      <c r="G155" s="117">
        <v>3591</v>
      </c>
      <c r="H155" s="43">
        <f t="shared" si="329"/>
        <v>2.6072265702796482E+22</v>
      </c>
      <c r="I155" s="43">
        <f t="shared" si="330"/>
        <v>7.4878455970059711E+22</v>
      </c>
      <c r="J155" s="42">
        <f t="shared" si="331"/>
        <v>103.712605389</v>
      </c>
      <c r="K155" s="42">
        <f t="shared" si="358"/>
        <v>34.314342741000004</v>
      </c>
      <c r="L155" s="42">
        <f t="shared" si="359"/>
        <v>100.8192280163523</v>
      </c>
      <c r="M155" s="79">
        <f t="shared" si="332"/>
        <v>96.843559166960205</v>
      </c>
      <c r="O155" s="52" t="str">
        <f t="shared" si="333"/>
        <v>Tephrite</v>
      </c>
      <c r="P155" s="117">
        <v>49.198705611149904</v>
      </c>
      <c r="R155" s="117">
        <v>2.2857000108997751</v>
      </c>
      <c r="T155" s="117">
        <v>13.601362469120408</v>
      </c>
      <c r="V155" s="117">
        <v>0</v>
      </c>
      <c r="W155" s="117">
        <v>0</v>
      </c>
      <c r="X155" s="117">
        <v>0</v>
      </c>
      <c r="Y155" s="117">
        <v>8.5229294346280611</v>
      </c>
      <c r="Z155" s="117">
        <v>14.542186828506146</v>
      </c>
      <c r="AE155" s="117">
        <v>6.8290828357191256</v>
      </c>
      <c r="AF155" s="117">
        <v>2.9204655951346679</v>
      </c>
      <c r="AI155" s="117">
        <v>0</v>
      </c>
      <c r="AM155" s="86">
        <f t="shared" si="360"/>
        <v>97.900432785158074</v>
      </c>
      <c r="AO155" s="71">
        <f t="shared" si="328"/>
        <v>1.592823530897538</v>
      </c>
      <c r="AQ155" s="97" t="str">
        <f t="shared" si="334"/>
        <v>Tephrite</v>
      </c>
      <c r="AR155" s="73">
        <f t="shared" si="335"/>
        <v>51.41100455869644</v>
      </c>
      <c r="AS155" s="73">
        <f t="shared" si="336"/>
        <v>0</v>
      </c>
      <c r="AT155" s="73">
        <f t="shared" si="337"/>
        <v>1.7959936140100325</v>
      </c>
      <c r="AU155" s="73">
        <f t="shared" si="338"/>
        <v>0</v>
      </c>
      <c r="AV155" s="73">
        <f t="shared" si="339"/>
        <v>8.3750021029350616</v>
      </c>
      <c r="AW155" s="73">
        <f t="shared" si="340"/>
        <v>0</v>
      </c>
      <c r="AX155" s="73">
        <f t="shared" si="341"/>
        <v>0</v>
      </c>
      <c r="AY155" s="73">
        <f t="shared" si="342"/>
        <v>0</v>
      </c>
      <c r="AZ155" s="73">
        <f t="shared" si="343"/>
        <v>0</v>
      </c>
      <c r="BA155" s="73">
        <f t="shared" si="344"/>
        <v>13.274202287827809</v>
      </c>
      <c r="BB155" s="73">
        <f t="shared" si="345"/>
        <v>16.279986933584208</v>
      </c>
      <c r="BC155" s="73">
        <f t="shared" si="346"/>
        <v>0</v>
      </c>
      <c r="BD155" s="73">
        <f t="shared" si="347"/>
        <v>0</v>
      </c>
      <c r="BE155" s="73">
        <f t="shared" si="348"/>
        <v>0</v>
      </c>
      <c r="BF155" s="73">
        <f t="shared" si="349"/>
        <v>0</v>
      </c>
      <c r="BG155" s="73">
        <f t="shared" si="350"/>
        <v>6.9174040819043157</v>
      </c>
      <c r="BH155" s="73">
        <f t="shared" si="351"/>
        <v>1.9464064210421352</v>
      </c>
      <c r="BI155" s="73">
        <f t="shared" si="352"/>
        <v>0</v>
      </c>
      <c r="BJ155" s="73">
        <f t="shared" si="353"/>
        <v>0</v>
      </c>
      <c r="BK155" s="73">
        <f t="shared" si="354"/>
        <v>0</v>
      </c>
      <c r="BL155" s="73">
        <f t="shared" si="355"/>
        <v>0</v>
      </c>
      <c r="BM155" s="73">
        <f t="shared" si="356"/>
        <v>0</v>
      </c>
      <c r="BN155" s="73">
        <f t="shared" si="357"/>
        <v>0</v>
      </c>
      <c r="BQ155">
        <f t="shared" si="260"/>
        <v>30.88773153886482</v>
      </c>
      <c r="BR155">
        <f t="shared" si="261"/>
        <v>0</v>
      </c>
      <c r="BS155">
        <f t="shared" si="262"/>
        <v>1.4349988975940162</v>
      </c>
      <c r="BT155">
        <f t="shared" si="263"/>
        <v>0</v>
      </c>
      <c r="BU155">
        <f t="shared" si="264"/>
        <v>8.5391521441525882</v>
      </c>
      <c r="BV155">
        <f t="shared" si="265"/>
        <v>0</v>
      </c>
      <c r="BW155">
        <f t="shared" si="266"/>
        <v>0</v>
      </c>
      <c r="BX155">
        <f t="shared" si="267"/>
        <v>0</v>
      </c>
      <c r="BY155">
        <f t="shared" si="268"/>
        <v>0</v>
      </c>
      <c r="BZ155">
        <f t="shared" si="269"/>
        <v>5.3508309422233893</v>
      </c>
      <c r="CA155">
        <f t="shared" si="270"/>
        <v>9.1298166723540248</v>
      </c>
      <c r="CB155">
        <f t="shared" si="271"/>
        <v>0</v>
      </c>
      <c r="CC155">
        <f t="shared" si="272"/>
        <v>0</v>
      </c>
      <c r="CD155">
        <f t="shared" si="273"/>
        <v>0</v>
      </c>
      <c r="CE155">
        <f t="shared" si="274"/>
        <v>0</v>
      </c>
      <c r="CF155">
        <f t="shared" si="275"/>
        <v>4.2874070499642949</v>
      </c>
      <c r="CG155">
        <f t="shared" si="276"/>
        <v>1.8335148486216917</v>
      </c>
      <c r="CH155">
        <f t="shared" si="277"/>
        <v>0</v>
      </c>
      <c r="CI155">
        <f t="shared" si="278"/>
        <v>0</v>
      </c>
      <c r="CJ155">
        <f t="shared" si="279"/>
        <v>0</v>
      </c>
      <c r="CK155">
        <f t="shared" si="280"/>
        <v>0</v>
      </c>
      <c r="CL155">
        <f t="shared" si="281"/>
        <v>0</v>
      </c>
      <c r="CN155">
        <f t="shared" si="361"/>
        <v>61.463452093774819</v>
      </c>
      <c r="CP155">
        <f t="shared" si="305"/>
        <v>1.542330136760893</v>
      </c>
      <c r="CQ155">
        <f t="shared" si="306"/>
        <v>0</v>
      </c>
      <c r="CR155">
        <f t="shared" si="307"/>
        <v>5.3879808420300976E-2</v>
      </c>
      <c r="CS155">
        <f t="shared" si="308"/>
        <v>0</v>
      </c>
      <c r="CT155">
        <f t="shared" si="309"/>
        <v>0.41875010514675304</v>
      </c>
      <c r="CU155">
        <f t="shared" si="310"/>
        <v>0</v>
      </c>
      <c r="CV155">
        <f t="shared" si="311"/>
        <v>0</v>
      </c>
      <c r="CW155">
        <f t="shared" si="312"/>
        <v>0</v>
      </c>
      <c r="CX155">
        <f t="shared" si="313"/>
        <v>0</v>
      </c>
      <c r="CY155">
        <f t="shared" si="314"/>
        <v>0.26548404575655615</v>
      </c>
      <c r="CZ155">
        <f t="shared" si="315"/>
        <v>0.32559973867168418</v>
      </c>
      <c r="DA155">
        <f t="shared" si="316"/>
        <v>0</v>
      </c>
      <c r="DB155">
        <f t="shared" si="317"/>
        <v>0</v>
      </c>
      <c r="DC155">
        <f t="shared" si="318"/>
        <v>0</v>
      </c>
      <c r="DD155">
        <f t="shared" si="319"/>
        <v>0</v>
      </c>
      <c r="DE155">
        <f t="shared" si="320"/>
        <v>0.20752212245712948</v>
      </c>
      <c r="DF155">
        <f t="shared" si="321"/>
        <v>5.8392192631264064E-2</v>
      </c>
      <c r="DG155">
        <f t="shared" si="322"/>
        <v>0</v>
      </c>
      <c r="DH155">
        <f t="shared" si="323"/>
        <v>0</v>
      </c>
      <c r="DI155">
        <f t="shared" si="324"/>
        <v>0</v>
      </c>
      <c r="DJ155">
        <f t="shared" si="325"/>
        <v>0</v>
      </c>
      <c r="DK155">
        <f t="shared" si="326"/>
        <v>0</v>
      </c>
      <c r="DM155">
        <f t="shared" si="327"/>
        <v>2.871958149844581</v>
      </c>
    </row>
    <row r="156" spans="1:117">
      <c r="A156" s="117" t="s">
        <v>327</v>
      </c>
      <c r="B156" s="117" t="s">
        <v>332</v>
      </c>
      <c r="C156" s="117">
        <v>2.6560000000000001</v>
      </c>
      <c r="F156" s="117">
        <v>6396</v>
      </c>
      <c r="G156" s="117">
        <v>3678</v>
      </c>
      <c r="H156" s="43">
        <f t="shared" si="329"/>
        <v>2.6023276101701416E+22</v>
      </c>
      <c r="I156" s="43">
        <f t="shared" si="330"/>
        <v>7.4737759885937112E+22</v>
      </c>
      <c r="J156" s="42">
        <f t="shared" si="331"/>
        <v>108.653815296</v>
      </c>
      <c r="K156" s="42">
        <f t="shared" si="358"/>
        <v>35.929528704000006</v>
      </c>
      <c r="L156" s="42">
        <f t="shared" si="359"/>
        <v>105.66877651453427</v>
      </c>
      <c r="M156" s="79">
        <f t="shared" si="332"/>
        <v>101.70057791852322</v>
      </c>
      <c r="O156" s="52" t="str">
        <f t="shared" si="333"/>
        <v>Tephrite</v>
      </c>
      <c r="P156" s="117">
        <v>49.053982694590999</v>
      </c>
      <c r="R156" s="117">
        <v>2.2789763955556923</v>
      </c>
      <c r="T156" s="117">
        <v>13.561352700138604</v>
      </c>
      <c r="V156" s="117">
        <v>0</v>
      </c>
      <c r="W156" s="117">
        <v>0</v>
      </c>
      <c r="X156" s="117">
        <v>0</v>
      </c>
      <c r="Y156" s="117">
        <v>8.497858384687154</v>
      </c>
      <c r="Z156" s="117">
        <v>14.499409530509734</v>
      </c>
      <c r="AE156" s="117">
        <v>6.8089944050758682</v>
      </c>
      <c r="AF156" s="117">
        <v>2.9118747532946738</v>
      </c>
      <c r="AI156" s="117">
        <v>0</v>
      </c>
      <c r="AM156" s="86">
        <f t="shared" si="360"/>
        <v>97.61244886385272</v>
      </c>
      <c r="AO156" s="71">
        <f t="shared" si="328"/>
        <v>1.5881380810652377</v>
      </c>
      <c r="AQ156" s="97" t="str">
        <f t="shared" si="334"/>
        <v>Tephrite</v>
      </c>
      <c r="AR156" s="73">
        <f t="shared" si="335"/>
        <v>51.41100455869644</v>
      </c>
      <c r="AS156" s="73">
        <f t="shared" si="336"/>
        <v>0</v>
      </c>
      <c r="AT156" s="73">
        <f t="shared" si="337"/>
        <v>1.7959936140100325</v>
      </c>
      <c r="AU156" s="73">
        <f t="shared" si="338"/>
        <v>0</v>
      </c>
      <c r="AV156" s="73">
        <f t="shared" si="339"/>
        <v>8.3750021029350634</v>
      </c>
      <c r="AW156" s="73">
        <f t="shared" si="340"/>
        <v>0</v>
      </c>
      <c r="AX156" s="73">
        <f t="shared" si="341"/>
        <v>0</v>
      </c>
      <c r="AY156" s="73">
        <f t="shared" si="342"/>
        <v>0</v>
      </c>
      <c r="AZ156" s="73">
        <f t="shared" si="343"/>
        <v>0</v>
      </c>
      <c r="BA156" s="73">
        <f t="shared" si="344"/>
        <v>13.274202287827812</v>
      </c>
      <c r="BB156" s="73">
        <f t="shared" si="345"/>
        <v>16.279986933584208</v>
      </c>
      <c r="BC156" s="73">
        <f t="shared" si="346"/>
        <v>0</v>
      </c>
      <c r="BD156" s="73">
        <f t="shared" si="347"/>
        <v>0</v>
      </c>
      <c r="BE156" s="73">
        <f t="shared" si="348"/>
        <v>0</v>
      </c>
      <c r="BF156" s="73">
        <f t="shared" si="349"/>
        <v>0</v>
      </c>
      <c r="BG156" s="73">
        <f t="shared" si="350"/>
        <v>6.9174040819043174</v>
      </c>
      <c r="BH156" s="73">
        <f t="shared" si="351"/>
        <v>1.9464064210421357</v>
      </c>
      <c r="BI156" s="73">
        <f t="shared" si="352"/>
        <v>0</v>
      </c>
      <c r="BJ156" s="73">
        <f t="shared" si="353"/>
        <v>0</v>
      </c>
      <c r="BK156" s="73">
        <f t="shared" si="354"/>
        <v>0</v>
      </c>
      <c r="BL156" s="73">
        <f t="shared" si="355"/>
        <v>0</v>
      </c>
      <c r="BM156" s="73">
        <f t="shared" si="356"/>
        <v>0</v>
      </c>
      <c r="BN156" s="73">
        <f t="shared" si="357"/>
        <v>0</v>
      </c>
      <c r="BQ156">
        <f t="shared" si="260"/>
        <v>30.88773153886482</v>
      </c>
      <c r="BR156">
        <f t="shared" si="261"/>
        <v>0</v>
      </c>
      <c r="BS156">
        <f t="shared" si="262"/>
        <v>1.4349988975940162</v>
      </c>
      <c r="BT156">
        <f t="shared" si="263"/>
        <v>0</v>
      </c>
      <c r="BU156">
        <f t="shared" si="264"/>
        <v>8.5391521441525899</v>
      </c>
      <c r="BV156">
        <f t="shared" si="265"/>
        <v>0</v>
      </c>
      <c r="BW156">
        <f t="shared" si="266"/>
        <v>0</v>
      </c>
      <c r="BX156">
        <f t="shared" si="267"/>
        <v>0</v>
      </c>
      <c r="BY156">
        <f t="shared" si="268"/>
        <v>0</v>
      </c>
      <c r="BZ156">
        <f t="shared" si="269"/>
        <v>5.350830942223392</v>
      </c>
      <c r="CA156">
        <f t="shared" si="270"/>
        <v>9.1298166723540248</v>
      </c>
      <c r="CB156">
        <f t="shared" si="271"/>
        <v>0</v>
      </c>
      <c r="CC156">
        <f t="shared" si="272"/>
        <v>0</v>
      </c>
      <c r="CD156">
        <f t="shared" si="273"/>
        <v>0</v>
      </c>
      <c r="CE156">
        <f t="shared" si="274"/>
        <v>0</v>
      </c>
      <c r="CF156">
        <f t="shared" si="275"/>
        <v>4.2874070499642958</v>
      </c>
      <c r="CG156">
        <f t="shared" si="276"/>
        <v>1.8335148486216919</v>
      </c>
      <c r="CH156">
        <f t="shared" si="277"/>
        <v>0</v>
      </c>
      <c r="CI156">
        <f t="shared" si="278"/>
        <v>0</v>
      </c>
      <c r="CJ156">
        <f t="shared" si="279"/>
        <v>0</v>
      </c>
      <c r="CK156">
        <f t="shared" si="280"/>
        <v>0</v>
      </c>
      <c r="CL156">
        <f t="shared" si="281"/>
        <v>0</v>
      </c>
      <c r="CN156">
        <f t="shared" si="361"/>
        <v>61.463452093774819</v>
      </c>
      <c r="CP156">
        <f t="shared" si="305"/>
        <v>1.542330136760893</v>
      </c>
      <c r="CQ156">
        <f t="shared" si="306"/>
        <v>0</v>
      </c>
      <c r="CR156">
        <f t="shared" si="307"/>
        <v>5.3879808420300976E-2</v>
      </c>
      <c r="CS156">
        <f t="shared" si="308"/>
        <v>0</v>
      </c>
      <c r="CT156">
        <f t="shared" si="309"/>
        <v>0.4187501051467532</v>
      </c>
      <c r="CU156">
        <f t="shared" si="310"/>
        <v>0</v>
      </c>
      <c r="CV156">
        <f t="shared" si="311"/>
        <v>0</v>
      </c>
      <c r="CW156">
        <f t="shared" si="312"/>
        <v>0</v>
      </c>
      <c r="CX156">
        <f t="shared" si="313"/>
        <v>0</v>
      </c>
      <c r="CY156">
        <f t="shared" si="314"/>
        <v>0.26548404575655626</v>
      </c>
      <c r="CZ156">
        <f t="shared" si="315"/>
        <v>0.32559973867168418</v>
      </c>
      <c r="DA156">
        <f t="shared" si="316"/>
        <v>0</v>
      </c>
      <c r="DB156">
        <f t="shared" si="317"/>
        <v>0</v>
      </c>
      <c r="DC156">
        <f t="shared" si="318"/>
        <v>0</v>
      </c>
      <c r="DD156">
        <f t="shared" si="319"/>
        <v>0</v>
      </c>
      <c r="DE156">
        <f t="shared" si="320"/>
        <v>0.20752212245712953</v>
      </c>
      <c r="DF156">
        <f t="shared" si="321"/>
        <v>5.8392192631264071E-2</v>
      </c>
      <c r="DG156">
        <f t="shared" si="322"/>
        <v>0</v>
      </c>
      <c r="DH156">
        <f t="shared" si="323"/>
        <v>0</v>
      </c>
      <c r="DI156">
        <f t="shared" si="324"/>
        <v>0</v>
      </c>
      <c r="DJ156">
        <f t="shared" si="325"/>
        <v>0</v>
      </c>
      <c r="DK156">
        <f t="shared" si="326"/>
        <v>0</v>
      </c>
      <c r="DM156">
        <f t="shared" si="327"/>
        <v>2.8719581498445814</v>
      </c>
    </row>
    <row r="157" spans="1:117">
      <c r="A157" s="117" t="s">
        <v>327</v>
      </c>
      <c r="B157" s="117" t="s">
        <v>333</v>
      </c>
      <c r="C157" s="117">
        <v>2.8079999999999998</v>
      </c>
      <c r="F157" s="117">
        <v>6297</v>
      </c>
      <c r="G157" s="117">
        <v>3525</v>
      </c>
      <c r="H157" s="43">
        <f t="shared" si="329"/>
        <v>2.8384900554847039E+22</v>
      </c>
      <c r="I157" s="43">
        <f t="shared" si="330"/>
        <v>7.6867955209548792E+22</v>
      </c>
      <c r="J157" s="42">
        <f t="shared" si="331"/>
        <v>111.343402872</v>
      </c>
      <c r="K157" s="42">
        <f t="shared" si="358"/>
        <v>34.891154999999998</v>
      </c>
      <c r="L157" s="42">
        <f t="shared" si="359"/>
        <v>102.36128151059719</v>
      </c>
      <c r="M157" s="79">
        <f t="shared" si="332"/>
        <v>98.411934735965602</v>
      </c>
      <c r="O157" s="52" t="str">
        <f t="shared" si="333"/>
        <v>Foidite</v>
      </c>
      <c r="P157" s="117">
        <v>43.34386476892427</v>
      </c>
      <c r="R157" s="117">
        <v>2.9624687147083781</v>
      </c>
      <c r="T157" s="117">
        <v>10.131107744069325</v>
      </c>
      <c r="V157" s="117">
        <v>0</v>
      </c>
      <c r="W157" s="117">
        <v>0</v>
      </c>
      <c r="X157" s="117">
        <v>0</v>
      </c>
      <c r="Y157" s="117">
        <v>9.1256535105696628</v>
      </c>
      <c r="Z157" s="117">
        <v>25.930574316451242</v>
      </c>
      <c r="AE157" s="117">
        <v>7.541920086408628</v>
      </c>
      <c r="AF157" s="117">
        <v>0.96441085886849576</v>
      </c>
      <c r="AI157" s="117">
        <v>0</v>
      </c>
      <c r="AM157" s="86">
        <f t="shared" si="360"/>
        <v>100</v>
      </c>
      <c r="AO157" s="71">
        <f t="shared" si="328"/>
        <v>1.6785698802548132</v>
      </c>
      <c r="AQ157" s="97" t="str">
        <f t="shared" si="334"/>
        <v>Foidite</v>
      </c>
      <c r="AR157" s="73">
        <f t="shared" si="335"/>
        <v>42.979195575518482</v>
      </c>
      <c r="AS157" s="73">
        <f t="shared" si="336"/>
        <v>0</v>
      </c>
      <c r="AT157" s="73">
        <f t="shared" si="337"/>
        <v>2.2088568296618716</v>
      </c>
      <c r="AU157" s="73">
        <f t="shared" si="338"/>
        <v>0</v>
      </c>
      <c r="AV157" s="73">
        <f t="shared" si="339"/>
        <v>5.9195362072052058</v>
      </c>
      <c r="AW157" s="73">
        <f t="shared" si="340"/>
        <v>0</v>
      </c>
      <c r="AX157" s="73">
        <f t="shared" si="341"/>
        <v>0</v>
      </c>
      <c r="AY157" s="73">
        <f t="shared" si="342"/>
        <v>0</v>
      </c>
      <c r="AZ157" s="73">
        <f t="shared" si="343"/>
        <v>0</v>
      </c>
      <c r="BA157" s="73">
        <f t="shared" si="344"/>
        <v>13.486888000263962</v>
      </c>
      <c r="BB157" s="73">
        <f t="shared" si="345"/>
        <v>27.546390816174053</v>
      </c>
      <c r="BC157" s="73">
        <f t="shared" si="346"/>
        <v>0</v>
      </c>
      <c r="BD157" s="73">
        <f t="shared" si="347"/>
        <v>0</v>
      </c>
      <c r="BE157" s="73">
        <f t="shared" si="348"/>
        <v>0</v>
      </c>
      <c r="BF157" s="73">
        <f t="shared" si="349"/>
        <v>0</v>
      </c>
      <c r="BG157" s="73">
        <f t="shared" si="350"/>
        <v>7.2492141324446733</v>
      </c>
      <c r="BH157" s="73">
        <f t="shared" si="351"/>
        <v>0.60991843873177187</v>
      </c>
      <c r="BI157" s="73">
        <f t="shared" si="352"/>
        <v>0</v>
      </c>
      <c r="BJ157" s="73">
        <f t="shared" si="353"/>
        <v>0</v>
      </c>
      <c r="BK157" s="73">
        <f t="shared" si="354"/>
        <v>0</v>
      </c>
      <c r="BL157" s="73">
        <f t="shared" si="355"/>
        <v>0</v>
      </c>
      <c r="BM157" s="73">
        <f t="shared" si="356"/>
        <v>0</v>
      </c>
      <c r="BN157" s="73">
        <f t="shared" si="357"/>
        <v>0</v>
      </c>
      <c r="BQ157">
        <f t="shared" si="260"/>
        <v>25.821900701771501</v>
      </c>
      <c r="BR157">
        <f t="shared" si="261"/>
        <v>0</v>
      </c>
      <c r="BS157">
        <f t="shared" si="262"/>
        <v>1.7648766068998354</v>
      </c>
      <c r="BT157">
        <f t="shared" si="263"/>
        <v>0</v>
      </c>
      <c r="BU157">
        <f t="shared" si="264"/>
        <v>6.0355591168664278</v>
      </c>
      <c r="BV157">
        <f t="shared" si="265"/>
        <v>0</v>
      </c>
      <c r="BW157">
        <f t="shared" si="266"/>
        <v>0</v>
      </c>
      <c r="BX157">
        <f t="shared" si="267"/>
        <v>0</v>
      </c>
      <c r="BY157">
        <f t="shared" si="268"/>
        <v>0</v>
      </c>
      <c r="BZ157">
        <f t="shared" si="269"/>
        <v>5.4365645529064031</v>
      </c>
      <c r="CA157">
        <f t="shared" si="270"/>
        <v>15.44801596971041</v>
      </c>
      <c r="CB157">
        <f t="shared" si="271"/>
        <v>0</v>
      </c>
      <c r="CC157">
        <f t="shared" si="272"/>
        <v>0</v>
      </c>
      <c r="CD157">
        <f t="shared" si="273"/>
        <v>0</v>
      </c>
      <c r="CE157">
        <f t="shared" si="274"/>
        <v>0</v>
      </c>
      <c r="CF157">
        <f t="shared" si="275"/>
        <v>4.4930629192892084</v>
      </c>
      <c r="CG157">
        <f t="shared" si="276"/>
        <v>0.57454316928532911</v>
      </c>
      <c r="CH157">
        <f t="shared" si="277"/>
        <v>0</v>
      </c>
      <c r="CI157">
        <f t="shared" si="278"/>
        <v>0</v>
      </c>
      <c r="CJ157">
        <f t="shared" si="279"/>
        <v>0</v>
      </c>
      <c r="CK157">
        <f t="shared" si="280"/>
        <v>0</v>
      </c>
      <c r="CL157">
        <f t="shared" si="281"/>
        <v>0</v>
      </c>
      <c r="CN157">
        <f t="shared" si="361"/>
        <v>59.574523036729119</v>
      </c>
      <c r="CP157">
        <f t="shared" si="305"/>
        <v>1.2893758672655544</v>
      </c>
      <c r="CQ157">
        <f t="shared" si="306"/>
        <v>0</v>
      </c>
      <c r="CR157">
        <f t="shared" si="307"/>
        <v>6.6265704889856142E-2</v>
      </c>
      <c r="CS157">
        <f t="shared" si="308"/>
        <v>0</v>
      </c>
      <c r="CT157">
        <f t="shared" si="309"/>
        <v>0.2959768103602603</v>
      </c>
      <c r="CU157">
        <f t="shared" si="310"/>
        <v>0</v>
      </c>
      <c r="CV157">
        <f t="shared" si="311"/>
        <v>0</v>
      </c>
      <c r="CW157">
        <f t="shared" si="312"/>
        <v>0</v>
      </c>
      <c r="CX157">
        <f t="shared" si="313"/>
        <v>0</v>
      </c>
      <c r="CY157">
        <f t="shared" si="314"/>
        <v>0.26973776000527921</v>
      </c>
      <c r="CZ157">
        <f t="shared" si="315"/>
        <v>0.55092781632348109</v>
      </c>
      <c r="DA157">
        <f t="shared" si="316"/>
        <v>0</v>
      </c>
      <c r="DB157">
        <f t="shared" si="317"/>
        <v>0</v>
      </c>
      <c r="DC157">
        <f t="shared" si="318"/>
        <v>0</v>
      </c>
      <c r="DD157">
        <f t="shared" si="319"/>
        <v>0</v>
      </c>
      <c r="DE157">
        <f t="shared" si="320"/>
        <v>0.21747642397334019</v>
      </c>
      <c r="DF157">
        <f t="shared" si="321"/>
        <v>1.8297553161953153E-2</v>
      </c>
      <c r="DG157">
        <f t="shared" si="322"/>
        <v>0</v>
      </c>
      <c r="DH157">
        <f t="shared" si="323"/>
        <v>0</v>
      </c>
      <c r="DI157">
        <f t="shared" si="324"/>
        <v>0</v>
      </c>
      <c r="DJ157">
        <f t="shared" si="325"/>
        <v>0</v>
      </c>
      <c r="DK157">
        <f t="shared" si="326"/>
        <v>0</v>
      </c>
      <c r="DM157">
        <f t="shared" si="327"/>
        <v>2.7080579359797241</v>
      </c>
    </row>
    <row r="158" spans="1:117">
      <c r="A158" s="117" t="s">
        <v>327</v>
      </c>
      <c r="B158" s="117" t="s">
        <v>333</v>
      </c>
      <c r="C158" s="117">
        <v>2.806</v>
      </c>
      <c r="F158" s="117">
        <v>6243</v>
      </c>
      <c r="G158" s="117">
        <v>3503</v>
      </c>
      <c r="H158" s="43">
        <f t="shared" si="329"/>
        <v>2.8364683389209688E+22</v>
      </c>
      <c r="I158" s="43">
        <f t="shared" si="330"/>
        <v>7.6813205953701548E+22</v>
      </c>
      <c r="J158" s="42">
        <f t="shared" si="331"/>
        <v>109.363987494</v>
      </c>
      <c r="K158" s="42">
        <f t="shared" si="358"/>
        <v>34.432451254</v>
      </c>
      <c r="L158" s="42">
        <f t="shared" si="359"/>
        <v>100.98681712835889</v>
      </c>
      <c r="M158" s="79">
        <f t="shared" si="332"/>
        <v>97.04028327878045</v>
      </c>
      <c r="O158" s="52" t="str">
        <f t="shared" si="333"/>
        <v>Foidite</v>
      </c>
      <c r="P158" s="117">
        <v>42.931065076875235</v>
      </c>
      <c r="R158" s="117">
        <v>2.9342546599706183</v>
      </c>
      <c r="T158" s="117">
        <v>10.034620774594796</v>
      </c>
      <c r="V158" s="117">
        <v>0</v>
      </c>
      <c r="W158" s="117">
        <v>0</v>
      </c>
      <c r="X158" s="117">
        <v>0</v>
      </c>
      <c r="Y158" s="117">
        <v>9.0387423184322664</v>
      </c>
      <c r="Z158" s="117">
        <v>25.683615879552463</v>
      </c>
      <c r="AE158" s="117">
        <v>7.470092105546156</v>
      </c>
      <c r="AF158" s="117">
        <v>0.9552259717415158</v>
      </c>
      <c r="AI158" s="117">
        <v>0</v>
      </c>
      <c r="AM158" s="86">
        <f t="shared" si="360"/>
        <v>99.04761678671305</v>
      </c>
      <c r="AO158" s="71">
        <f t="shared" si="328"/>
        <v>1.6625834624919757</v>
      </c>
      <c r="AQ158" s="97" t="str">
        <f t="shared" si="334"/>
        <v>Foidite</v>
      </c>
      <c r="AR158" s="73">
        <f t="shared" si="335"/>
        <v>42.979195575518474</v>
      </c>
      <c r="AS158" s="73">
        <f t="shared" si="336"/>
        <v>0</v>
      </c>
      <c r="AT158" s="73">
        <f t="shared" si="337"/>
        <v>2.208856829661872</v>
      </c>
      <c r="AU158" s="73">
        <f t="shared" si="338"/>
        <v>0</v>
      </c>
      <c r="AV158" s="73">
        <f t="shared" si="339"/>
        <v>5.9195362072052049</v>
      </c>
      <c r="AW158" s="73">
        <f t="shared" si="340"/>
        <v>0</v>
      </c>
      <c r="AX158" s="73">
        <f t="shared" si="341"/>
        <v>0</v>
      </c>
      <c r="AY158" s="73">
        <f t="shared" si="342"/>
        <v>0</v>
      </c>
      <c r="AZ158" s="73">
        <f t="shared" si="343"/>
        <v>0</v>
      </c>
      <c r="BA158" s="73">
        <f t="shared" si="344"/>
        <v>13.48688800026396</v>
      </c>
      <c r="BB158" s="73">
        <f t="shared" si="345"/>
        <v>27.546390816174046</v>
      </c>
      <c r="BC158" s="73">
        <f t="shared" si="346"/>
        <v>0</v>
      </c>
      <c r="BD158" s="73">
        <f t="shared" si="347"/>
        <v>0</v>
      </c>
      <c r="BE158" s="73">
        <f t="shared" si="348"/>
        <v>0</v>
      </c>
      <c r="BF158" s="73">
        <f t="shared" si="349"/>
        <v>0</v>
      </c>
      <c r="BG158" s="73">
        <f t="shared" si="350"/>
        <v>7.2492141324446724</v>
      </c>
      <c r="BH158" s="73">
        <f t="shared" si="351"/>
        <v>0.60991843873177187</v>
      </c>
      <c r="BI158" s="73">
        <f t="shared" si="352"/>
        <v>0</v>
      </c>
      <c r="BJ158" s="73">
        <f t="shared" si="353"/>
        <v>0</v>
      </c>
      <c r="BK158" s="73">
        <f t="shared" si="354"/>
        <v>0</v>
      </c>
      <c r="BL158" s="73">
        <f t="shared" si="355"/>
        <v>0</v>
      </c>
      <c r="BM158" s="73">
        <f t="shared" si="356"/>
        <v>0</v>
      </c>
      <c r="BN158" s="73">
        <f t="shared" si="357"/>
        <v>0</v>
      </c>
      <c r="BQ158">
        <f t="shared" si="260"/>
        <v>25.821900701771501</v>
      </c>
      <c r="BR158">
        <f t="shared" si="261"/>
        <v>0</v>
      </c>
      <c r="BS158">
        <f t="shared" si="262"/>
        <v>1.7648766068998358</v>
      </c>
      <c r="BT158">
        <f t="shared" si="263"/>
        <v>0</v>
      </c>
      <c r="BU158">
        <f t="shared" si="264"/>
        <v>6.035559116866426</v>
      </c>
      <c r="BV158">
        <f t="shared" si="265"/>
        <v>0</v>
      </c>
      <c r="BW158">
        <f t="shared" si="266"/>
        <v>0</v>
      </c>
      <c r="BX158">
        <f t="shared" si="267"/>
        <v>0</v>
      </c>
      <c r="BY158">
        <f t="shared" si="268"/>
        <v>0</v>
      </c>
      <c r="BZ158">
        <f t="shared" si="269"/>
        <v>5.4365645529064031</v>
      </c>
      <c r="CA158">
        <f t="shared" si="270"/>
        <v>15.448015969710406</v>
      </c>
      <c r="CB158">
        <f t="shared" si="271"/>
        <v>0</v>
      </c>
      <c r="CC158">
        <f t="shared" si="272"/>
        <v>0</v>
      </c>
      <c r="CD158">
        <f t="shared" si="273"/>
        <v>0</v>
      </c>
      <c r="CE158">
        <f t="shared" si="274"/>
        <v>0</v>
      </c>
      <c r="CF158">
        <f t="shared" si="275"/>
        <v>4.4930629192892084</v>
      </c>
      <c r="CG158">
        <f t="shared" si="276"/>
        <v>0.57454316928532911</v>
      </c>
      <c r="CH158">
        <f t="shared" si="277"/>
        <v>0</v>
      </c>
      <c r="CI158">
        <f t="shared" si="278"/>
        <v>0</v>
      </c>
      <c r="CJ158">
        <f t="shared" si="279"/>
        <v>0</v>
      </c>
      <c r="CK158">
        <f t="shared" si="280"/>
        <v>0</v>
      </c>
      <c r="CL158">
        <f t="shared" si="281"/>
        <v>0</v>
      </c>
      <c r="CN158">
        <f t="shared" si="361"/>
        <v>59.574523036729104</v>
      </c>
      <c r="CP158">
        <f t="shared" si="305"/>
        <v>1.2893758672655542</v>
      </c>
      <c r="CQ158">
        <f t="shared" si="306"/>
        <v>0</v>
      </c>
      <c r="CR158">
        <f t="shared" si="307"/>
        <v>6.6265704889856156E-2</v>
      </c>
      <c r="CS158">
        <f t="shared" si="308"/>
        <v>0</v>
      </c>
      <c r="CT158">
        <f t="shared" si="309"/>
        <v>0.29597681036026025</v>
      </c>
      <c r="CU158">
        <f t="shared" si="310"/>
        <v>0</v>
      </c>
      <c r="CV158">
        <f t="shared" si="311"/>
        <v>0</v>
      </c>
      <c r="CW158">
        <f t="shared" si="312"/>
        <v>0</v>
      </c>
      <c r="CX158">
        <f t="shared" si="313"/>
        <v>0</v>
      </c>
      <c r="CY158">
        <f t="shared" si="314"/>
        <v>0.26973776000527921</v>
      </c>
      <c r="CZ158">
        <f t="shared" si="315"/>
        <v>0.55092781632348098</v>
      </c>
      <c r="DA158">
        <f t="shared" si="316"/>
        <v>0</v>
      </c>
      <c r="DB158">
        <f t="shared" si="317"/>
        <v>0</v>
      </c>
      <c r="DC158">
        <f t="shared" si="318"/>
        <v>0</v>
      </c>
      <c r="DD158">
        <f t="shared" si="319"/>
        <v>0</v>
      </c>
      <c r="DE158">
        <f t="shared" si="320"/>
        <v>0.21747642397334019</v>
      </c>
      <c r="DF158">
        <f t="shared" si="321"/>
        <v>1.8297553161953153E-2</v>
      </c>
      <c r="DG158">
        <f t="shared" si="322"/>
        <v>0</v>
      </c>
      <c r="DH158">
        <f t="shared" si="323"/>
        <v>0</v>
      </c>
      <c r="DI158">
        <f t="shared" si="324"/>
        <v>0</v>
      </c>
      <c r="DJ158">
        <f t="shared" si="325"/>
        <v>0</v>
      </c>
      <c r="DK158">
        <f t="shared" si="326"/>
        <v>0</v>
      </c>
      <c r="DM158">
        <f t="shared" si="327"/>
        <v>2.7080579359797237</v>
      </c>
    </row>
    <row r="159" spans="1:117">
      <c r="A159" s="117" t="s">
        <v>327</v>
      </c>
      <c r="B159" s="117" t="s">
        <v>333</v>
      </c>
      <c r="C159" s="117">
        <v>2.806</v>
      </c>
      <c r="F159" s="117">
        <v>6265</v>
      </c>
      <c r="G159" s="117">
        <v>3547</v>
      </c>
      <c r="H159" s="43">
        <f t="shared" si="329"/>
        <v>2.8364683389209688E+22</v>
      </c>
      <c r="I159" s="43">
        <f t="shared" si="330"/>
        <v>7.6813205953701548E+22</v>
      </c>
      <c r="J159" s="42">
        <f t="shared" si="331"/>
        <v>110.13613135000001</v>
      </c>
      <c r="K159" s="42">
        <f t="shared" si="358"/>
        <v>35.302872454000003</v>
      </c>
      <c r="L159" s="42">
        <f t="shared" si="359"/>
        <v>103.59808072835889</v>
      </c>
      <c r="M159" s="79">
        <f t="shared" si="332"/>
        <v>99.651546878780451</v>
      </c>
      <c r="O159" s="52" t="str">
        <f t="shared" si="333"/>
        <v>Foidite</v>
      </c>
      <c r="P159" s="117">
        <v>42.931065076875235</v>
      </c>
      <c r="R159" s="117">
        <v>2.9342546599706183</v>
      </c>
      <c r="T159" s="117">
        <v>10.034620774594796</v>
      </c>
      <c r="V159" s="117">
        <v>0</v>
      </c>
      <c r="W159" s="117">
        <v>0</v>
      </c>
      <c r="X159" s="117">
        <v>0</v>
      </c>
      <c r="Y159" s="117">
        <v>9.0387423184322664</v>
      </c>
      <c r="Z159" s="117">
        <v>25.683615879552463</v>
      </c>
      <c r="AE159" s="117">
        <v>7.470092105546156</v>
      </c>
      <c r="AF159" s="117">
        <v>0.9552259717415158</v>
      </c>
      <c r="AI159" s="117">
        <v>0</v>
      </c>
      <c r="AM159" s="86">
        <f t="shared" si="360"/>
        <v>99.04761678671305</v>
      </c>
      <c r="AO159" s="71">
        <f t="shared" si="328"/>
        <v>1.6625834624919757</v>
      </c>
      <c r="AQ159" s="97" t="str">
        <f t="shared" si="334"/>
        <v>Foidite</v>
      </c>
      <c r="AR159" s="73">
        <f t="shared" si="335"/>
        <v>42.979195575518474</v>
      </c>
      <c r="AS159" s="73">
        <f t="shared" si="336"/>
        <v>0</v>
      </c>
      <c r="AT159" s="73">
        <f t="shared" si="337"/>
        <v>2.208856829661872</v>
      </c>
      <c r="AU159" s="73">
        <f t="shared" si="338"/>
        <v>0</v>
      </c>
      <c r="AV159" s="73">
        <f t="shared" si="339"/>
        <v>5.9195362072052049</v>
      </c>
      <c r="AW159" s="73">
        <f t="shared" si="340"/>
        <v>0</v>
      </c>
      <c r="AX159" s="73">
        <f t="shared" si="341"/>
        <v>0</v>
      </c>
      <c r="AY159" s="73">
        <f t="shared" si="342"/>
        <v>0</v>
      </c>
      <c r="AZ159" s="73">
        <f t="shared" si="343"/>
        <v>0</v>
      </c>
      <c r="BA159" s="73">
        <f t="shared" si="344"/>
        <v>13.48688800026396</v>
      </c>
      <c r="BB159" s="73">
        <f t="shared" si="345"/>
        <v>27.546390816174046</v>
      </c>
      <c r="BC159" s="73">
        <f t="shared" si="346"/>
        <v>0</v>
      </c>
      <c r="BD159" s="73">
        <f t="shared" si="347"/>
        <v>0</v>
      </c>
      <c r="BE159" s="73">
        <f t="shared" si="348"/>
        <v>0</v>
      </c>
      <c r="BF159" s="73">
        <f t="shared" si="349"/>
        <v>0</v>
      </c>
      <c r="BG159" s="73">
        <f t="shared" si="350"/>
        <v>7.2492141324446724</v>
      </c>
      <c r="BH159" s="73">
        <f t="shared" si="351"/>
        <v>0.60991843873177187</v>
      </c>
      <c r="BI159" s="73">
        <f t="shared" si="352"/>
        <v>0</v>
      </c>
      <c r="BJ159" s="73">
        <f t="shared" si="353"/>
        <v>0</v>
      </c>
      <c r="BK159" s="73">
        <f t="shared" si="354"/>
        <v>0</v>
      </c>
      <c r="BL159" s="73">
        <f t="shared" si="355"/>
        <v>0</v>
      </c>
      <c r="BM159" s="73">
        <f t="shared" si="356"/>
        <v>0</v>
      </c>
      <c r="BN159" s="73">
        <f t="shared" si="357"/>
        <v>0</v>
      </c>
      <c r="BQ159">
        <f t="shared" si="260"/>
        <v>25.821900701771501</v>
      </c>
      <c r="BR159">
        <f t="shared" si="261"/>
        <v>0</v>
      </c>
      <c r="BS159">
        <f t="shared" si="262"/>
        <v>1.7648766068998358</v>
      </c>
      <c r="BT159">
        <f t="shared" si="263"/>
        <v>0</v>
      </c>
      <c r="BU159">
        <f t="shared" si="264"/>
        <v>6.035559116866426</v>
      </c>
      <c r="BV159">
        <f t="shared" si="265"/>
        <v>0</v>
      </c>
      <c r="BW159">
        <f t="shared" si="266"/>
        <v>0</v>
      </c>
      <c r="BX159">
        <f t="shared" si="267"/>
        <v>0</v>
      </c>
      <c r="BY159">
        <f t="shared" si="268"/>
        <v>0</v>
      </c>
      <c r="BZ159">
        <f t="shared" si="269"/>
        <v>5.4365645529064031</v>
      </c>
      <c r="CA159">
        <f t="shared" si="270"/>
        <v>15.448015969710406</v>
      </c>
      <c r="CB159">
        <f t="shared" si="271"/>
        <v>0</v>
      </c>
      <c r="CC159">
        <f t="shared" si="272"/>
        <v>0</v>
      </c>
      <c r="CD159">
        <f t="shared" si="273"/>
        <v>0</v>
      </c>
      <c r="CE159">
        <f t="shared" si="274"/>
        <v>0</v>
      </c>
      <c r="CF159">
        <f t="shared" si="275"/>
        <v>4.4930629192892084</v>
      </c>
      <c r="CG159">
        <f t="shared" si="276"/>
        <v>0.57454316928532911</v>
      </c>
      <c r="CH159">
        <f t="shared" si="277"/>
        <v>0</v>
      </c>
      <c r="CI159">
        <f t="shared" si="278"/>
        <v>0</v>
      </c>
      <c r="CJ159">
        <f t="shared" si="279"/>
        <v>0</v>
      </c>
      <c r="CK159">
        <f t="shared" si="280"/>
        <v>0</v>
      </c>
      <c r="CL159">
        <f t="shared" si="281"/>
        <v>0</v>
      </c>
      <c r="CN159">
        <f t="shared" si="361"/>
        <v>59.574523036729104</v>
      </c>
      <c r="CP159">
        <f t="shared" si="305"/>
        <v>1.2893758672655542</v>
      </c>
      <c r="CQ159">
        <f t="shared" si="306"/>
        <v>0</v>
      </c>
      <c r="CR159">
        <f t="shared" si="307"/>
        <v>6.6265704889856156E-2</v>
      </c>
      <c r="CS159">
        <f t="shared" si="308"/>
        <v>0</v>
      </c>
      <c r="CT159">
        <f t="shared" si="309"/>
        <v>0.29597681036026025</v>
      </c>
      <c r="CU159">
        <f t="shared" si="310"/>
        <v>0</v>
      </c>
      <c r="CV159">
        <f t="shared" si="311"/>
        <v>0</v>
      </c>
      <c r="CW159">
        <f t="shared" si="312"/>
        <v>0</v>
      </c>
      <c r="CX159">
        <f t="shared" si="313"/>
        <v>0</v>
      </c>
      <c r="CY159">
        <f t="shared" si="314"/>
        <v>0.26973776000527921</v>
      </c>
      <c r="CZ159">
        <f t="shared" si="315"/>
        <v>0.55092781632348098</v>
      </c>
      <c r="DA159">
        <f t="shared" si="316"/>
        <v>0</v>
      </c>
      <c r="DB159">
        <f t="shared" si="317"/>
        <v>0</v>
      </c>
      <c r="DC159">
        <f t="shared" si="318"/>
        <v>0</v>
      </c>
      <c r="DD159">
        <f t="shared" si="319"/>
        <v>0</v>
      </c>
      <c r="DE159">
        <f t="shared" si="320"/>
        <v>0.21747642397334019</v>
      </c>
      <c r="DF159">
        <f t="shared" si="321"/>
        <v>1.8297553161953153E-2</v>
      </c>
      <c r="DG159">
        <f t="shared" si="322"/>
        <v>0</v>
      </c>
      <c r="DH159">
        <f t="shared" si="323"/>
        <v>0</v>
      </c>
      <c r="DI159">
        <f t="shared" si="324"/>
        <v>0</v>
      </c>
      <c r="DJ159">
        <f t="shared" si="325"/>
        <v>0</v>
      </c>
      <c r="DK159">
        <f t="shared" si="326"/>
        <v>0</v>
      </c>
      <c r="DM159">
        <f t="shared" si="327"/>
        <v>2.7080579359797237</v>
      </c>
    </row>
    <row r="160" spans="1:117">
      <c r="A160" s="117" t="s">
        <v>327</v>
      </c>
      <c r="B160" s="117" t="s">
        <v>333</v>
      </c>
      <c r="C160" s="117">
        <v>2.8010000000000002</v>
      </c>
      <c r="F160" s="117">
        <v>6308</v>
      </c>
      <c r="G160" s="117">
        <v>3558</v>
      </c>
      <c r="H160" s="43">
        <f t="shared" si="329"/>
        <v>2.8314140475116296E+22</v>
      </c>
      <c r="I160" s="43">
        <f t="shared" si="330"/>
        <v>7.6676332814083402E+22</v>
      </c>
      <c r="J160" s="42">
        <f t="shared" si="331"/>
        <v>111.45421006400001</v>
      </c>
      <c r="K160" s="42">
        <f t="shared" si="358"/>
        <v>35.458878564000003</v>
      </c>
      <c r="L160" s="42">
        <f t="shared" si="359"/>
        <v>104.0702161977631</v>
      </c>
      <c r="M160" s="79">
        <f t="shared" si="332"/>
        <v>100.13071466081755</v>
      </c>
      <c r="O160" s="52" t="str">
        <f t="shared" si="333"/>
        <v>Foidite</v>
      </c>
      <c r="P160" s="117">
        <v>42.792651858182452</v>
      </c>
      <c r="R160" s="117">
        <v>2.9247943861287378</v>
      </c>
      <c r="T160" s="117">
        <v>10.002268347342268</v>
      </c>
      <c r="V160" s="117">
        <v>0</v>
      </c>
      <c r="W160" s="117">
        <v>0</v>
      </c>
      <c r="X160" s="117">
        <v>0</v>
      </c>
      <c r="Y160" s="117">
        <v>9.0096006836978706</v>
      </c>
      <c r="Z160" s="117">
        <v>25.600809829080802</v>
      </c>
      <c r="AE160" s="117">
        <v>7.4460079257008918</v>
      </c>
      <c r="AF160" s="117">
        <v>0.95214624611414245</v>
      </c>
      <c r="AI160" s="117">
        <v>0</v>
      </c>
      <c r="AM160" s="86">
        <f t="shared" si="360"/>
        <v>98.728279276247164</v>
      </c>
      <c r="AO160" s="71">
        <f t="shared" si="328"/>
        <v>1.6572231592249398</v>
      </c>
      <c r="AQ160" s="97" t="str">
        <f t="shared" si="334"/>
        <v>Foidite</v>
      </c>
      <c r="AR160" s="73">
        <f t="shared" si="335"/>
        <v>42.979195575518474</v>
      </c>
      <c r="AS160" s="73">
        <f t="shared" si="336"/>
        <v>0</v>
      </c>
      <c r="AT160" s="73">
        <f t="shared" si="337"/>
        <v>2.2088568296618716</v>
      </c>
      <c r="AU160" s="73">
        <f t="shared" si="338"/>
        <v>0</v>
      </c>
      <c r="AV160" s="73">
        <f t="shared" si="339"/>
        <v>5.9195362072052058</v>
      </c>
      <c r="AW160" s="73">
        <f t="shared" si="340"/>
        <v>0</v>
      </c>
      <c r="AX160" s="73">
        <f t="shared" si="341"/>
        <v>0</v>
      </c>
      <c r="AY160" s="73">
        <f t="shared" si="342"/>
        <v>0</v>
      </c>
      <c r="AZ160" s="73">
        <f t="shared" si="343"/>
        <v>0</v>
      </c>
      <c r="BA160" s="73">
        <f t="shared" si="344"/>
        <v>13.48688800026396</v>
      </c>
      <c r="BB160" s="73">
        <f t="shared" si="345"/>
        <v>27.546390816174053</v>
      </c>
      <c r="BC160" s="73">
        <f t="shared" si="346"/>
        <v>0</v>
      </c>
      <c r="BD160" s="73">
        <f t="shared" si="347"/>
        <v>0</v>
      </c>
      <c r="BE160" s="73">
        <f t="shared" si="348"/>
        <v>0</v>
      </c>
      <c r="BF160" s="73">
        <f t="shared" si="349"/>
        <v>0</v>
      </c>
      <c r="BG160" s="73">
        <f t="shared" si="350"/>
        <v>7.2492141324446733</v>
      </c>
      <c r="BH160" s="73">
        <f t="shared" si="351"/>
        <v>0.60991843873177187</v>
      </c>
      <c r="BI160" s="73">
        <f t="shared" si="352"/>
        <v>0</v>
      </c>
      <c r="BJ160" s="73">
        <f t="shared" si="353"/>
        <v>0</v>
      </c>
      <c r="BK160" s="73">
        <f t="shared" si="354"/>
        <v>0</v>
      </c>
      <c r="BL160" s="73">
        <f t="shared" si="355"/>
        <v>0</v>
      </c>
      <c r="BM160" s="73">
        <f t="shared" si="356"/>
        <v>0</v>
      </c>
      <c r="BN160" s="73">
        <f t="shared" si="357"/>
        <v>0</v>
      </c>
      <c r="BQ160">
        <f t="shared" si="260"/>
        <v>25.821900701771501</v>
      </c>
      <c r="BR160">
        <f t="shared" si="261"/>
        <v>0</v>
      </c>
      <c r="BS160">
        <f t="shared" si="262"/>
        <v>1.7648766068998354</v>
      </c>
      <c r="BT160">
        <f t="shared" si="263"/>
        <v>0</v>
      </c>
      <c r="BU160">
        <f t="shared" si="264"/>
        <v>6.0355591168664278</v>
      </c>
      <c r="BV160">
        <f t="shared" si="265"/>
        <v>0</v>
      </c>
      <c r="BW160">
        <f t="shared" si="266"/>
        <v>0</v>
      </c>
      <c r="BX160">
        <f t="shared" si="267"/>
        <v>0</v>
      </c>
      <c r="BY160">
        <f t="shared" si="268"/>
        <v>0</v>
      </c>
      <c r="BZ160">
        <f t="shared" si="269"/>
        <v>5.4365645529064031</v>
      </c>
      <c r="CA160">
        <f t="shared" si="270"/>
        <v>15.44801596971041</v>
      </c>
      <c r="CB160">
        <f t="shared" si="271"/>
        <v>0</v>
      </c>
      <c r="CC160">
        <f t="shared" si="272"/>
        <v>0</v>
      </c>
      <c r="CD160">
        <f t="shared" si="273"/>
        <v>0</v>
      </c>
      <c r="CE160">
        <f t="shared" si="274"/>
        <v>0</v>
      </c>
      <c r="CF160">
        <f t="shared" si="275"/>
        <v>4.4930629192892084</v>
      </c>
      <c r="CG160">
        <f t="shared" si="276"/>
        <v>0.57454316928532911</v>
      </c>
      <c r="CH160">
        <f t="shared" si="277"/>
        <v>0</v>
      </c>
      <c r="CI160">
        <f t="shared" si="278"/>
        <v>0</v>
      </c>
      <c r="CJ160">
        <f t="shared" si="279"/>
        <v>0</v>
      </c>
      <c r="CK160">
        <f t="shared" si="280"/>
        <v>0</v>
      </c>
      <c r="CL160">
        <f t="shared" si="281"/>
        <v>0</v>
      </c>
      <c r="CN160">
        <f t="shared" si="361"/>
        <v>59.574523036729119</v>
      </c>
      <c r="CP160">
        <f t="shared" si="305"/>
        <v>1.2893758672655542</v>
      </c>
      <c r="CQ160">
        <f t="shared" si="306"/>
        <v>0</v>
      </c>
      <c r="CR160">
        <f t="shared" si="307"/>
        <v>6.6265704889856142E-2</v>
      </c>
      <c r="CS160">
        <f t="shared" si="308"/>
        <v>0</v>
      </c>
      <c r="CT160">
        <f t="shared" si="309"/>
        <v>0.2959768103602603</v>
      </c>
      <c r="CU160">
        <f t="shared" si="310"/>
        <v>0</v>
      </c>
      <c r="CV160">
        <f t="shared" si="311"/>
        <v>0</v>
      </c>
      <c r="CW160">
        <f t="shared" si="312"/>
        <v>0</v>
      </c>
      <c r="CX160">
        <f t="shared" si="313"/>
        <v>0</v>
      </c>
      <c r="CY160">
        <f t="shared" si="314"/>
        <v>0.26973776000527921</v>
      </c>
      <c r="CZ160">
        <f t="shared" si="315"/>
        <v>0.55092781632348109</v>
      </c>
      <c r="DA160">
        <f t="shared" si="316"/>
        <v>0</v>
      </c>
      <c r="DB160">
        <f t="shared" si="317"/>
        <v>0</v>
      </c>
      <c r="DC160">
        <f t="shared" si="318"/>
        <v>0</v>
      </c>
      <c r="DD160">
        <f t="shared" si="319"/>
        <v>0</v>
      </c>
      <c r="DE160">
        <f t="shared" si="320"/>
        <v>0.21747642397334019</v>
      </c>
      <c r="DF160">
        <f t="shared" si="321"/>
        <v>1.8297553161953153E-2</v>
      </c>
      <c r="DG160">
        <f t="shared" si="322"/>
        <v>0</v>
      </c>
      <c r="DH160">
        <f t="shared" si="323"/>
        <v>0</v>
      </c>
      <c r="DI160">
        <f t="shared" si="324"/>
        <v>0</v>
      </c>
      <c r="DJ160">
        <f t="shared" si="325"/>
        <v>0</v>
      </c>
      <c r="DK160">
        <f t="shared" si="326"/>
        <v>0</v>
      </c>
      <c r="DM160">
        <f t="shared" si="327"/>
        <v>2.7080579359797241</v>
      </c>
    </row>
    <row r="161" spans="1:117">
      <c r="A161" s="117" t="s">
        <v>327</v>
      </c>
      <c r="B161" s="117" t="s">
        <v>333</v>
      </c>
      <c r="C161" s="117">
        <v>2.7909999999999999</v>
      </c>
      <c r="F161" s="117">
        <v>6265</v>
      </c>
      <c r="G161" s="117">
        <v>3514</v>
      </c>
      <c r="H161" s="43">
        <f t="shared" si="329"/>
        <v>2.8213054646929519E+22</v>
      </c>
      <c r="I161" s="43">
        <f t="shared" si="330"/>
        <v>7.6402586534847111E+22</v>
      </c>
      <c r="J161" s="42">
        <f t="shared" si="331"/>
        <v>109.54737797499999</v>
      </c>
      <c r="K161" s="42">
        <f t="shared" si="358"/>
        <v>34.463815036</v>
      </c>
      <c r="L161" s="42">
        <f t="shared" si="359"/>
        <v>101.09325989257151</v>
      </c>
      <c r="M161" s="79">
        <f t="shared" si="332"/>
        <v>97.167822980891742</v>
      </c>
      <c r="O161" s="52" t="str">
        <f t="shared" si="333"/>
        <v>Foidite</v>
      </c>
      <c r="P161" s="117">
        <v>42.587962676267686</v>
      </c>
      <c r="R161" s="117">
        <v>2.9108042793190534</v>
      </c>
      <c r="T161" s="117">
        <v>9.9544247097921907</v>
      </c>
      <c r="V161" s="117">
        <v>0</v>
      </c>
      <c r="W161" s="117">
        <v>0</v>
      </c>
      <c r="X161" s="117">
        <v>0</v>
      </c>
      <c r="Y161" s="117">
        <v>8.9665052522804256</v>
      </c>
      <c r="Z161" s="117">
        <v>25.478354019666686</v>
      </c>
      <c r="AE161" s="117">
        <v>7.4103915942827401</v>
      </c>
      <c r="AF161" s="117">
        <v>0.94759186521654781</v>
      </c>
      <c r="AI161" s="117">
        <v>0</v>
      </c>
      <c r="AM161" s="86">
        <f t="shared" si="360"/>
        <v>98.256034396825328</v>
      </c>
      <c r="AO161" s="71">
        <f t="shared" si="328"/>
        <v>1.6492961989179191</v>
      </c>
      <c r="AQ161" s="97" t="str">
        <f t="shared" si="334"/>
        <v>Foidite</v>
      </c>
      <c r="AR161" s="73">
        <f t="shared" si="335"/>
        <v>42.979195575518489</v>
      </c>
      <c r="AS161" s="73">
        <f t="shared" si="336"/>
        <v>0</v>
      </c>
      <c r="AT161" s="73">
        <f t="shared" si="337"/>
        <v>2.2088568296618716</v>
      </c>
      <c r="AU161" s="73">
        <f t="shared" si="338"/>
        <v>0</v>
      </c>
      <c r="AV161" s="73">
        <f t="shared" si="339"/>
        <v>5.9195362072052049</v>
      </c>
      <c r="AW161" s="73">
        <f t="shared" si="340"/>
        <v>0</v>
      </c>
      <c r="AX161" s="73">
        <f t="shared" si="341"/>
        <v>0</v>
      </c>
      <c r="AY161" s="73">
        <f t="shared" si="342"/>
        <v>0</v>
      </c>
      <c r="AZ161" s="73">
        <f t="shared" si="343"/>
        <v>0</v>
      </c>
      <c r="BA161" s="73">
        <f t="shared" si="344"/>
        <v>13.486888000263958</v>
      </c>
      <c r="BB161" s="73">
        <f t="shared" si="345"/>
        <v>27.546390816174046</v>
      </c>
      <c r="BC161" s="73">
        <f t="shared" si="346"/>
        <v>0</v>
      </c>
      <c r="BD161" s="73">
        <f t="shared" si="347"/>
        <v>0</v>
      </c>
      <c r="BE161" s="73">
        <f t="shared" si="348"/>
        <v>0</v>
      </c>
      <c r="BF161" s="73">
        <f t="shared" si="349"/>
        <v>0</v>
      </c>
      <c r="BG161" s="73">
        <f t="shared" si="350"/>
        <v>7.2492141324446733</v>
      </c>
      <c r="BH161" s="73">
        <f t="shared" si="351"/>
        <v>0.60991843873177176</v>
      </c>
      <c r="BI161" s="73">
        <f t="shared" si="352"/>
        <v>0</v>
      </c>
      <c r="BJ161" s="73">
        <f t="shared" si="353"/>
        <v>0</v>
      </c>
      <c r="BK161" s="73">
        <f t="shared" si="354"/>
        <v>0</v>
      </c>
      <c r="BL161" s="73">
        <f t="shared" si="355"/>
        <v>0</v>
      </c>
      <c r="BM161" s="73">
        <f t="shared" si="356"/>
        <v>0</v>
      </c>
      <c r="BN161" s="73">
        <f t="shared" si="357"/>
        <v>0</v>
      </c>
      <c r="BQ161">
        <f t="shared" si="260"/>
        <v>25.821900701771504</v>
      </c>
      <c r="BR161">
        <f t="shared" si="261"/>
        <v>0</v>
      </c>
      <c r="BS161">
        <f t="shared" si="262"/>
        <v>1.7648766068998354</v>
      </c>
      <c r="BT161">
        <f t="shared" si="263"/>
        <v>0</v>
      </c>
      <c r="BU161">
        <f t="shared" si="264"/>
        <v>6.035559116866426</v>
      </c>
      <c r="BV161">
        <f t="shared" si="265"/>
        <v>0</v>
      </c>
      <c r="BW161">
        <f t="shared" si="266"/>
        <v>0</v>
      </c>
      <c r="BX161">
        <f t="shared" si="267"/>
        <v>0</v>
      </c>
      <c r="BY161">
        <f t="shared" si="268"/>
        <v>0</v>
      </c>
      <c r="BZ161">
        <f t="shared" si="269"/>
        <v>5.4365645529064022</v>
      </c>
      <c r="CA161">
        <f t="shared" si="270"/>
        <v>15.448015969710406</v>
      </c>
      <c r="CB161">
        <f t="shared" si="271"/>
        <v>0</v>
      </c>
      <c r="CC161">
        <f t="shared" si="272"/>
        <v>0</v>
      </c>
      <c r="CD161">
        <f t="shared" si="273"/>
        <v>0</v>
      </c>
      <c r="CE161">
        <f t="shared" si="274"/>
        <v>0</v>
      </c>
      <c r="CF161">
        <f t="shared" si="275"/>
        <v>4.4930629192892084</v>
      </c>
      <c r="CG161">
        <f t="shared" si="276"/>
        <v>0.574543169285329</v>
      </c>
      <c r="CH161">
        <f t="shared" si="277"/>
        <v>0</v>
      </c>
      <c r="CI161">
        <f t="shared" si="278"/>
        <v>0</v>
      </c>
      <c r="CJ161">
        <f t="shared" si="279"/>
        <v>0</v>
      </c>
      <c r="CK161">
        <f t="shared" si="280"/>
        <v>0</v>
      </c>
      <c r="CL161">
        <f t="shared" si="281"/>
        <v>0</v>
      </c>
      <c r="CN161">
        <f t="shared" si="361"/>
        <v>59.574523036729111</v>
      </c>
      <c r="CP161">
        <f t="shared" si="305"/>
        <v>1.2893758672655546</v>
      </c>
      <c r="CQ161">
        <f t="shared" si="306"/>
        <v>0</v>
      </c>
      <c r="CR161">
        <f t="shared" si="307"/>
        <v>6.6265704889856142E-2</v>
      </c>
      <c r="CS161">
        <f t="shared" si="308"/>
        <v>0</v>
      </c>
      <c r="CT161">
        <f t="shared" si="309"/>
        <v>0.29597681036026025</v>
      </c>
      <c r="CU161">
        <f t="shared" si="310"/>
        <v>0</v>
      </c>
      <c r="CV161">
        <f t="shared" si="311"/>
        <v>0</v>
      </c>
      <c r="CW161">
        <f t="shared" si="312"/>
        <v>0</v>
      </c>
      <c r="CX161">
        <f t="shared" si="313"/>
        <v>0</v>
      </c>
      <c r="CY161">
        <f t="shared" si="314"/>
        <v>0.26973776000527916</v>
      </c>
      <c r="CZ161">
        <f t="shared" si="315"/>
        <v>0.55092781632348098</v>
      </c>
      <c r="DA161">
        <f t="shared" si="316"/>
        <v>0</v>
      </c>
      <c r="DB161">
        <f t="shared" si="317"/>
        <v>0</v>
      </c>
      <c r="DC161">
        <f t="shared" si="318"/>
        <v>0</v>
      </c>
      <c r="DD161">
        <f t="shared" si="319"/>
        <v>0</v>
      </c>
      <c r="DE161">
        <f t="shared" si="320"/>
        <v>0.21747642397334019</v>
      </c>
      <c r="DF161">
        <f t="shared" si="321"/>
        <v>1.8297553161953153E-2</v>
      </c>
      <c r="DG161">
        <f t="shared" si="322"/>
        <v>0</v>
      </c>
      <c r="DH161">
        <f t="shared" si="323"/>
        <v>0</v>
      </c>
      <c r="DI161">
        <f t="shared" si="324"/>
        <v>0</v>
      </c>
      <c r="DJ161">
        <f t="shared" si="325"/>
        <v>0</v>
      </c>
      <c r="DK161">
        <f t="shared" si="326"/>
        <v>0</v>
      </c>
      <c r="DM161">
        <f t="shared" si="327"/>
        <v>2.7080579359797241</v>
      </c>
    </row>
    <row r="162" spans="1:117">
      <c r="A162" s="117" t="s">
        <v>327</v>
      </c>
      <c r="B162" s="117" t="s">
        <v>333</v>
      </c>
      <c r="C162" s="117">
        <v>2.7909999999999999</v>
      </c>
      <c r="F162" s="117">
        <v>6374</v>
      </c>
      <c r="G162" s="117">
        <v>3602</v>
      </c>
      <c r="H162" s="43">
        <f t="shared" si="329"/>
        <v>2.8213054646929527E+22</v>
      </c>
      <c r="I162" s="43">
        <f t="shared" si="330"/>
        <v>7.6402586534847128E+22</v>
      </c>
      <c r="J162" s="42">
        <f t="shared" si="331"/>
        <v>113.392401916</v>
      </c>
      <c r="K162" s="42">
        <f t="shared" si="358"/>
        <v>36.211561563999993</v>
      </c>
      <c r="L162" s="42">
        <f t="shared" si="359"/>
        <v>106.33649947657149</v>
      </c>
      <c r="M162" s="79">
        <f t="shared" si="332"/>
        <v>102.41106256489172</v>
      </c>
      <c r="O162" s="52" t="str">
        <f t="shared" si="333"/>
        <v>Foidite</v>
      </c>
      <c r="P162" s="117">
        <v>42.521008258580977</v>
      </c>
      <c r="R162" s="117">
        <v>2.9062280753103469</v>
      </c>
      <c r="T162" s="117">
        <v>9.9387749189130972</v>
      </c>
      <c r="V162" s="117">
        <v>0</v>
      </c>
      <c r="W162" s="117">
        <v>0</v>
      </c>
      <c r="X162" s="117">
        <v>0</v>
      </c>
      <c r="Y162" s="117">
        <v>8.9524086132273961</v>
      </c>
      <c r="Z162" s="117">
        <v>25.438298373662441</v>
      </c>
      <c r="AE162" s="117">
        <v>7.3987413902615424</v>
      </c>
      <c r="AF162" s="117">
        <v>0.9461021141800281</v>
      </c>
      <c r="AI162" s="117">
        <v>0</v>
      </c>
      <c r="AM162" s="86">
        <f t="shared" si="360"/>
        <v>98.101561744135836</v>
      </c>
      <c r="AO162" s="71">
        <f t="shared" si="328"/>
        <v>1.6467032674966429</v>
      </c>
      <c r="AQ162" s="97" t="str">
        <f t="shared" si="334"/>
        <v>Foidite</v>
      </c>
      <c r="AR162" s="73">
        <f t="shared" si="335"/>
        <v>42.979195575518474</v>
      </c>
      <c r="AS162" s="73">
        <f t="shared" si="336"/>
        <v>0</v>
      </c>
      <c r="AT162" s="73">
        <f t="shared" si="337"/>
        <v>2.2088568296618716</v>
      </c>
      <c r="AU162" s="73">
        <f t="shared" si="338"/>
        <v>0</v>
      </c>
      <c r="AV162" s="73">
        <f t="shared" si="339"/>
        <v>5.9195362072052049</v>
      </c>
      <c r="AW162" s="73">
        <f t="shared" si="340"/>
        <v>0</v>
      </c>
      <c r="AX162" s="73">
        <f t="shared" si="341"/>
        <v>0</v>
      </c>
      <c r="AY162" s="73">
        <f t="shared" si="342"/>
        <v>0</v>
      </c>
      <c r="AZ162" s="73">
        <f t="shared" si="343"/>
        <v>0</v>
      </c>
      <c r="BA162" s="73">
        <f t="shared" si="344"/>
        <v>13.486888000263956</v>
      </c>
      <c r="BB162" s="73">
        <f t="shared" si="345"/>
        <v>27.546390816174046</v>
      </c>
      <c r="BC162" s="73">
        <f t="shared" si="346"/>
        <v>0</v>
      </c>
      <c r="BD162" s="73">
        <f t="shared" si="347"/>
        <v>0</v>
      </c>
      <c r="BE162" s="73">
        <f t="shared" si="348"/>
        <v>0</v>
      </c>
      <c r="BF162" s="73">
        <f t="shared" si="349"/>
        <v>0</v>
      </c>
      <c r="BG162" s="73">
        <f t="shared" si="350"/>
        <v>7.2492141324446715</v>
      </c>
      <c r="BH162" s="73">
        <f t="shared" si="351"/>
        <v>0.60991843873177176</v>
      </c>
      <c r="BI162" s="73">
        <f t="shared" si="352"/>
        <v>0</v>
      </c>
      <c r="BJ162" s="73">
        <f t="shared" si="353"/>
        <v>0</v>
      </c>
      <c r="BK162" s="73">
        <f t="shared" si="354"/>
        <v>0</v>
      </c>
      <c r="BL162" s="73">
        <f t="shared" si="355"/>
        <v>0</v>
      </c>
      <c r="BM162" s="73">
        <f t="shared" si="356"/>
        <v>0</v>
      </c>
      <c r="BN162" s="73">
        <f t="shared" si="357"/>
        <v>0</v>
      </c>
      <c r="BQ162">
        <f t="shared" si="260"/>
        <v>25.821900701771501</v>
      </c>
      <c r="BR162">
        <f t="shared" si="261"/>
        <v>0</v>
      </c>
      <c r="BS162">
        <f t="shared" si="262"/>
        <v>1.7648766068998354</v>
      </c>
      <c r="BT162">
        <f t="shared" si="263"/>
        <v>0</v>
      </c>
      <c r="BU162">
        <f t="shared" si="264"/>
        <v>6.035559116866426</v>
      </c>
      <c r="BV162">
        <f t="shared" si="265"/>
        <v>0</v>
      </c>
      <c r="BW162">
        <f t="shared" si="266"/>
        <v>0</v>
      </c>
      <c r="BX162">
        <f t="shared" si="267"/>
        <v>0</v>
      </c>
      <c r="BY162">
        <f t="shared" si="268"/>
        <v>0</v>
      </c>
      <c r="BZ162">
        <f t="shared" si="269"/>
        <v>5.4365645529064004</v>
      </c>
      <c r="CA162">
        <f t="shared" si="270"/>
        <v>15.448015969710406</v>
      </c>
      <c r="CB162">
        <f t="shared" si="271"/>
        <v>0</v>
      </c>
      <c r="CC162">
        <f t="shared" si="272"/>
        <v>0</v>
      </c>
      <c r="CD162">
        <f t="shared" si="273"/>
        <v>0</v>
      </c>
      <c r="CE162">
        <f t="shared" si="274"/>
        <v>0</v>
      </c>
      <c r="CF162">
        <f t="shared" si="275"/>
        <v>4.4930629192892075</v>
      </c>
      <c r="CG162">
        <f t="shared" si="276"/>
        <v>0.574543169285329</v>
      </c>
      <c r="CH162">
        <f t="shared" si="277"/>
        <v>0</v>
      </c>
      <c r="CI162">
        <f t="shared" si="278"/>
        <v>0</v>
      </c>
      <c r="CJ162">
        <f t="shared" si="279"/>
        <v>0</v>
      </c>
      <c r="CK162">
        <f t="shared" si="280"/>
        <v>0</v>
      </c>
      <c r="CL162">
        <f t="shared" si="281"/>
        <v>0</v>
      </c>
      <c r="CN162">
        <f t="shared" si="361"/>
        <v>59.574523036729097</v>
      </c>
      <c r="CP162">
        <f t="shared" si="305"/>
        <v>1.2893758672655542</v>
      </c>
      <c r="CQ162">
        <f t="shared" si="306"/>
        <v>0</v>
      </c>
      <c r="CR162">
        <f t="shared" si="307"/>
        <v>6.6265704889856142E-2</v>
      </c>
      <c r="CS162">
        <f t="shared" si="308"/>
        <v>0</v>
      </c>
      <c r="CT162">
        <f t="shared" si="309"/>
        <v>0.29597681036026025</v>
      </c>
      <c r="CU162">
        <f t="shared" si="310"/>
        <v>0</v>
      </c>
      <c r="CV162">
        <f t="shared" si="311"/>
        <v>0</v>
      </c>
      <c r="CW162">
        <f t="shared" si="312"/>
        <v>0</v>
      </c>
      <c r="CX162">
        <f t="shared" si="313"/>
        <v>0</v>
      </c>
      <c r="CY162">
        <f t="shared" si="314"/>
        <v>0.2697377600052791</v>
      </c>
      <c r="CZ162">
        <f t="shared" si="315"/>
        <v>0.55092781632348098</v>
      </c>
      <c r="DA162">
        <f t="shared" si="316"/>
        <v>0</v>
      </c>
      <c r="DB162">
        <f t="shared" si="317"/>
        <v>0</v>
      </c>
      <c r="DC162">
        <f t="shared" si="318"/>
        <v>0</v>
      </c>
      <c r="DD162">
        <f t="shared" si="319"/>
        <v>0</v>
      </c>
      <c r="DE162">
        <f t="shared" si="320"/>
        <v>0.21747642397334016</v>
      </c>
      <c r="DF162">
        <f t="shared" si="321"/>
        <v>1.8297553161953153E-2</v>
      </c>
      <c r="DG162">
        <f t="shared" si="322"/>
        <v>0</v>
      </c>
      <c r="DH162">
        <f t="shared" si="323"/>
        <v>0</v>
      </c>
      <c r="DI162">
        <f t="shared" si="324"/>
        <v>0</v>
      </c>
      <c r="DJ162">
        <f t="shared" si="325"/>
        <v>0</v>
      </c>
      <c r="DK162">
        <f t="shared" si="326"/>
        <v>0</v>
      </c>
      <c r="DM162">
        <f t="shared" si="327"/>
        <v>2.7080579359797237</v>
      </c>
    </row>
    <row r="163" spans="1:117">
      <c r="A163" s="117" t="s">
        <v>327</v>
      </c>
      <c r="B163" s="117" t="s">
        <v>333</v>
      </c>
      <c r="C163" s="117">
        <v>2.7909999999999999</v>
      </c>
      <c r="F163" s="117">
        <v>6352</v>
      </c>
      <c r="G163" s="117">
        <v>3602</v>
      </c>
      <c r="H163" s="43">
        <f t="shared" si="329"/>
        <v>2.8213054646929527E+22</v>
      </c>
      <c r="I163" s="43">
        <f t="shared" si="330"/>
        <v>7.6402586534847128E+22</v>
      </c>
      <c r="J163" s="42">
        <f t="shared" si="331"/>
        <v>112.611000064</v>
      </c>
      <c r="K163" s="42">
        <f t="shared" si="358"/>
        <v>36.211561563999993</v>
      </c>
      <c r="L163" s="42">
        <f t="shared" si="359"/>
        <v>106.33649947657149</v>
      </c>
      <c r="M163" s="79">
        <f t="shared" si="332"/>
        <v>102.41106256489172</v>
      </c>
      <c r="O163" s="52" t="str">
        <f t="shared" si="333"/>
        <v>Foidite</v>
      </c>
      <c r="P163" s="117">
        <v>42.521008258580977</v>
      </c>
      <c r="R163" s="117">
        <v>2.9062280753103469</v>
      </c>
      <c r="T163" s="117">
        <v>9.9387749189130972</v>
      </c>
      <c r="V163" s="117">
        <v>0</v>
      </c>
      <c r="W163" s="117">
        <v>0</v>
      </c>
      <c r="X163" s="117">
        <v>0</v>
      </c>
      <c r="Y163" s="117">
        <v>8.9524086132273961</v>
      </c>
      <c r="Z163" s="117">
        <v>25.438298373662441</v>
      </c>
      <c r="AE163" s="117">
        <v>7.3987413902615424</v>
      </c>
      <c r="AF163" s="117">
        <v>0.9461021141800281</v>
      </c>
      <c r="AI163" s="117">
        <v>0</v>
      </c>
      <c r="AM163" s="86">
        <f t="shared" si="360"/>
        <v>98.101561744135836</v>
      </c>
      <c r="AO163" s="71">
        <f t="shared" si="328"/>
        <v>1.6467032674966429</v>
      </c>
      <c r="AQ163" s="97" t="str">
        <f t="shared" si="334"/>
        <v>Foidite</v>
      </c>
      <c r="AR163" s="73">
        <f t="shared" si="335"/>
        <v>42.979195575518474</v>
      </c>
      <c r="AS163" s="73">
        <f t="shared" si="336"/>
        <v>0</v>
      </c>
      <c r="AT163" s="73">
        <f t="shared" si="337"/>
        <v>2.2088568296618716</v>
      </c>
      <c r="AU163" s="73">
        <f t="shared" si="338"/>
        <v>0</v>
      </c>
      <c r="AV163" s="73">
        <f t="shared" si="339"/>
        <v>5.9195362072052049</v>
      </c>
      <c r="AW163" s="73">
        <f t="shared" si="340"/>
        <v>0</v>
      </c>
      <c r="AX163" s="73">
        <f t="shared" si="341"/>
        <v>0</v>
      </c>
      <c r="AY163" s="73">
        <f t="shared" si="342"/>
        <v>0</v>
      </c>
      <c r="AZ163" s="73">
        <f t="shared" si="343"/>
        <v>0</v>
      </c>
      <c r="BA163" s="73">
        <f t="shared" si="344"/>
        <v>13.486888000263956</v>
      </c>
      <c r="BB163" s="73">
        <f t="shared" si="345"/>
        <v>27.546390816174046</v>
      </c>
      <c r="BC163" s="73">
        <f t="shared" si="346"/>
        <v>0</v>
      </c>
      <c r="BD163" s="73">
        <f t="shared" si="347"/>
        <v>0</v>
      </c>
      <c r="BE163" s="73">
        <f t="shared" si="348"/>
        <v>0</v>
      </c>
      <c r="BF163" s="73">
        <f t="shared" si="349"/>
        <v>0</v>
      </c>
      <c r="BG163" s="73">
        <f t="shared" si="350"/>
        <v>7.2492141324446715</v>
      </c>
      <c r="BH163" s="73">
        <f t="shared" si="351"/>
        <v>0.60991843873177176</v>
      </c>
      <c r="BI163" s="73">
        <f t="shared" si="352"/>
        <v>0</v>
      </c>
      <c r="BJ163" s="73">
        <f t="shared" si="353"/>
        <v>0</v>
      </c>
      <c r="BK163" s="73">
        <f t="shared" si="354"/>
        <v>0</v>
      </c>
      <c r="BL163" s="73">
        <f t="shared" si="355"/>
        <v>0</v>
      </c>
      <c r="BM163" s="73">
        <f t="shared" si="356"/>
        <v>0</v>
      </c>
      <c r="BN163" s="73">
        <f t="shared" si="357"/>
        <v>0</v>
      </c>
      <c r="BQ163">
        <f t="shared" si="260"/>
        <v>25.821900701771501</v>
      </c>
      <c r="BR163">
        <f t="shared" si="261"/>
        <v>0</v>
      </c>
      <c r="BS163">
        <f t="shared" si="262"/>
        <v>1.7648766068998354</v>
      </c>
      <c r="BT163">
        <f t="shared" si="263"/>
        <v>0</v>
      </c>
      <c r="BU163">
        <f t="shared" si="264"/>
        <v>6.035559116866426</v>
      </c>
      <c r="BV163">
        <f t="shared" si="265"/>
        <v>0</v>
      </c>
      <c r="BW163">
        <f t="shared" si="266"/>
        <v>0</v>
      </c>
      <c r="BX163">
        <f t="shared" si="267"/>
        <v>0</v>
      </c>
      <c r="BY163">
        <f t="shared" si="268"/>
        <v>0</v>
      </c>
      <c r="BZ163">
        <f t="shared" si="269"/>
        <v>5.4365645529064004</v>
      </c>
      <c r="CA163">
        <f t="shared" si="270"/>
        <v>15.448015969710406</v>
      </c>
      <c r="CB163">
        <f t="shared" si="271"/>
        <v>0</v>
      </c>
      <c r="CC163">
        <f t="shared" si="272"/>
        <v>0</v>
      </c>
      <c r="CD163">
        <f t="shared" si="273"/>
        <v>0</v>
      </c>
      <c r="CE163">
        <f t="shared" si="274"/>
        <v>0</v>
      </c>
      <c r="CF163">
        <f t="shared" si="275"/>
        <v>4.4930629192892075</v>
      </c>
      <c r="CG163">
        <f t="shared" si="276"/>
        <v>0.574543169285329</v>
      </c>
      <c r="CH163">
        <f t="shared" si="277"/>
        <v>0</v>
      </c>
      <c r="CI163">
        <f t="shared" si="278"/>
        <v>0</v>
      </c>
      <c r="CJ163">
        <f t="shared" si="279"/>
        <v>0</v>
      </c>
      <c r="CK163">
        <f t="shared" si="280"/>
        <v>0</v>
      </c>
      <c r="CL163">
        <f t="shared" si="281"/>
        <v>0</v>
      </c>
      <c r="CN163">
        <f t="shared" si="361"/>
        <v>59.574523036729097</v>
      </c>
      <c r="CP163">
        <f t="shared" si="305"/>
        <v>1.2893758672655542</v>
      </c>
      <c r="CQ163">
        <f t="shared" si="306"/>
        <v>0</v>
      </c>
      <c r="CR163">
        <f t="shared" si="307"/>
        <v>6.6265704889856142E-2</v>
      </c>
      <c r="CS163">
        <f t="shared" si="308"/>
        <v>0</v>
      </c>
      <c r="CT163">
        <f t="shared" si="309"/>
        <v>0.29597681036026025</v>
      </c>
      <c r="CU163">
        <f t="shared" si="310"/>
        <v>0</v>
      </c>
      <c r="CV163">
        <f t="shared" si="311"/>
        <v>0</v>
      </c>
      <c r="CW163">
        <f t="shared" si="312"/>
        <v>0</v>
      </c>
      <c r="CX163">
        <f t="shared" si="313"/>
        <v>0</v>
      </c>
      <c r="CY163">
        <f t="shared" si="314"/>
        <v>0.2697377600052791</v>
      </c>
      <c r="CZ163">
        <f t="shared" si="315"/>
        <v>0.55092781632348098</v>
      </c>
      <c r="DA163">
        <f t="shared" si="316"/>
        <v>0</v>
      </c>
      <c r="DB163">
        <f t="shared" si="317"/>
        <v>0</v>
      </c>
      <c r="DC163">
        <f t="shared" si="318"/>
        <v>0</v>
      </c>
      <c r="DD163">
        <f t="shared" si="319"/>
        <v>0</v>
      </c>
      <c r="DE163">
        <f t="shared" si="320"/>
        <v>0.21747642397334016</v>
      </c>
      <c r="DF163">
        <f t="shared" si="321"/>
        <v>1.8297553161953153E-2</v>
      </c>
      <c r="DG163">
        <f t="shared" si="322"/>
        <v>0</v>
      </c>
      <c r="DH163">
        <f t="shared" si="323"/>
        <v>0</v>
      </c>
      <c r="DI163">
        <f t="shared" si="324"/>
        <v>0</v>
      </c>
      <c r="DJ163">
        <f t="shared" si="325"/>
        <v>0</v>
      </c>
      <c r="DK163">
        <f t="shared" si="326"/>
        <v>0</v>
      </c>
      <c r="DM163">
        <f t="shared" si="327"/>
        <v>2.7080579359797237</v>
      </c>
    </row>
    <row r="164" spans="1:117">
      <c r="A164" s="117" t="s">
        <v>327</v>
      </c>
      <c r="B164" s="117" t="s">
        <v>333</v>
      </c>
      <c r="C164" s="117">
        <v>2.774</v>
      </c>
      <c r="F164" s="117">
        <v>6396</v>
      </c>
      <c r="G164" s="117">
        <v>3624</v>
      </c>
      <c r="H164" s="43">
        <f t="shared" si="329"/>
        <v>2.8041208739011999E+22</v>
      </c>
      <c r="I164" s="43">
        <f t="shared" si="330"/>
        <v>7.5937217860145431E+22</v>
      </c>
      <c r="J164" s="42">
        <f t="shared" si="331"/>
        <v>113.481055584</v>
      </c>
      <c r="K164" s="42">
        <f t="shared" si="358"/>
        <v>36.431985024000006</v>
      </c>
      <c r="L164" s="42">
        <f t="shared" si="359"/>
        <v>107.01176813054585</v>
      </c>
      <c r="M164" s="79">
        <f t="shared" si="332"/>
        <v>103.1102410818179</v>
      </c>
      <c r="O164" s="52" t="str">
        <f t="shared" si="333"/>
        <v>Foidite</v>
      </c>
      <c r="P164" s="117">
        <v>42.412812055062339</v>
      </c>
      <c r="R164" s="117">
        <v>2.8988330755870182</v>
      </c>
      <c r="T164" s="117">
        <v>9.9134853559913214</v>
      </c>
      <c r="V164" s="117">
        <v>0</v>
      </c>
      <c r="W164" s="117">
        <v>0</v>
      </c>
      <c r="X164" s="117">
        <v>0</v>
      </c>
      <c r="Y164" s="117">
        <v>8.9296288941198814</v>
      </c>
      <c r="Z164" s="117">
        <v>25.37356972726565</v>
      </c>
      <c r="AE164" s="117">
        <v>7.3799150321381797</v>
      </c>
      <c r="AF164" s="117">
        <v>0.94369472401955179</v>
      </c>
      <c r="AI164" s="117">
        <v>0</v>
      </c>
      <c r="AM164" s="86">
        <f t="shared" si="360"/>
        <v>97.85193886418395</v>
      </c>
      <c r="AO164" s="71">
        <f t="shared" si="328"/>
        <v>1.6425131730195457</v>
      </c>
      <c r="AQ164" s="97" t="str">
        <f t="shared" si="334"/>
        <v>Foidite</v>
      </c>
      <c r="AR164" s="73">
        <f t="shared" si="335"/>
        <v>42.979195575518474</v>
      </c>
      <c r="AS164" s="73">
        <f t="shared" si="336"/>
        <v>0</v>
      </c>
      <c r="AT164" s="73">
        <f t="shared" si="337"/>
        <v>2.2088568296618711</v>
      </c>
      <c r="AU164" s="73">
        <f t="shared" si="338"/>
        <v>0</v>
      </c>
      <c r="AV164" s="73">
        <f t="shared" si="339"/>
        <v>5.919536207205204</v>
      </c>
      <c r="AW164" s="73">
        <f t="shared" si="340"/>
        <v>0</v>
      </c>
      <c r="AX164" s="73">
        <f t="shared" si="341"/>
        <v>0</v>
      </c>
      <c r="AY164" s="73">
        <f t="shared" si="342"/>
        <v>0</v>
      </c>
      <c r="AZ164" s="73">
        <f t="shared" si="343"/>
        <v>0</v>
      </c>
      <c r="BA164" s="73">
        <f t="shared" si="344"/>
        <v>13.486888000263958</v>
      </c>
      <c r="BB164" s="73">
        <f t="shared" si="345"/>
        <v>27.546390816174043</v>
      </c>
      <c r="BC164" s="73">
        <f t="shared" si="346"/>
        <v>0</v>
      </c>
      <c r="BD164" s="73">
        <f t="shared" si="347"/>
        <v>0</v>
      </c>
      <c r="BE164" s="73">
        <f t="shared" si="348"/>
        <v>0</v>
      </c>
      <c r="BF164" s="73">
        <f t="shared" si="349"/>
        <v>0</v>
      </c>
      <c r="BG164" s="73">
        <f t="shared" si="350"/>
        <v>7.2492141324446733</v>
      </c>
      <c r="BH164" s="73">
        <f t="shared" si="351"/>
        <v>0.60991843873177187</v>
      </c>
      <c r="BI164" s="73">
        <f t="shared" si="352"/>
        <v>0</v>
      </c>
      <c r="BJ164" s="73">
        <f t="shared" si="353"/>
        <v>0</v>
      </c>
      <c r="BK164" s="73">
        <f t="shared" si="354"/>
        <v>0</v>
      </c>
      <c r="BL164" s="73">
        <f t="shared" si="355"/>
        <v>0</v>
      </c>
      <c r="BM164" s="73">
        <f t="shared" si="356"/>
        <v>0</v>
      </c>
      <c r="BN164" s="73">
        <f t="shared" si="357"/>
        <v>0</v>
      </c>
      <c r="BQ164">
        <f t="shared" si="260"/>
        <v>25.821900701771501</v>
      </c>
      <c r="BR164">
        <f t="shared" si="261"/>
        <v>0</v>
      </c>
      <c r="BS164">
        <f t="shared" si="262"/>
        <v>1.7648766068998352</v>
      </c>
      <c r="BT164">
        <f t="shared" si="263"/>
        <v>0</v>
      </c>
      <c r="BU164">
        <f t="shared" si="264"/>
        <v>6.035559116866426</v>
      </c>
      <c r="BV164">
        <f t="shared" si="265"/>
        <v>0</v>
      </c>
      <c r="BW164">
        <f t="shared" si="266"/>
        <v>0</v>
      </c>
      <c r="BX164">
        <f t="shared" si="267"/>
        <v>0</v>
      </c>
      <c r="BY164">
        <f t="shared" si="268"/>
        <v>0</v>
      </c>
      <c r="BZ164">
        <f t="shared" si="269"/>
        <v>5.4365645529064022</v>
      </c>
      <c r="CA164">
        <f t="shared" si="270"/>
        <v>15.448015969710402</v>
      </c>
      <c r="CB164">
        <f t="shared" si="271"/>
        <v>0</v>
      </c>
      <c r="CC164">
        <f t="shared" si="272"/>
        <v>0</v>
      </c>
      <c r="CD164">
        <f t="shared" si="273"/>
        <v>0</v>
      </c>
      <c r="CE164">
        <f t="shared" si="274"/>
        <v>0</v>
      </c>
      <c r="CF164">
        <f t="shared" si="275"/>
        <v>4.4930629192892084</v>
      </c>
      <c r="CG164">
        <f t="shared" si="276"/>
        <v>0.57454316928532911</v>
      </c>
      <c r="CH164">
        <f t="shared" si="277"/>
        <v>0</v>
      </c>
      <c r="CI164">
        <f t="shared" si="278"/>
        <v>0</v>
      </c>
      <c r="CJ164">
        <f t="shared" si="279"/>
        <v>0</v>
      </c>
      <c r="CK164">
        <f t="shared" si="280"/>
        <v>0</v>
      </c>
      <c r="CL164">
        <f t="shared" si="281"/>
        <v>0</v>
      </c>
      <c r="CN164">
        <f t="shared" si="361"/>
        <v>59.574523036729104</v>
      </c>
      <c r="CP164">
        <f t="shared" si="305"/>
        <v>1.2893758672655542</v>
      </c>
      <c r="CQ164">
        <f t="shared" si="306"/>
        <v>0</v>
      </c>
      <c r="CR164">
        <f t="shared" si="307"/>
        <v>6.6265704889856142E-2</v>
      </c>
      <c r="CS164">
        <f t="shared" si="308"/>
        <v>0</v>
      </c>
      <c r="CT164">
        <f t="shared" si="309"/>
        <v>0.29597681036026019</v>
      </c>
      <c r="CU164">
        <f t="shared" si="310"/>
        <v>0</v>
      </c>
      <c r="CV164">
        <f t="shared" si="311"/>
        <v>0</v>
      </c>
      <c r="CW164">
        <f t="shared" si="312"/>
        <v>0</v>
      </c>
      <c r="CX164">
        <f t="shared" si="313"/>
        <v>0</v>
      </c>
      <c r="CY164">
        <f t="shared" si="314"/>
        <v>0.26973776000527916</v>
      </c>
      <c r="CZ164">
        <f t="shared" si="315"/>
        <v>0.55092781632348087</v>
      </c>
      <c r="DA164">
        <f t="shared" si="316"/>
        <v>0</v>
      </c>
      <c r="DB164">
        <f t="shared" si="317"/>
        <v>0</v>
      </c>
      <c r="DC164">
        <f t="shared" si="318"/>
        <v>0</v>
      </c>
      <c r="DD164">
        <f t="shared" si="319"/>
        <v>0</v>
      </c>
      <c r="DE164">
        <f t="shared" si="320"/>
        <v>0.21747642397334019</v>
      </c>
      <c r="DF164">
        <f t="shared" si="321"/>
        <v>1.8297553161953153E-2</v>
      </c>
      <c r="DG164">
        <f t="shared" si="322"/>
        <v>0</v>
      </c>
      <c r="DH164">
        <f t="shared" si="323"/>
        <v>0</v>
      </c>
      <c r="DI164">
        <f t="shared" si="324"/>
        <v>0</v>
      </c>
      <c r="DJ164">
        <f t="shared" si="325"/>
        <v>0</v>
      </c>
      <c r="DK164">
        <f t="shared" si="326"/>
        <v>0</v>
      </c>
      <c r="DM164">
        <f t="shared" si="327"/>
        <v>2.7080579359797237</v>
      </c>
    </row>
    <row r="165" spans="1:117">
      <c r="A165" s="117" t="s">
        <v>327</v>
      </c>
      <c r="B165" s="117" t="s">
        <v>333</v>
      </c>
      <c r="C165" s="117">
        <v>2.774</v>
      </c>
      <c r="F165" s="117">
        <v>6494</v>
      </c>
      <c r="G165" s="117">
        <v>3689</v>
      </c>
      <c r="H165" s="43">
        <f t="shared" si="329"/>
        <v>2.8041208739011999E+22</v>
      </c>
      <c r="I165" s="43">
        <f t="shared" si="330"/>
        <v>7.5937217860145431E+22</v>
      </c>
      <c r="J165" s="42">
        <f t="shared" si="331"/>
        <v>116.98522786400001</v>
      </c>
      <c r="K165" s="42">
        <f t="shared" si="358"/>
        <v>37.750592053999995</v>
      </c>
      <c r="L165" s="42">
        <f t="shared" si="359"/>
        <v>110.9675892205458</v>
      </c>
      <c r="M165" s="79">
        <f t="shared" si="332"/>
        <v>107.06606217181786</v>
      </c>
      <c r="O165" s="52" t="str">
        <f t="shared" si="333"/>
        <v>Foidite</v>
      </c>
      <c r="P165" s="117">
        <v>42.412812055062339</v>
      </c>
      <c r="R165" s="117">
        <v>2.8988330755870182</v>
      </c>
      <c r="T165" s="117">
        <v>9.9134853559913214</v>
      </c>
      <c r="V165" s="117">
        <v>0</v>
      </c>
      <c r="W165" s="117">
        <v>0</v>
      </c>
      <c r="X165" s="117">
        <v>0</v>
      </c>
      <c r="Y165" s="117">
        <v>8.9296288941198814</v>
      </c>
      <c r="Z165" s="117">
        <v>25.37356972726565</v>
      </c>
      <c r="AE165" s="117">
        <v>7.3799150321381797</v>
      </c>
      <c r="AF165" s="117">
        <v>0.94369472401955179</v>
      </c>
      <c r="AI165" s="117">
        <v>0</v>
      </c>
      <c r="AM165" s="86">
        <f t="shared" si="360"/>
        <v>97.85193886418395</v>
      </c>
      <c r="AO165" s="71">
        <f t="shared" si="328"/>
        <v>1.6425131730195457</v>
      </c>
      <c r="AQ165" s="97" t="str">
        <f t="shared" si="334"/>
        <v>Foidite</v>
      </c>
      <c r="AR165" s="73">
        <f t="shared" si="335"/>
        <v>42.979195575518474</v>
      </c>
      <c r="AS165" s="73">
        <f t="shared" si="336"/>
        <v>0</v>
      </c>
      <c r="AT165" s="73">
        <f t="shared" si="337"/>
        <v>2.2088568296618711</v>
      </c>
      <c r="AU165" s="73">
        <f t="shared" si="338"/>
        <v>0</v>
      </c>
      <c r="AV165" s="73">
        <f t="shared" si="339"/>
        <v>5.919536207205204</v>
      </c>
      <c r="AW165" s="73">
        <f t="shared" si="340"/>
        <v>0</v>
      </c>
      <c r="AX165" s="73">
        <f t="shared" si="341"/>
        <v>0</v>
      </c>
      <c r="AY165" s="73">
        <f t="shared" si="342"/>
        <v>0</v>
      </c>
      <c r="AZ165" s="73">
        <f t="shared" si="343"/>
        <v>0</v>
      </c>
      <c r="BA165" s="73">
        <f t="shared" si="344"/>
        <v>13.486888000263958</v>
      </c>
      <c r="BB165" s="73">
        <f t="shared" si="345"/>
        <v>27.546390816174043</v>
      </c>
      <c r="BC165" s="73">
        <f t="shared" si="346"/>
        <v>0</v>
      </c>
      <c r="BD165" s="73">
        <f t="shared" si="347"/>
        <v>0</v>
      </c>
      <c r="BE165" s="73">
        <f t="shared" si="348"/>
        <v>0</v>
      </c>
      <c r="BF165" s="73">
        <f t="shared" si="349"/>
        <v>0</v>
      </c>
      <c r="BG165" s="73">
        <f t="shared" si="350"/>
        <v>7.2492141324446733</v>
      </c>
      <c r="BH165" s="73">
        <f t="shared" si="351"/>
        <v>0.60991843873177187</v>
      </c>
      <c r="BI165" s="73">
        <f t="shared" si="352"/>
        <v>0</v>
      </c>
      <c r="BJ165" s="73">
        <f t="shared" si="353"/>
        <v>0</v>
      </c>
      <c r="BK165" s="73">
        <f t="shared" si="354"/>
        <v>0</v>
      </c>
      <c r="BL165" s="73">
        <f t="shared" si="355"/>
        <v>0</v>
      </c>
      <c r="BM165" s="73">
        <f t="shared" si="356"/>
        <v>0</v>
      </c>
      <c r="BN165" s="73">
        <f t="shared" si="357"/>
        <v>0</v>
      </c>
      <c r="BQ165">
        <f t="shared" ref="BQ165:BQ188" si="362">(AR165/100)*$AR$3</f>
        <v>25.821900701771501</v>
      </c>
      <c r="BR165">
        <f t="shared" ref="BR165:BR188" si="363">(AS165/100)*$AS$3</f>
        <v>0</v>
      </c>
      <c r="BS165">
        <f t="shared" ref="BS165:BS188" si="364">(AT165/100)*$AT$3</f>
        <v>1.7648766068998352</v>
      </c>
      <c r="BT165">
        <f t="shared" ref="BT165:BT188" si="365">(AU165/100)*$AU$3</f>
        <v>0</v>
      </c>
      <c r="BU165">
        <f t="shared" ref="BU165:BU188" si="366">(AV165/100)*$AV$3</f>
        <v>6.035559116866426</v>
      </c>
      <c r="BV165">
        <f t="shared" ref="BV165:BV188" si="367">(AW165/100)*$AW$3</f>
        <v>0</v>
      </c>
      <c r="BW165">
        <f t="shared" ref="BW165:BW188" si="368">(AX165/100)*$AX$3</f>
        <v>0</v>
      </c>
      <c r="BX165">
        <f t="shared" ref="BX165:BX188" si="369">(AY165/100)*$AY$3</f>
        <v>0</v>
      </c>
      <c r="BY165">
        <f t="shared" ref="BY165:BY188" si="370">(AZ165/100)*$AZ$3</f>
        <v>0</v>
      </c>
      <c r="BZ165">
        <f t="shared" ref="BZ165:BZ188" si="371">(BA165/100)*$BA$3</f>
        <v>5.4365645529064022</v>
      </c>
      <c r="CA165">
        <f t="shared" ref="CA165:CA188" si="372">(BB165/100)*$BB$3</f>
        <v>15.448015969710402</v>
      </c>
      <c r="CB165">
        <f t="shared" ref="CB165:CB188" si="373">(BC165/100)*$BC$3</f>
        <v>0</v>
      </c>
      <c r="CC165">
        <f t="shared" ref="CC165:CC188" si="374">(BD165/100)*$BD$3</f>
        <v>0</v>
      </c>
      <c r="CD165">
        <f t="shared" ref="CD165:CD188" si="375">(BE165/100)*$BE$3</f>
        <v>0</v>
      </c>
      <c r="CE165">
        <f t="shared" ref="CE165:CE188" si="376">(BF165/100)*$BF$3</f>
        <v>0</v>
      </c>
      <c r="CF165">
        <f t="shared" ref="CF165:CF188" si="377">(BG165/100)*$BG$3</f>
        <v>4.4930629192892084</v>
      </c>
      <c r="CG165">
        <f t="shared" ref="CG165:CG188" si="378">(BH165/100)*$BH$3</f>
        <v>0.57454316928532911</v>
      </c>
      <c r="CH165">
        <f t="shared" ref="CH165:CH188" si="379">(BI165/100)*$BI$3</f>
        <v>0</v>
      </c>
      <c r="CI165">
        <f t="shared" ref="CI165:CI188" si="380">(BJ165/100)*$BJ$3</f>
        <v>0</v>
      </c>
      <c r="CJ165">
        <f t="shared" ref="CJ165:CJ188" si="381">(BK165/100)*$BK$3</f>
        <v>0</v>
      </c>
      <c r="CK165">
        <f t="shared" ref="CK165:CK188" si="382">(BL165/100)*$BL$3</f>
        <v>0</v>
      </c>
      <c r="CL165">
        <f t="shared" ref="CL165:CL188" si="383">(BN165/100)*$BN$3</f>
        <v>0</v>
      </c>
      <c r="CN165">
        <f t="shared" si="361"/>
        <v>59.574523036729104</v>
      </c>
      <c r="CP165">
        <f t="shared" si="305"/>
        <v>1.2893758672655542</v>
      </c>
      <c r="CQ165">
        <f t="shared" si="306"/>
        <v>0</v>
      </c>
      <c r="CR165">
        <f t="shared" si="307"/>
        <v>6.6265704889856142E-2</v>
      </c>
      <c r="CS165">
        <f t="shared" si="308"/>
        <v>0</v>
      </c>
      <c r="CT165">
        <f t="shared" si="309"/>
        <v>0.29597681036026019</v>
      </c>
      <c r="CU165">
        <f t="shared" si="310"/>
        <v>0</v>
      </c>
      <c r="CV165">
        <f t="shared" si="311"/>
        <v>0</v>
      </c>
      <c r="CW165">
        <f t="shared" si="312"/>
        <v>0</v>
      </c>
      <c r="CX165">
        <f t="shared" si="313"/>
        <v>0</v>
      </c>
      <c r="CY165">
        <f t="shared" si="314"/>
        <v>0.26973776000527916</v>
      </c>
      <c r="CZ165">
        <f t="shared" si="315"/>
        <v>0.55092781632348087</v>
      </c>
      <c r="DA165">
        <f t="shared" si="316"/>
        <v>0</v>
      </c>
      <c r="DB165">
        <f t="shared" si="317"/>
        <v>0</v>
      </c>
      <c r="DC165">
        <f t="shared" si="318"/>
        <v>0</v>
      </c>
      <c r="DD165">
        <f t="shared" si="319"/>
        <v>0</v>
      </c>
      <c r="DE165">
        <f t="shared" si="320"/>
        <v>0.21747642397334019</v>
      </c>
      <c r="DF165">
        <f t="shared" si="321"/>
        <v>1.8297553161953153E-2</v>
      </c>
      <c r="DG165">
        <f t="shared" si="322"/>
        <v>0</v>
      </c>
      <c r="DH165">
        <f t="shared" si="323"/>
        <v>0</v>
      </c>
      <c r="DI165">
        <f t="shared" si="324"/>
        <v>0</v>
      </c>
      <c r="DJ165">
        <f t="shared" si="325"/>
        <v>0</v>
      </c>
      <c r="DK165">
        <f t="shared" si="326"/>
        <v>0</v>
      </c>
      <c r="DM165">
        <f t="shared" si="327"/>
        <v>2.7080579359797237</v>
      </c>
    </row>
    <row r="166" spans="1:117">
      <c r="A166" s="117" t="s">
        <v>334</v>
      </c>
      <c r="B166" s="117" t="s">
        <v>319</v>
      </c>
      <c r="C166" s="117">
        <v>3.1259999999999999</v>
      </c>
      <c r="F166" s="117">
        <v>6901</v>
      </c>
      <c r="G166" s="117">
        <v>3868</v>
      </c>
      <c r="H166" s="43">
        <f t="shared" si="329"/>
        <v>3.081594838030184E+22</v>
      </c>
      <c r="I166" s="43">
        <f t="shared" si="330"/>
        <v>8.6389210039434888E+22</v>
      </c>
      <c r="J166" s="42">
        <f t="shared" si="331"/>
        <v>148.872001926</v>
      </c>
      <c r="K166" s="42">
        <f t="shared" si="358"/>
        <v>46.769411423999998</v>
      </c>
      <c r="L166" s="42">
        <f t="shared" si="359"/>
        <v>137.79802178139639</v>
      </c>
      <c r="M166" s="79">
        <f t="shared" si="332"/>
        <v>133.27111886134759</v>
      </c>
      <c r="O166" s="52" t="str">
        <f t="shared" si="333"/>
        <v>Basalt</v>
      </c>
      <c r="P166" s="117">
        <v>48.749874485390102</v>
      </c>
      <c r="R166" s="117">
        <v>1.0844462295411188</v>
      </c>
      <c r="T166" s="117">
        <v>14.599859423636913</v>
      </c>
      <c r="V166" s="117">
        <v>0</v>
      </c>
      <c r="W166" s="117">
        <v>9.0872577568028934</v>
      </c>
      <c r="X166" s="117">
        <v>0.12049402550456872</v>
      </c>
      <c r="Y166" s="117">
        <v>12.963148910533187</v>
      </c>
      <c r="Z166" s="117">
        <v>8.8864343809619442</v>
      </c>
      <c r="AE166" s="117">
        <v>2.2994276533788534</v>
      </c>
      <c r="AF166" s="117">
        <v>2.2090571342504273</v>
      </c>
      <c r="AI166" s="117">
        <v>0</v>
      </c>
      <c r="AM166" s="86">
        <f t="shared" si="360"/>
        <v>100.00000000000003</v>
      </c>
      <c r="AO166" s="71">
        <f t="shared" si="328"/>
        <v>1.6369511399662608</v>
      </c>
      <c r="AQ166" s="97" t="str">
        <f t="shared" si="334"/>
        <v>Basalt</v>
      </c>
      <c r="AR166" s="73">
        <f t="shared" si="335"/>
        <v>49.56873789646577</v>
      </c>
      <c r="AS166" s="73">
        <f t="shared" si="336"/>
        <v>0</v>
      </c>
      <c r="AT166" s="73">
        <f t="shared" si="337"/>
        <v>0.8291355323519064</v>
      </c>
      <c r="AU166" s="73">
        <f t="shared" si="338"/>
        <v>0</v>
      </c>
      <c r="AV166" s="73">
        <f t="shared" si="339"/>
        <v>8.7474834736179936</v>
      </c>
      <c r="AW166" s="73">
        <f t="shared" si="340"/>
        <v>0</v>
      </c>
      <c r="AX166" s="73">
        <f t="shared" si="341"/>
        <v>0</v>
      </c>
      <c r="AY166" s="73">
        <f t="shared" si="342"/>
        <v>7.7262784835434148</v>
      </c>
      <c r="AZ166" s="73">
        <f t="shared" si="343"/>
        <v>0.10376206658978999</v>
      </c>
      <c r="BA166" s="73">
        <f t="shared" si="344"/>
        <v>19.645450624346097</v>
      </c>
      <c r="BB166" s="73">
        <f t="shared" si="345"/>
        <v>9.6801885527126963</v>
      </c>
      <c r="BC166" s="73">
        <f t="shared" si="346"/>
        <v>0</v>
      </c>
      <c r="BD166" s="73">
        <f t="shared" si="347"/>
        <v>0</v>
      </c>
      <c r="BE166" s="73">
        <f t="shared" si="348"/>
        <v>0</v>
      </c>
      <c r="BF166" s="73">
        <f t="shared" si="349"/>
        <v>0</v>
      </c>
      <c r="BG166" s="73">
        <f t="shared" si="350"/>
        <v>2.2663786031629183</v>
      </c>
      <c r="BH166" s="73">
        <f t="shared" si="351"/>
        <v>1.4325847672094258</v>
      </c>
      <c r="BI166" s="73">
        <f t="shared" si="352"/>
        <v>0</v>
      </c>
      <c r="BJ166" s="73">
        <f t="shared" si="353"/>
        <v>0</v>
      </c>
      <c r="BK166" s="73">
        <f t="shared" si="354"/>
        <v>0</v>
      </c>
      <c r="BL166" s="73">
        <f t="shared" si="355"/>
        <v>0</v>
      </c>
      <c r="BM166" s="73">
        <f t="shared" si="356"/>
        <v>0</v>
      </c>
      <c r="BN166" s="73">
        <f t="shared" si="357"/>
        <v>0</v>
      </c>
      <c r="BQ166">
        <f t="shared" si="362"/>
        <v>29.780897728196635</v>
      </c>
      <c r="BR166">
        <f t="shared" si="363"/>
        <v>0</v>
      </c>
      <c r="BS166">
        <f t="shared" si="364"/>
        <v>0.6624792903491733</v>
      </c>
      <c r="BT166">
        <f t="shared" si="365"/>
        <v>0</v>
      </c>
      <c r="BU166">
        <f t="shared" si="366"/>
        <v>8.918934149700906</v>
      </c>
      <c r="BV166">
        <f t="shared" si="367"/>
        <v>0</v>
      </c>
      <c r="BW166">
        <f t="shared" si="368"/>
        <v>0</v>
      </c>
      <c r="BX166">
        <f t="shared" si="369"/>
        <v>5.5513310904259434</v>
      </c>
      <c r="BY166">
        <f t="shared" si="370"/>
        <v>7.3608810038797018E-2</v>
      </c>
      <c r="BZ166">
        <f t="shared" si="371"/>
        <v>7.9190811466739124</v>
      </c>
      <c r="CA166">
        <f t="shared" si="372"/>
        <v>5.4286497403612799</v>
      </c>
      <c r="CB166">
        <f t="shared" si="373"/>
        <v>0</v>
      </c>
      <c r="CC166">
        <f t="shared" si="374"/>
        <v>0</v>
      </c>
      <c r="CD166">
        <f t="shared" si="375"/>
        <v>0</v>
      </c>
      <c r="CE166">
        <f t="shared" si="376"/>
        <v>0</v>
      </c>
      <c r="CF166">
        <f t="shared" si="377"/>
        <v>1.4047014582403767</v>
      </c>
      <c r="CG166">
        <f t="shared" si="378"/>
        <v>1.3494948507112792</v>
      </c>
      <c r="CH166">
        <f t="shared" si="379"/>
        <v>0</v>
      </c>
      <c r="CI166">
        <f t="shared" si="380"/>
        <v>0</v>
      </c>
      <c r="CJ166">
        <f t="shared" si="381"/>
        <v>0</v>
      </c>
      <c r="CK166">
        <f t="shared" si="382"/>
        <v>0</v>
      </c>
      <c r="CL166">
        <f t="shared" si="383"/>
        <v>0</v>
      </c>
      <c r="CN166">
        <f t="shared" si="361"/>
        <v>61.089178264698297</v>
      </c>
      <c r="CP166">
        <f t="shared" si="305"/>
        <v>1.4870621368939732</v>
      </c>
      <c r="CQ166">
        <f t="shared" si="306"/>
        <v>0</v>
      </c>
      <c r="CR166">
        <f t="shared" si="307"/>
        <v>2.4874065970557191E-2</v>
      </c>
      <c r="CS166">
        <f t="shared" si="308"/>
        <v>0</v>
      </c>
      <c r="CT166">
        <f t="shared" si="309"/>
        <v>0.4373741736808997</v>
      </c>
      <c r="CU166">
        <f t="shared" si="310"/>
        <v>0</v>
      </c>
      <c r="CV166">
        <f t="shared" si="311"/>
        <v>0</v>
      </c>
      <c r="CW166">
        <f t="shared" si="312"/>
        <v>0.15452556967086831</v>
      </c>
      <c r="CX166">
        <f t="shared" si="313"/>
        <v>2.0752413317957998E-3</v>
      </c>
      <c r="CY166">
        <f t="shared" si="314"/>
        <v>0.39290901248692195</v>
      </c>
      <c r="CZ166">
        <f t="shared" si="315"/>
        <v>0.19360377105425391</v>
      </c>
      <c r="DA166">
        <f t="shared" si="316"/>
        <v>0</v>
      </c>
      <c r="DB166">
        <f t="shared" si="317"/>
        <v>0</v>
      </c>
      <c r="DC166">
        <f t="shared" si="318"/>
        <v>0</v>
      </c>
      <c r="DD166">
        <f t="shared" si="319"/>
        <v>0</v>
      </c>
      <c r="DE166">
        <f t="shared" si="320"/>
        <v>6.7991358094887544E-2</v>
      </c>
      <c r="DF166">
        <f t="shared" si="321"/>
        <v>4.2977543016282774E-2</v>
      </c>
      <c r="DG166">
        <f t="shared" si="322"/>
        <v>0</v>
      </c>
      <c r="DH166">
        <f t="shared" si="323"/>
        <v>0</v>
      </c>
      <c r="DI166">
        <f t="shared" si="324"/>
        <v>0</v>
      </c>
      <c r="DJ166">
        <f t="shared" si="325"/>
        <v>0</v>
      </c>
      <c r="DK166">
        <f t="shared" si="326"/>
        <v>0</v>
      </c>
      <c r="DM166">
        <f t="shared" si="327"/>
        <v>2.8033928722004404</v>
      </c>
    </row>
    <row r="167" spans="1:117">
      <c r="A167" s="117" t="s">
        <v>334</v>
      </c>
      <c r="B167" s="117" t="s">
        <v>319</v>
      </c>
      <c r="C167" s="117">
        <v>3.1339999999999999</v>
      </c>
      <c r="F167" s="117">
        <v>6893</v>
      </c>
      <c r="G167" s="117">
        <v>3866</v>
      </c>
      <c r="H167" s="43">
        <f t="shared" si="329"/>
        <v>3.0826789807968259E+22</v>
      </c>
      <c r="I167" s="43">
        <f t="shared" si="330"/>
        <v>8.6695094286179373E+22</v>
      </c>
      <c r="J167" s="42">
        <f t="shared" si="331"/>
        <v>148.90714916600001</v>
      </c>
      <c r="K167" s="42">
        <f t="shared" si="358"/>
        <v>46.840626104000002</v>
      </c>
      <c r="L167" s="42">
        <f t="shared" si="359"/>
        <v>138.01078269722669</v>
      </c>
      <c r="M167" s="79">
        <f t="shared" si="332"/>
        <v>133.45984609336398</v>
      </c>
      <c r="O167" s="52" t="str">
        <f t="shared" si="333"/>
        <v>Basalt</v>
      </c>
      <c r="P167" s="117">
        <v>49.044779136763367</v>
      </c>
      <c r="R167" s="117">
        <v>1.1017891438390781</v>
      </c>
      <c r="T167" s="117">
        <v>14.808450419488524</v>
      </c>
      <c r="V167" s="117">
        <v>0</v>
      </c>
      <c r="W167" s="117">
        <v>8.8143131507126249</v>
      </c>
      <c r="X167" s="117">
        <v>0.13140604467805519</v>
      </c>
      <c r="Y167" s="117">
        <v>12.614980289093298</v>
      </c>
      <c r="Z167" s="117">
        <v>8.9255028808248245</v>
      </c>
      <c r="AE167" s="117">
        <v>2.2237946022440109</v>
      </c>
      <c r="AF167" s="117">
        <v>2.2136864449610836</v>
      </c>
      <c r="AI167" s="117">
        <v>0</v>
      </c>
      <c r="AM167" s="86">
        <f t="shared" si="360"/>
        <v>99.87870211260487</v>
      </c>
      <c r="AO167" s="71">
        <f t="shared" si="328"/>
        <v>1.6313657932573122</v>
      </c>
      <c r="AQ167" s="97" t="str">
        <f t="shared" si="334"/>
        <v>Basalt</v>
      </c>
      <c r="AR167" s="73">
        <f t="shared" si="335"/>
        <v>50.039332456862297</v>
      </c>
      <c r="AS167" s="73">
        <f t="shared" si="336"/>
        <v>0</v>
      </c>
      <c r="AT167" s="73">
        <f t="shared" si="337"/>
        <v>0.84527954163361474</v>
      </c>
      <c r="AU167" s="73">
        <f t="shared" si="338"/>
        <v>0</v>
      </c>
      <c r="AV167" s="73">
        <f t="shared" si="339"/>
        <v>8.9028373086234858</v>
      </c>
      <c r="AW167" s="73">
        <f t="shared" si="340"/>
        <v>0</v>
      </c>
      <c r="AX167" s="73">
        <f t="shared" si="341"/>
        <v>0</v>
      </c>
      <c r="AY167" s="73">
        <f t="shared" si="342"/>
        <v>7.5198703272401755</v>
      </c>
      <c r="AZ167" s="73">
        <f t="shared" si="343"/>
        <v>0.11354625305463407</v>
      </c>
      <c r="BA167" s="73">
        <f t="shared" si="344"/>
        <v>19.18326059049345</v>
      </c>
      <c r="BB167" s="73">
        <f t="shared" si="345"/>
        <v>9.756034733714662</v>
      </c>
      <c r="BC167" s="73">
        <f t="shared" si="346"/>
        <v>0</v>
      </c>
      <c r="BD167" s="73">
        <f t="shared" si="347"/>
        <v>0</v>
      </c>
      <c r="BE167" s="73">
        <f t="shared" si="348"/>
        <v>0</v>
      </c>
      <c r="BF167" s="73">
        <f t="shared" si="349"/>
        <v>0</v>
      </c>
      <c r="BG167" s="73">
        <f t="shared" si="350"/>
        <v>2.1993368359186127</v>
      </c>
      <c r="BH167" s="73">
        <f t="shared" si="351"/>
        <v>1.4405019524590617</v>
      </c>
      <c r="BI167" s="73">
        <f t="shared" si="352"/>
        <v>0</v>
      </c>
      <c r="BJ167" s="73">
        <f t="shared" si="353"/>
        <v>0</v>
      </c>
      <c r="BK167" s="73">
        <f t="shared" si="354"/>
        <v>0</v>
      </c>
      <c r="BL167" s="73">
        <f t="shared" si="355"/>
        <v>0</v>
      </c>
      <c r="BM167" s="73">
        <f t="shared" si="356"/>
        <v>0</v>
      </c>
      <c r="BN167" s="73">
        <f t="shared" si="357"/>
        <v>0</v>
      </c>
      <c r="BQ167">
        <f t="shared" si="362"/>
        <v>30.063630940082867</v>
      </c>
      <c r="BR167">
        <f t="shared" si="363"/>
        <v>0</v>
      </c>
      <c r="BS167">
        <f t="shared" si="364"/>
        <v>0.67537835376525823</v>
      </c>
      <c r="BT167">
        <f t="shared" si="365"/>
        <v>0</v>
      </c>
      <c r="BU167">
        <f t="shared" si="366"/>
        <v>9.0773329198725055</v>
      </c>
      <c r="BV167">
        <f t="shared" si="367"/>
        <v>0</v>
      </c>
      <c r="BW167">
        <f t="shared" si="368"/>
        <v>0</v>
      </c>
      <c r="BX167">
        <f t="shared" si="369"/>
        <v>5.4030268301220659</v>
      </c>
      <c r="BY167">
        <f t="shared" si="370"/>
        <v>8.0549711916957409E-2</v>
      </c>
      <c r="BZ167">
        <f t="shared" si="371"/>
        <v>7.7327723440279099</v>
      </c>
      <c r="CA167">
        <f t="shared" si="372"/>
        <v>5.4711842786671827</v>
      </c>
      <c r="CB167">
        <f t="shared" si="373"/>
        <v>0</v>
      </c>
      <c r="CC167">
        <f t="shared" si="374"/>
        <v>0</v>
      </c>
      <c r="CD167">
        <f t="shared" si="375"/>
        <v>0</v>
      </c>
      <c r="CE167">
        <f t="shared" si="376"/>
        <v>0</v>
      </c>
      <c r="CF167">
        <f t="shared" si="377"/>
        <v>1.3631489709023561</v>
      </c>
      <c r="CG167">
        <f t="shared" si="378"/>
        <v>1.3569528392164363</v>
      </c>
      <c r="CH167">
        <f t="shared" si="379"/>
        <v>0</v>
      </c>
      <c r="CI167">
        <f t="shared" si="380"/>
        <v>0</v>
      </c>
      <c r="CJ167">
        <f t="shared" si="381"/>
        <v>0</v>
      </c>
      <c r="CK167">
        <f t="shared" si="382"/>
        <v>0</v>
      </c>
      <c r="CL167">
        <f t="shared" si="383"/>
        <v>0</v>
      </c>
      <c r="CN167">
        <f t="shared" si="361"/>
        <v>61.223977188573535</v>
      </c>
      <c r="CP167">
        <f t="shared" si="305"/>
        <v>1.5011799737058689</v>
      </c>
      <c r="CQ167">
        <f t="shared" si="306"/>
        <v>0</v>
      </c>
      <c r="CR167">
        <f t="shared" si="307"/>
        <v>2.5358386249008442E-2</v>
      </c>
      <c r="CS167">
        <f t="shared" si="308"/>
        <v>0</v>
      </c>
      <c r="CT167">
        <f t="shared" si="309"/>
        <v>0.44514186543117429</v>
      </c>
      <c r="CU167">
        <f t="shared" si="310"/>
        <v>0</v>
      </c>
      <c r="CV167">
        <f t="shared" si="311"/>
        <v>0</v>
      </c>
      <c r="CW167">
        <f t="shared" si="312"/>
        <v>0.15039740654480352</v>
      </c>
      <c r="CX167">
        <f t="shared" si="313"/>
        <v>2.2709250610926813E-3</v>
      </c>
      <c r="CY167">
        <f t="shared" si="314"/>
        <v>0.38366521180986901</v>
      </c>
      <c r="CZ167">
        <f t="shared" si="315"/>
        <v>0.19512069467429324</v>
      </c>
      <c r="DA167">
        <f t="shared" si="316"/>
        <v>0</v>
      </c>
      <c r="DB167">
        <f t="shared" si="317"/>
        <v>0</v>
      </c>
      <c r="DC167">
        <f t="shared" si="318"/>
        <v>0</v>
      </c>
      <c r="DD167">
        <f t="shared" si="319"/>
        <v>0</v>
      </c>
      <c r="DE167">
        <f t="shared" si="320"/>
        <v>6.5980105077558387E-2</v>
      </c>
      <c r="DF167">
        <f t="shared" si="321"/>
        <v>4.321505857377185E-2</v>
      </c>
      <c r="DG167">
        <f t="shared" si="322"/>
        <v>0</v>
      </c>
      <c r="DH167">
        <f t="shared" si="323"/>
        <v>0</v>
      </c>
      <c r="DI167">
        <f t="shared" si="324"/>
        <v>0</v>
      </c>
      <c r="DJ167">
        <f t="shared" si="325"/>
        <v>0</v>
      </c>
      <c r="DK167">
        <f t="shared" si="326"/>
        <v>0</v>
      </c>
      <c r="DM167">
        <f t="shared" si="327"/>
        <v>2.8123296271274407</v>
      </c>
    </row>
    <row r="168" spans="1:117">
      <c r="A168" s="117" t="s">
        <v>334</v>
      </c>
      <c r="B168" s="117" t="s">
        <v>319</v>
      </c>
      <c r="C168" s="117">
        <v>3.1219999999999999</v>
      </c>
      <c r="F168" s="117">
        <v>6888</v>
      </c>
      <c r="G168" s="117">
        <v>3859</v>
      </c>
      <c r="H168" s="43">
        <f t="shared" si="329"/>
        <v>3.0654342840004056E+22</v>
      </c>
      <c r="I168" s="43">
        <f t="shared" si="330"/>
        <v>8.647676102303076E+22</v>
      </c>
      <c r="J168" s="42">
        <f t="shared" si="331"/>
        <v>148.12186636800001</v>
      </c>
      <c r="K168" s="42">
        <f t="shared" si="358"/>
        <v>46.492452481999997</v>
      </c>
      <c r="L168" s="42">
        <f t="shared" si="359"/>
        <v>136.98030906652517</v>
      </c>
      <c r="M168" s="79">
        <f t="shared" si="332"/>
        <v>132.43311028184849</v>
      </c>
      <c r="O168" s="52" t="str">
        <f t="shared" si="333"/>
        <v>Basalt</v>
      </c>
      <c r="P168" s="117">
        <v>48.826860841423944</v>
      </c>
      <c r="R168" s="117">
        <v>1.0922330097087378</v>
      </c>
      <c r="T168" s="117">
        <v>15.260922330097085</v>
      </c>
      <c r="V168" s="117">
        <v>0</v>
      </c>
      <c r="W168" s="117">
        <v>8.6367313915857586</v>
      </c>
      <c r="X168" s="117">
        <v>0.12135922330097086</v>
      </c>
      <c r="Y168" s="117">
        <v>12.550566343042069</v>
      </c>
      <c r="Z168" s="117">
        <v>8.7783171521035577</v>
      </c>
      <c r="AE168" s="117">
        <v>2.1237864077669899</v>
      </c>
      <c r="AF168" s="117">
        <v>2.1440129449838188</v>
      </c>
      <c r="AI168" s="117">
        <v>0</v>
      </c>
      <c r="AM168" s="86">
        <f t="shared" si="360"/>
        <v>99.534789644012903</v>
      </c>
      <c r="AO168" s="71">
        <f t="shared" si="328"/>
        <v>1.6228678881819414</v>
      </c>
      <c r="AQ168" s="97" t="str">
        <f t="shared" si="334"/>
        <v>Basalt</v>
      </c>
      <c r="AR168" s="73">
        <f t="shared" si="335"/>
        <v>50.077854358037378</v>
      </c>
      <c r="AS168" s="73">
        <f t="shared" si="336"/>
        <v>0</v>
      </c>
      <c r="AT168" s="73">
        <f t="shared" si="337"/>
        <v>0.84233597947552419</v>
      </c>
      <c r="AU168" s="73">
        <f t="shared" si="338"/>
        <v>0</v>
      </c>
      <c r="AV168" s="73">
        <f t="shared" si="339"/>
        <v>9.2229061272196819</v>
      </c>
      <c r="AW168" s="73">
        <f t="shared" si="340"/>
        <v>0</v>
      </c>
      <c r="AX168" s="73">
        <f t="shared" si="341"/>
        <v>0</v>
      </c>
      <c r="AY168" s="73">
        <f t="shared" si="342"/>
        <v>7.4069510329029873</v>
      </c>
      <c r="AZ168" s="73">
        <f t="shared" si="343"/>
        <v>0.10541403495926822</v>
      </c>
      <c r="BA168" s="73">
        <f t="shared" si="344"/>
        <v>19.185245400754596</v>
      </c>
      <c r="BB168" s="73">
        <f t="shared" si="345"/>
        <v>9.6453967301609342</v>
      </c>
      <c r="BC168" s="73">
        <f t="shared" si="346"/>
        <v>0</v>
      </c>
      <c r="BD168" s="73">
        <f t="shared" si="347"/>
        <v>0</v>
      </c>
      <c r="BE168" s="73">
        <f t="shared" si="348"/>
        <v>0</v>
      </c>
      <c r="BF168" s="73">
        <f t="shared" si="349"/>
        <v>0</v>
      </c>
      <c r="BG168" s="73">
        <f t="shared" si="350"/>
        <v>2.1114271329490726</v>
      </c>
      <c r="BH168" s="73">
        <f t="shared" si="351"/>
        <v>1.4024692035405373</v>
      </c>
      <c r="BI168" s="73">
        <f t="shared" si="352"/>
        <v>0</v>
      </c>
      <c r="BJ168" s="73">
        <f t="shared" si="353"/>
        <v>0</v>
      </c>
      <c r="BK168" s="73">
        <f t="shared" si="354"/>
        <v>0</v>
      </c>
      <c r="BL168" s="73">
        <f t="shared" si="355"/>
        <v>0</v>
      </c>
      <c r="BM168" s="73">
        <f t="shared" si="356"/>
        <v>0</v>
      </c>
      <c r="BN168" s="73">
        <f t="shared" si="357"/>
        <v>0</v>
      </c>
      <c r="BQ168">
        <f t="shared" si="362"/>
        <v>30.086774898308857</v>
      </c>
      <c r="BR168">
        <f t="shared" si="363"/>
        <v>0</v>
      </c>
      <c r="BS168">
        <f t="shared" si="364"/>
        <v>0.67302644760094388</v>
      </c>
      <c r="BT168">
        <f t="shared" si="365"/>
        <v>0</v>
      </c>
      <c r="BU168">
        <f t="shared" si="366"/>
        <v>9.4036750873131876</v>
      </c>
      <c r="BV168">
        <f t="shared" si="367"/>
        <v>0</v>
      </c>
      <c r="BW168">
        <f t="shared" si="368"/>
        <v>0</v>
      </c>
      <c r="BX168">
        <f t="shared" si="369"/>
        <v>5.3218943171407966</v>
      </c>
      <c r="BY168">
        <f t="shared" si="370"/>
        <v>7.4780716400104877E-2</v>
      </c>
      <c r="BZ168">
        <f t="shared" si="371"/>
        <v>7.7335724210441787</v>
      </c>
      <c r="CA168">
        <f t="shared" si="372"/>
        <v>5.4091384862742515</v>
      </c>
      <c r="CB168">
        <f t="shared" si="373"/>
        <v>0</v>
      </c>
      <c r="CC168">
        <f t="shared" si="374"/>
        <v>0</v>
      </c>
      <c r="CD168">
        <f t="shared" si="375"/>
        <v>0</v>
      </c>
      <c r="CE168">
        <f t="shared" si="376"/>
        <v>0</v>
      </c>
      <c r="CF168">
        <f t="shared" si="377"/>
        <v>1.3086625370018352</v>
      </c>
      <c r="CG168">
        <f t="shared" si="378"/>
        <v>1.3211259897351861</v>
      </c>
      <c r="CH168">
        <f t="shared" si="379"/>
        <v>0</v>
      </c>
      <c r="CI168">
        <f t="shared" si="380"/>
        <v>0</v>
      </c>
      <c r="CJ168">
        <f t="shared" si="381"/>
        <v>0</v>
      </c>
      <c r="CK168">
        <f t="shared" si="382"/>
        <v>0</v>
      </c>
      <c r="CL168">
        <f t="shared" si="383"/>
        <v>0</v>
      </c>
      <c r="CN168">
        <f t="shared" si="361"/>
        <v>61.332650900819345</v>
      </c>
      <c r="CP168">
        <f t="shared" si="305"/>
        <v>1.5023356307411213</v>
      </c>
      <c r="CQ168">
        <f t="shared" si="306"/>
        <v>0</v>
      </c>
      <c r="CR168">
        <f t="shared" si="307"/>
        <v>2.5270079384265728E-2</v>
      </c>
      <c r="CS168">
        <f t="shared" si="308"/>
        <v>0</v>
      </c>
      <c r="CT168">
        <f t="shared" si="309"/>
        <v>0.46114530636098411</v>
      </c>
      <c r="CU168">
        <f t="shared" si="310"/>
        <v>0</v>
      </c>
      <c r="CV168">
        <f t="shared" si="311"/>
        <v>0</v>
      </c>
      <c r="CW168">
        <f t="shared" si="312"/>
        <v>0.14813902065805976</v>
      </c>
      <c r="CX168">
        <f t="shared" si="313"/>
        <v>2.1082806991853647E-3</v>
      </c>
      <c r="CY168">
        <f t="shared" si="314"/>
        <v>0.38370490801509194</v>
      </c>
      <c r="CZ168">
        <f t="shared" si="315"/>
        <v>0.19290793460321867</v>
      </c>
      <c r="DA168">
        <f t="shared" si="316"/>
        <v>0</v>
      </c>
      <c r="DB168">
        <f t="shared" si="317"/>
        <v>0</v>
      </c>
      <c r="DC168">
        <f t="shared" si="318"/>
        <v>0</v>
      </c>
      <c r="DD168">
        <f t="shared" si="319"/>
        <v>0</v>
      </c>
      <c r="DE168">
        <f t="shared" si="320"/>
        <v>6.3342813988472177E-2</v>
      </c>
      <c r="DF168">
        <f t="shared" si="321"/>
        <v>4.2074076106216121E-2</v>
      </c>
      <c r="DG168">
        <f t="shared" si="322"/>
        <v>0</v>
      </c>
      <c r="DH168">
        <f t="shared" si="323"/>
        <v>0</v>
      </c>
      <c r="DI168">
        <f t="shared" si="324"/>
        <v>0</v>
      </c>
      <c r="DJ168">
        <f t="shared" si="325"/>
        <v>0</v>
      </c>
      <c r="DK168">
        <f t="shared" si="326"/>
        <v>0</v>
      </c>
      <c r="DM168">
        <f t="shared" si="327"/>
        <v>2.821028050556615</v>
      </c>
    </row>
    <row r="169" spans="1:117">
      <c r="A169" s="117" t="s">
        <v>334</v>
      </c>
      <c r="B169" s="117" t="s">
        <v>319</v>
      </c>
      <c r="C169" s="117">
        <v>3.0950000000000002</v>
      </c>
      <c r="F169" s="117">
        <v>6868</v>
      </c>
      <c r="G169" s="117">
        <v>3854</v>
      </c>
      <c r="H169" s="43">
        <f t="shared" si="329"/>
        <v>3.0326888373382304E+22</v>
      </c>
      <c r="I169" s="43">
        <f t="shared" si="330"/>
        <v>8.5697253672312377E+22</v>
      </c>
      <c r="J169" s="42">
        <f t="shared" si="331"/>
        <v>145.98936728000001</v>
      </c>
      <c r="K169" s="42">
        <f t="shared" si="358"/>
        <v>45.971013020000001</v>
      </c>
      <c r="L169" s="42">
        <f t="shared" si="359"/>
        <v>135.44266456175652</v>
      </c>
      <c r="M169" s="79">
        <f t="shared" si="332"/>
        <v>130.93228923245996</v>
      </c>
      <c r="O169" s="52" t="str">
        <f t="shared" si="333"/>
        <v>Basalt</v>
      </c>
      <c r="P169" s="117">
        <v>48.581810840819621</v>
      </c>
      <c r="R169" s="117">
        <v>1.0800444130412838</v>
      </c>
      <c r="T169" s="117">
        <v>15.574846068436457</v>
      </c>
      <c r="V169" s="117">
        <v>0</v>
      </c>
      <c r="W169" s="117">
        <v>8.5898859392348843</v>
      </c>
      <c r="X169" s="117">
        <v>0.13122034924800646</v>
      </c>
      <c r="Y169" s="117">
        <v>12.304431210255373</v>
      </c>
      <c r="Z169" s="117">
        <v>8.9027960028262836</v>
      </c>
      <c r="AE169" s="117">
        <v>1.5140809528616128</v>
      </c>
      <c r="AF169" s="117">
        <v>2.0591500958917939</v>
      </c>
      <c r="AI169" s="117">
        <v>0</v>
      </c>
      <c r="AM169" s="86">
        <f t="shared" si="360"/>
        <v>98.738265872615329</v>
      </c>
      <c r="AO169" s="71">
        <f t="shared" si="328"/>
        <v>1.6065781173233544</v>
      </c>
      <c r="AQ169" s="97" t="str">
        <f t="shared" si="334"/>
        <v>Basalt</v>
      </c>
      <c r="AR169" s="73">
        <f t="shared" si="335"/>
        <v>50.33173801981502</v>
      </c>
      <c r="AS169" s="73">
        <f t="shared" si="336"/>
        <v>0</v>
      </c>
      <c r="AT169" s="73">
        <f t="shared" si="337"/>
        <v>0.84138155700199224</v>
      </c>
      <c r="AU169" s="73">
        <f t="shared" si="338"/>
        <v>0</v>
      </c>
      <c r="AV169" s="73">
        <f t="shared" si="339"/>
        <v>9.5080638386760175</v>
      </c>
      <c r="AW169" s="73">
        <f t="shared" si="340"/>
        <v>0</v>
      </c>
      <c r="AX169" s="73">
        <f t="shared" si="341"/>
        <v>0</v>
      </c>
      <c r="AY169" s="73">
        <f t="shared" si="342"/>
        <v>7.4414707210888178</v>
      </c>
      <c r="AZ169" s="73">
        <f t="shared" si="343"/>
        <v>0.11513521012333305</v>
      </c>
      <c r="BA169" s="73">
        <f t="shared" si="344"/>
        <v>18.999706718500715</v>
      </c>
      <c r="BB169" s="73">
        <f t="shared" si="345"/>
        <v>9.8813565415116269</v>
      </c>
      <c r="BC169" s="73">
        <f t="shared" si="346"/>
        <v>0</v>
      </c>
      <c r="BD169" s="73">
        <f t="shared" si="347"/>
        <v>0</v>
      </c>
      <c r="BE169" s="73">
        <f t="shared" si="348"/>
        <v>0</v>
      </c>
      <c r="BF169" s="73">
        <f t="shared" si="349"/>
        <v>0</v>
      </c>
      <c r="BG169" s="73">
        <f t="shared" si="350"/>
        <v>1.5205323937279855</v>
      </c>
      <c r="BH169" s="73">
        <f t="shared" si="351"/>
        <v>1.3606149995545047</v>
      </c>
      <c r="BI169" s="73">
        <f t="shared" si="352"/>
        <v>0</v>
      </c>
      <c r="BJ169" s="73">
        <f t="shared" si="353"/>
        <v>0</v>
      </c>
      <c r="BK169" s="73">
        <f t="shared" si="354"/>
        <v>0</v>
      </c>
      <c r="BL169" s="73">
        <f t="shared" si="355"/>
        <v>0</v>
      </c>
      <c r="BM169" s="73">
        <f t="shared" si="356"/>
        <v>0</v>
      </c>
      <c r="BN169" s="73">
        <f t="shared" si="357"/>
        <v>0</v>
      </c>
      <c r="BQ169">
        <f t="shared" si="362"/>
        <v>30.239308202304862</v>
      </c>
      <c r="BR169">
        <f t="shared" si="363"/>
        <v>0</v>
      </c>
      <c r="BS169">
        <f t="shared" si="364"/>
        <v>0.67226386404459182</v>
      </c>
      <c r="BT169">
        <f t="shared" si="365"/>
        <v>0</v>
      </c>
      <c r="BU169">
        <f t="shared" si="366"/>
        <v>9.6944218899140662</v>
      </c>
      <c r="BV169">
        <f t="shared" si="367"/>
        <v>0</v>
      </c>
      <c r="BW169">
        <f t="shared" si="368"/>
        <v>0</v>
      </c>
      <c r="BX169">
        <f t="shared" si="369"/>
        <v>5.3466967131023155</v>
      </c>
      <c r="BY169">
        <f t="shared" si="370"/>
        <v>8.1676918061492465E-2</v>
      </c>
      <c r="BZ169">
        <f t="shared" si="371"/>
        <v>7.6587817782276382</v>
      </c>
      <c r="CA169">
        <f t="shared" si="372"/>
        <v>5.5414647484797204</v>
      </c>
      <c r="CB169">
        <f t="shared" si="373"/>
        <v>0</v>
      </c>
      <c r="CC169">
        <f t="shared" si="374"/>
        <v>0</v>
      </c>
      <c r="CD169">
        <f t="shared" si="375"/>
        <v>0</v>
      </c>
      <c r="CE169">
        <f t="shared" si="376"/>
        <v>0</v>
      </c>
      <c r="CF169">
        <f t="shared" si="377"/>
        <v>0.94242597763260538</v>
      </c>
      <c r="CG169">
        <f t="shared" si="378"/>
        <v>1.2816993295803434</v>
      </c>
      <c r="CH169">
        <f t="shared" si="379"/>
        <v>0</v>
      </c>
      <c r="CI169">
        <f t="shared" si="380"/>
        <v>0</v>
      </c>
      <c r="CJ169">
        <f t="shared" si="381"/>
        <v>0</v>
      </c>
      <c r="CK169">
        <f t="shared" si="382"/>
        <v>0</v>
      </c>
      <c r="CL169">
        <f t="shared" si="383"/>
        <v>0</v>
      </c>
      <c r="CN169">
        <f t="shared" si="361"/>
        <v>61.458739421347623</v>
      </c>
      <c r="CP169">
        <f t="shared" si="305"/>
        <v>1.5099521405944505</v>
      </c>
      <c r="CQ169">
        <f t="shared" si="306"/>
        <v>0</v>
      </c>
      <c r="CR169">
        <f t="shared" si="307"/>
        <v>2.5241446710059765E-2</v>
      </c>
      <c r="CS169">
        <f t="shared" si="308"/>
        <v>0</v>
      </c>
      <c r="CT169">
        <f t="shared" si="309"/>
        <v>0.47540319193380087</v>
      </c>
      <c r="CU169">
        <f t="shared" si="310"/>
        <v>0</v>
      </c>
      <c r="CV169">
        <f t="shared" si="311"/>
        <v>0</v>
      </c>
      <c r="CW169">
        <f t="shared" si="312"/>
        <v>0.14882941442177636</v>
      </c>
      <c r="CX169">
        <f t="shared" si="313"/>
        <v>2.3027042024666611E-3</v>
      </c>
      <c r="CY169">
        <f t="shared" si="314"/>
        <v>0.37999413437001428</v>
      </c>
      <c r="CZ169">
        <f t="shared" si="315"/>
        <v>0.19762713083023253</v>
      </c>
      <c r="DA169">
        <f t="shared" si="316"/>
        <v>0</v>
      </c>
      <c r="DB169">
        <f t="shared" si="317"/>
        <v>0</v>
      </c>
      <c r="DC169">
        <f t="shared" si="318"/>
        <v>0</v>
      </c>
      <c r="DD169">
        <f t="shared" si="319"/>
        <v>0</v>
      </c>
      <c r="DE169">
        <f t="shared" si="320"/>
        <v>4.5615971811839566E-2</v>
      </c>
      <c r="DF169">
        <f t="shared" si="321"/>
        <v>4.0818449986635141E-2</v>
      </c>
      <c r="DG169">
        <f t="shared" si="322"/>
        <v>0</v>
      </c>
      <c r="DH169">
        <f t="shared" si="323"/>
        <v>0</v>
      </c>
      <c r="DI169">
        <f t="shared" si="324"/>
        <v>0</v>
      </c>
      <c r="DJ169">
        <f t="shared" si="325"/>
        <v>0</v>
      </c>
      <c r="DK169">
        <f t="shared" si="326"/>
        <v>0</v>
      </c>
      <c r="DM169">
        <f t="shared" si="327"/>
        <v>2.8257845848612759</v>
      </c>
    </row>
    <row r="170" spans="1:117">
      <c r="A170" s="117" t="s">
        <v>334</v>
      </c>
      <c r="B170" s="117" t="s">
        <v>319</v>
      </c>
      <c r="C170" s="117">
        <v>3.0230000000000001</v>
      </c>
      <c r="F170" s="117">
        <v>6838</v>
      </c>
      <c r="G170" s="117">
        <v>3849</v>
      </c>
      <c r="H170" s="43">
        <f t="shared" si="329"/>
        <v>2.9719840315376025E+22</v>
      </c>
      <c r="I170" s="43">
        <f t="shared" si="330"/>
        <v>8.395652104144544E+22</v>
      </c>
      <c r="J170" s="42">
        <f t="shared" si="331"/>
        <v>141.35017161200003</v>
      </c>
      <c r="K170" s="42">
        <f t="shared" si="358"/>
        <v>44.785143423000001</v>
      </c>
      <c r="L170" s="42">
        <f t="shared" si="359"/>
        <v>131.93450486811659</v>
      </c>
      <c r="M170" s="79">
        <f t="shared" si="332"/>
        <v>127.51647754665832</v>
      </c>
      <c r="O170" s="52" t="str">
        <f t="shared" si="333"/>
        <v>Basalt</v>
      </c>
      <c r="P170" s="117">
        <v>48.643761301989166</v>
      </c>
      <c r="R170" s="117">
        <v>1.0146674703636731</v>
      </c>
      <c r="T170" s="117">
        <v>14.677516576250756</v>
      </c>
      <c r="V170" s="117">
        <v>0</v>
      </c>
      <c r="W170" s="117">
        <v>7.795860960417925</v>
      </c>
      <c r="X170" s="117">
        <v>0.11050833835643964</v>
      </c>
      <c r="Y170" s="117">
        <v>12.045408880851921</v>
      </c>
      <c r="Z170" s="117">
        <v>8.8105284307815968</v>
      </c>
      <c r="AE170" s="117">
        <v>2.0896122161944954</v>
      </c>
      <c r="AF170" s="117">
        <v>2.1097046413502114</v>
      </c>
      <c r="AI170" s="117">
        <v>0</v>
      </c>
      <c r="AM170" s="86">
        <f t="shared" si="360"/>
        <v>97.297568816556193</v>
      </c>
      <c r="AO170" s="71">
        <f t="shared" si="328"/>
        <v>1.5883984899680701</v>
      </c>
      <c r="AQ170" s="97" t="str">
        <f t="shared" si="334"/>
        <v>Basalt</v>
      </c>
      <c r="AR170" s="73">
        <f t="shared" si="335"/>
        <v>50.972714155218817</v>
      </c>
      <c r="AS170" s="73">
        <f t="shared" si="336"/>
        <v>0</v>
      </c>
      <c r="AT170" s="73">
        <f t="shared" si="337"/>
        <v>0.79949820410322947</v>
      </c>
      <c r="AU170" s="73">
        <f t="shared" si="338"/>
        <v>0</v>
      </c>
      <c r="AV170" s="73">
        <f t="shared" si="339"/>
        <v>9.0628185978549141</v>
      </c>
      <c r="AW170" s="73">
        <f t="shared" si="340"/>
        <v>0</v>
      </c>
      <c r="AX170" s="73">
        <f t="shared" si="341"/>
        <v>0</v>
      </c>
      <c r="AY170" s="73">
        <f t="shared" si="342"/>
        <v>6.8308987301777062</v>
      </c>
      <c r="AZ170" s="73">
        <f t="shared" si="343"/>
        <v>9.8071857068772153E-2</v>
      </c>
      <c r="BA170" s="73">
        <f t="shared" si="344"/>
        <v>18.812619992805704</v>
      </c>
      <c r="BB170" s="73">
        <f t="shared" si="345"/>
        <v>9.890869833650429</v>
      </c>
      <c r="BC170" s="73">
        <f t="shared" si="346"/>
        <v>0</v>
      </c>
      <c r="BD170" s="73">
        <f t="shared" si="347"/>
        <v>0</v>
      </c>
      <c r="BE170" s="73">
        <f t="shared" si="348"/>
        <v>0</v>
      </c>
      <c r="BF170" s="73">
        <f t="shared" si="349"/>
        <v>0</v>
      </c>
      <c r="BG170" s="73">
        <f t="shared" si="350"/>
        <v>2.1225340262480699</v>
      </c>
      <c r="BH170" s="73">
        <f t="shared" si="351"/>
        <v>1.4099746028723472</v>
      </c>
      <c r="BI170" s="73">
        <f t="shared" si="352"/>
        <v>0</v>
      </c>
      <c r="BJ170" s="73">
        <f t="shared" si="353"/>
        <v>0</v>
      </c>
      <c r="BK170" s="73">
        <f t="shared" si="354"/>
        <v>0</v>
      </c>
      <c r="BL170" s="73">
        <f t="shared" si="355"/>
        <v>0</v>
      </c>
      <c r="BM170" s="73">
        <f t="shared" si="356"/>
        <v>0</v>
      </c>
      <c r="BN170" s="73">
        <f t="shared" si="357"/>
        <v>0</v>
      </c>
      <c r="BQ170">
        <f t="shared" si="362"/>
        <v>30.62440666445546</v>
      </c>
      <c r="BR170">
        <f t="shared" si="363"/>
        <v>0</v>
      </c>
      <c r="BS170">
        <f t="shared" si="364"/>
        <v>0.63879906507848039</v>
      </c>
      <c r="BT170">
        <f t="shared" si="365"/>
        <v>0</v>
      </c>
      <c r="BU170">
        <f t="shared" si="366"/>
        <v>9.24044984237287</v>
      </c>
      <c r="BV170">
        <f t="shared" si="367"/>
        <v>0</v>
      </c>
      <c r="BW170">
        <f t="shared" si="368"/>
        <v>0</v>
      </c>
      <c r="BX170">
        <f t="shared" si="369"/>
        <v>4.9080007376326815</v>
      </c>
      <c r="BY170">
        <f t="shared" si="370"/>
        <v>6.9572175404586961E-2</v>
      </c>
      <c r="BZ170">
        <f t="shared" si="371"/>
        <v>7.5833671190999796</v>
      </c>
      <c r="CA170">
        <f t="shared" si="372"/>
        <v>5.5467998027111598</v>
      </c>
      <c r="CB170">
        <f t="shared" si="373"/>
        <v>0</v>
      </c>
      <c r="CC170">
        <f t="shared" si="374"/>
        <v>0</v>
      </c>
      <c r="CD170">
        <f t="shared" si="375"/>
        <v>0</v>
      </c>
      <c r="CE170">
        <f t="shared" si="376"/>
        <v>0</v>
      </c>
      <c r="CF170">
        <f t="shared" si="377"/>
        <v>1.3155465894685536</v>
      </c>
      <c r="CG170">
        <f t="shared" si="378"/>
        <v>1.328196075905751</v>
      </c>
      <c r="CH170">
        <f t="shared" si="379"/>
        <v>0</v>
      </c>
      <c r="CI170">
        <f t="shared" si="380"/>
        <v>0</v>
      </c>
      <c r="CJ170">
        <f t="shared" si="381"/>
        <v>0</v>
      </c>
      <c r="CK170">
        <f t="shared" si="382"/>
        <v>0</v>
      </c>
      <c r="CL170">
        <f t="shared" si="383"/>
        <v>0</v>
      </c>
      <c r="CN170">
        <f t="shared" si="361"/>
        <v>61.255138072129526</v>
      </c>
      <c r="CP170">
        <f t="shared" si="305"/>
        <v>1.5291814246565645</v>
      </c>
      <c r="CQ170">
        <f t="shared" si="306"/>
        <v>0</v>
      </c>
      <c r="CR170">
        <f t="shared" si="307"/>
        <v>2.3984946123096887E-2</v>
      </c>
      <c r="CS170">
        <f t="shared" si="308"/>
        <v>0</v>
      </c>
      <c r="CT170">
        <f t="shared" si="309"/>
        <v>0.45314092989274574</v>
      </c>
      <c r="CU170">
        <f t="shared" si="310"/>
        <v>0</v>
      </c>
      <c r="CV170">
        <f t="shared" si="311"/>
        <v>0</v>
      </c>
      <c r="CW170">
        <f t="shared" si="312"/>
        <v>0.13661797460355413</v>
      </c>
      <c r="CX170">
        <f t="shared" si="313"/>
        <v>1.9614371413754429E-3</v>
      </c>
      <c r="CY170">
        <f t="shared" si="314"/>
        <v>0.37625239985611408</v>
      </c>
      <c r="CZ170">
        <f t="shared" si="315"/>
        <v>0.19781739667300857</v>
      </c>
      <c r="DA170">
        <f t="shared" si="316"/>
        <v>0</v>
      </c>
      <c r="DB170">
        <f t="shared" si="317"/>
        <v>0</v>
      </c>
      <c r="DC170">
        <f t="shared" si="318"/>
        <v>0</v>
      </c>
      <c r="DD170">
        <f t="shared" si="319"/>
        <v>0</v>
      </c>
      <c r="DE170">
        <f t="shared" si="320"/>
        <v>6.3676020787442097E-2</v>
      </c>
      <c r="DF170">
        <f t="shared" si="321"/>
        <v>4.2299238086170414E-2</v>
      </c>
      <c r="DG170">
        <f t="shared" si="322"/>
        <v>0</v>
      </c>
      <c r="DH170">
        <f t="shared" si="323"/>
        <v>0</v>
      </c>
      <c r="DI170">
        <f t="shared" si="324"/>
        <v>0</v>
      </c>
      <c r="DJ170">
        <f t="shared" si="325"/>
        <v>0</v>
      </c>
      <c r="DK170">
        <f t="shared" si="326"/>
        <v>0</v>
      </c>
      <c r="DM170">
        <f t="shared" si="327"/>
        <v>2.8249317678200718</v>
      </c>
    </row>
    <row r="171" spans="1:117">
      <c r="A171" s="117" t="s">
        <v>334</v>
      </c>
      <c r="B171" s="117" t="s">
        <v>319</v>
      </c>
      <c r="C171" s="117">
        <v>2.976</v>
      </c>
      <c r="F171" s="117">
        <v>6817</v>
      </c>
      <c r="G171" s="117">
        <v>3842</v>
      </c>
      <c r="H171" s="43">
        <f t="shared" si="329"/>
        <v>2.9345244809111397E+22</v>
      </c>
      <c r="I171" s="43">
        <f t="shared" si="330"/>
        <v>8.2693040042269945E+22</v>
      </c>
      <c r="J171" s="42">
        <f t="shared" si="331"/>
        <v>138.29915126399999</v>
      </c>
      <c r="K171" s="42">
        <f t="shared" si="358"/>
        <v>43.928628863999997</v>
      </c>
      <c r="L171" s="42">
        <f t="shared" si="359"/>
        <v>129.39547510087317</v>
      </c>
      <c r="M171" s="79">
        <f t="shared" si="332"/>
        <v>125.04985487256212</v>
      </c>
      <c r="O171" s="52" t="str">
        <f t="shared" si="333"/>
        <v>Basalt</v>
      </c>
      <c r="P171" s="117">
        <v>47.957139995994389</v>
      </c>
      <c r="R171" s="117">
        <v>1.0414580412577608</v>
      </c>
      <c r="T171" s="117">
        <v>14.149809733627079</v>
      </c>
      <c r="V171" s="117">
        <v>0</v>
      </c>
      <c r="W171" s="117">
        <v>7.4304025635890243</v>
      </c>
      <c r="X171" s="117">
        <v>0.11015421590226315</v>
      </c>
      <c r="Y171" s="117">
        <v>12.157019827758861</v>
      </c>
      <c r="Z171" s="117">
        <v>8.812337272181054</v>
      </c>
      <c r="AE171" s="117">
        <v>2.1730422591628278</v>
      </c>
      <c r="AF171" s="117">
        <v>2.1530142199078708</v>
      </c>
      <c r="AI171" s="117">
        <v>0</v>
      </c>
      <c r="AM171" s="86">
        <f t="shared" si="360"/>
        <v>95.984378129381142</v>
      </c>
      <c r="AO171" s="71">
        <f t="shared" si="328"/>
        <v>1.5716452270384194</v>
      </c>
      <c r="AQ171" s="97" t="str">
        <f t="shared" si="334"/>
        <v>Basalt</v>
      </c>
      <c r="AR171" s="73">
        <f t="shared" si="335"/>
        <v>50.788903100106339</v>
      </c>
      <c r="AS171" s="73">
        <f t="shared" si="336"/>
        <v>0</v>
      </c>
      <c r="AT171" s="73">
        <f t="shared" si="337"/>
        <v>0.82935502490050461</v>
      </c>
      <c r="AU171" s="73">
        <f t="shared" si="338"/>
        <v>0</v>
      </c>
      <c r="AV171" s="73">
        <f t="shared" si="339"/>
        <v>8.8301128788943082</v>
      </c>
      <c r="AW171" s="73">
        <f t="shared" si="340"/>
        <v>0</v>
      </c>
      <c r="AX171" s="73">
        <f t="shared" si="341"/>
        <v>0</v>
      </c>
      <c r="AY171" s="73">
        <f t="shared" si="342"/>
        <v>6.580078172373848</v>
      </c>
      <c r="AZ171" s="73">
        <f t="shared" si="343"/>
        <v>9.8799653470030682E-2</v>
      </c>
      <c r="BA171" s="73">
        <f t="shared" si="344"/>
        <v>19.189329885291414</v>
      </c>
      <c r="BB171" s="73">
        <f t="shared" si="345"/>
        <v>9.9983558019457597</v>
      </c>
      <c r="BC171" s="73">
        <f t="shared" si="346"/>
        <v>0</v>
      </c>
      <c r="BD171" s="73">
        <f t="shared" si="347"/>
        <v>0</v>
      </c>
      <c r="BE171" s="73">
        <f t="shared" si="348"/>
        <v>0</v>
      </c>
      <c r="BF171" s="73">
        <f t="shared" si="349"/>
        <v>0</v>
      </c>
      <c r="BG171" s="73">
        <f t="shared" si="350"/>
        <v>2.2308074298521263</v>
      </c>
      <c r="BH171" s="73">
        <f t="shared" si="351"/>
        <v>1.4542580531656579</v>
      </c>
      <c r="BI171" s="73">
        <f t="shared" si="352"/>
        <v>0</v>
      </c>
      <c r="BJ171" s="73">
        <f t="shared" si="353"/>
        <v>0</v>
      </c>
      <c r="BK171" s="73">
        <f t="shared" si="354"/>
        <v>0</v>
      </c>
      <c r="BL171" s="73">
        <f t="shared" si="355"/>
        <v>0</v>
      </c>
      <c r="BM171" s="73">
        <f t="shared" si="356"/>
        <v>0</v>
      </c>
      <c r="BN171" s="73">
        <f t="shared" si="357"/>
        <v>0</v>
      </c>
      <c r="BQ171">
        <f t="shared" si="362"/>
        <v>30.513972982543891</v>
      </c>
      <c r="BR171">
        <f t="shared" si="363"/>
        <v>0</v>
      </c>
      <c r="BS171">
        <f t="shared" si="364"/>
        <v>0.66265466489550318</v>
      </c>
      <c r="BT171">
        <f t="shared" si="365"/>
        <v>0</v>
      </c>
      <c r="BU171">
        <f t="shared" si="366"/>
        <v>9.0031830913206363</v>
      </c>
      <c r="BV171">
        <f t="shared" si="367"/>
        <v>0</v>
      </c>
      <c r="BW171">
        <f t="shared" si="368"/>
        <v>0</v>
      </c>
      <c r="BX171">
        <f t="shared" si="369"/>
        <v>4.7277861668506089</v>
      </c>
      <c r="BY171">
        <f t="shared" si="370"/>
        <v>7.008847417163977E-2</v>
      </c>
      <c r="BZ171">
        <f t="shared" si="371"/>
        <v>7.7352188767609693</v>
      </c>
      <c r="CA171">
        <f t="shared" si="372"/>
        <v>5.6070779337311825</v>
      </c>
      <c r="CB171">
        <f t="shared" si="373"/>
        <v>0</v>
      </c>
      <c r="CC171">
        <f t="shared" si="374"/>
        <v>0</v>
      </c>
      <c r="CD171">
        <f t="shared" si="375"/>
        <v>0</v>
      </c>
      <c r="CE171">
        <f t="shared" si="376"/>
        <v>0</v>
      </c>
      <c r="CF171">
        <f t="shared" si="377"/>
        <v>1.3826544450223479</v>
      </c>
      <c r="CG171">
        <f t="shared" si="378"/>
        <v>1.3699110860820498</v>
      </c>
      <c r="CH171">
        <f t="shared" si="379"/>
        <v>0</v>
      </c>
      <c r="CI171">
        <f t="shared" si="380"/>
        <v>0</v>
      </c>
      <c r="CJ171">
        <f t="shared" si="381"/>
        <v>0</v>
      </c>
      <c r="CK171">
        <f t="shared" si="382"/>
        <v>0</v>
      </c>
      <c r="CL171">
        <f t="shared" si="383"/>
        <v>0</v>
      </c>
      <c r="CN171">
        <f t="shared" si="361"/>
        <v>61.072547721378818</v>
      </c>
      <c r="CP171">
        <f t="shared" si="305"/>
        <v>1.5236670930031901</v>
      </c>
      <c r="CQ171">
        <f t="shared" si="306"/>
        <v>0</v>
      </c>
      <c r="CR171">
        <f t="shared" si="307"/>
        <v>2.4880650747015138E-2</v>
      </c>
      <c r="CS171">
        <f t="shared" si="308"/>
        <v>0</v>
      </c>
      <c r="CT171">
        <f t="shared" si="309"/>
        <v>0.44150564394471542</v>
      </c>
      <c r="CU171">
        <f t="shared" si="310"/>
        <v>0</v>
      </c>
      <c r="CV171">
        <f t="shared" si="311"/>
        <v>0</v>
      </c>
      <c r="CW171">
        <f t="shared" si="312"/>
        <v>0.13160156344747695</v>
      </c>
      <c r="CX171">
        <f t="shared" si="313"/>
        <v>1.9759930694006138E-3</v>
      </c>
      <c r="CY171">
        <f t="shared" si="314"/>
        <v>0.38378659770582829</v>
      </c>
      <c r="CZ171">
        <f t="shared" si="315"/>
        <v>0.1999671160389152</v>
      </c>
      <c r="DA171">
        <f t="shared" si="316"/>
        <v>0</v>
      </c>
      <c r="DB171">
        <f t="shared" si="317"/>
        <v>0</v>
      </c>
      <c r="DC171">
        <f t="shared" si="318"/>
        <v>0</v>
      </c>
      <c r="DD171">
        <f t="shared" si="319"/>
        <v>0</v>
      </c>
      <c r="DE171">
        <f t="shared" si="320"/>
        <v>6.6924222895563795E-2</v>
      </c>
      <c r="DF171">
        <f t="shared" si="321"/>
        <v>4.3627741594969738E-2</v>
      </c>
      <c r="DG171">
        <f t="shared" si="322"/>
        <v>0</v>
      </c>
      <c r="DH171">
        <f t="shared" si="323"/>
        <v>0</v>
      </c>
      <c r="DI171">
        <f t="shared" si="324"/>
        <v>0</v>
      </c>
      <c r="DJ171">
        <f t="shared" si="325"/>
        <v>0</v>
      </c>
      <c r="DK171">
        <f t="shared" si="326"/>
        <v>0</v>
      </c>
      <c r="DM171">
        <f t="shared" si="327"/>
        <v>2.8179366224470757</v>
      </c>
    </row>
    <row r="172" spans="1:117">
      <c r="A172" s="117" t="s">
        <v>334</v>
      </c>
      <c r="B172" s="117" t="s">
        <v>319</v>
      </c>
      <c r="C172" s="117">
        <v>3.1059999999999999</v>
      </c>
      <c r="F172" s="117">
        <v>6909</v>
      </c>
      <c r="G172" s="117">
        <v>3849</v>
      </c>
      <c r="H172" s="43">
        <f t="shared" si="329"/>
        <v>3.0591324263695765E+22</v>
      </c>
      <c r="I172" s="43">
        <f t="shared" si="330"/>
        <v>8.5719440043720147E+22</v>
      </c>
      <c r="J172" s="42">
        <f t="shared" si="331"/>
        <v>148.26267678599999</v>
      </c>
      <c r="K172" s="42">
        <f t="shared" si="358"/>
        <v>46.014771905999993</v>
      </c>
      <c r="L172" s="42">
        <f t="shared" si="359"/>
        <v>135.55240072405249</v>
      </c>
      <c r="M172" s="79">
        <f t="shared" si="332"/>
        <v>131.06175862656156</v>
      </c>
      <c r="O172" s="52" t="str">
        <f t="shared" si="333"/>
        <v>Basalt</v>
      </c>
      <c r="P172" s="117">
        <v>46.176670581690047</v>
      </c>
      <c r="R172" s="117">
        <v>1.1889307865075929</v>
      </c>
      <c r="T172" s="117">
        <v>13.537738764913145</v>
      </c>
      <c r="V172" s="117">
        <v>0</v>
      </c>
      <c r="W172" s="117">
        <v>8.0773114092023643</v>
      </c>
      <c r="X172" s="117">
        <v>9.5815046053038255E-2</v>
      </c>
      <c r="Y172" s="117">
        <v>12.414745214399044</v>
      </c>
      <c r="Z172" s="117">
        <v>8.3678473552986752</v>
      </c>
      <c r="AE172" s="117">
        <v>1.4897694257278851</v>
      </c>
      <c r="AF172" s="117">
        <v>3.0052955842657267</v>
      </c>
      <c r="AI172" s="117">
        <v>0</v>
      </c>
      <c r="AM172" s="86">
        <f t="shared" si="360"/>
        <v>94.35412416805751</v>
      </c>
      <c r="AO172" s="71">
        <f t="shared" si="328"/>
        <v>1.5431454627220904</v>
      </c>
      <c r="AQ172" s="97" t="str">
        <f t="shared" si="334"/>
        <v>Basalt</v>
      </c>
      <c r="AR172" s="73">
        <f t="shared" si="335"/>
        <v>49.806477293876576</v>
      </c>
      <c r="AS172" s="73">
        <f t="shared" si="336"/>
        <v>0</v>
      </c>
      <c r="AT172" s="73">
        <f t="shared" si="337"/>
        <v>0.96427948529252172</v>
      </c>
      <c r="AU172" s="73">
        <f t="shared" si="338"/>
        <v>0</v>
      </c>
      <c r="AV172" s="73">
        <f t="shared" si="339"/>
        <v>8.6041789903661581</v>
      </c>
      <c r="AW172" s="73">
        <f t="shared" si="340"/>
        <v>0</v>
      </c>
      <c r="AX172" s="73">
        <f t="shared" si="341"/>
        <v>0</v>
      </c>
      <c r="AY172" s="73">
        <f t="shared" si="342"/>
        <v>7.2850609246227185</v>
      </c>
      <c r="AZ172" s="73">
        <f t="shared" si="343"/>
        <v>8.752571401129304E-2</v>
      </c>
      <c r="BA172" s="73">
        <f t="shared" si="344"/>
        <v>19.958051853813483</v>
      </c>
      <c r="BB172" s="73">
        <f t="shared" si="345"/>
        <v>9.6693855671291935</v>
      </c>
      <c r="BC172" s="73">
        <f t="shared" si="346"/>
        <v>0</v>
      </c>
      <c r="BD172" s="73">
        <f t="shared" si="347"/>
        <v>0</v>
      </c>
      <c r="BE172" s="73">
        <f t="shared" si="348"/>
        <v>0</v>
      </c>
      <c r="BF172" s="73">
        <f t="shared" si="349"/>
        <v>0</v>
      </c>
      <c r="BG172" s="73">
        <f t="shared" si="350"/>
        <v>1.5576167864999448</v>
      </c>
      <c r="BH172" s="73">
        <f t="shared" si="351"/>
        <v>2.0674233843881251</v>
      </c>
      <c r="BI172" s="73">
        <f t="shared" si="352"/>
        <v>0</v>
      </c>
      <c r="BJ172" s="73">
        <f t="shared" si="353"/>
        <v>0</v>
      </c>
      <c r="BK172" s="73">
        <f t="shared" si="354"/>
        <v>0</v>
      </c>
      <c r="BL172" s="73">
        <f t="shared" si="355"/>
        <v>0</v>
      </c>
      <c r="BM172" s="73">
        <f t="shared" si="356"/>
        <v>0</v>
      </c>
      <c r="BN172" s="73">
        <f t="shared" si="357"/>
        <v>0</v>
      </c>
      <c r="BQ172">
        <f t="shared" si="362"/>
        <v>29.923731558161048</v>
      </c>
      <c r="BR172">
        <f t="shared" si="363"/>
        <v>0</v>
      </c>
      <c r="BS172">
        <f t="shared" si="364"/>
        <v>0.77045930874872492</v>
      </c>
      <c r="BT172">
        <f t="shared" si="365"/>
        <v>0</v>
      </c>
      <c r="BU172">
        <f t="shared" si="366"/>
        <v>8.7728208985773346</v>
      </c>
      <c r="BV172">
        <f t="shared" si="367"/>
        <v>0</v>
      </c>
      <c r="BW172">
        <f t="shared" si="368"/>
        <v>0</v>
      </c>
      <c r="BX172">
        <f t="shared" si="369"/>
        <v>5.2343162743414231</v>
      </c>
      <c r="BY172">
        <f t="shared" si="370"/>
        <v>6.2090741519611282E-2</v>
      </c>
      <c r="BZ172">
        <f t="shared" si="371"/>
        <v>8.0450907022722156</v>
      </c>
      <c r="CA172">
        <f t="shared" si="372"/>
        <v>5.4225914260460515</v>
      </c>
      <c r="CB172">
        <f t="shared" si="373"/>
        <v>0</v>
      </c>
      <c r="CC172">
        <f t="shared" si="374"/>
        <v>0</v>
      </c>
      <c r="CD172">
        <f t="shared" si="375"/>
        <v>0</v>
      </c>
      <c r="CE172">
        <f t="shared" si="376"/>
        <v>0</v>
      </c>
      <c r="CF172">
        <f t="shared" si="377"/>
        <v>0.96541088427266575</v>
      </c>
      <c r="CG172">
        <f t="shared" si="378"/>
        <v>1.9475128280936138</v>
      </c>
      <c r="CH172">
        <f t="shared" si="379"/>
        <v>0</v>
      </c>
      <c r="CI172">
        <f t="shared" si="380"/>
        <v>0</v>
      </c>
      <c r="CJ172">
        <f t="shared" si="381"/>
        <v>0</v>
      </c>
      <c r="CK172">
        <f t="shared" si="382"/>
        <v>0</v>
      </c>
      <c r="CL172">
        <f t="shared" si="383"/>
        <v>0</v>
      </c>
      <c r="CN172">
        <f t="shared" si="361"/>
        <v>61.144024622032688</v>
      </c>
      <c r="CP172">
        <f t="shared" si="305"/>
        <v>1.4941943188162974</v>
      </c>
      <c r="CQ172">
        <f t="shared" si="306"/>
        <v>0</v>
      </c>
      <c r="CR172">
        <f t="shared" si="307"/>
        <v>2.8928384558775652E-2</v>
      </c>
      <c r="CS172">
        <f t="shared" si="308"/>
        <v>0</v>
      </c>
      <c r="CT172">
        <f t="shared" si="309"/>
        <v>0.4302089495183079</v>
      </c>
      <c r="CU172">
        <f t="shared" si="310"/>
        <v>0</v>
      </c>
      <c r="CV172">
        <f t="shared" si="311"/>
        <v>0</v>
      </c>
      <c r="CW172">
        <f t="shared" si="312"/>
        <v>0.14570121849245438</v>
      </c>
      <c r="CX172">
        <f t="shared" si="313"/>
        <v>1.7505142802258609E-3</v>
      </c>
      <c r="CY172">
        <f t="shared" si="314"/>
        <v>0.39916103707626965</v>
      </c>
      <c r="CZ172">
        <f t="shared" si="315"/>
        <v>0.19338771134258387</v>
      </c>
      <c r="DA172">
        <f t="shared" si="316"/>
        <v>0</v>
      </c>
      <c r="DB172">
        <f t="shared" si="317"/>
        <v>0</v>
      </c>
      <c r="DC172">
        <f t="shared" si="318"/>
        <v>0</v>
      </c>
      <c r="DD172">
        <f t="shared" si="319"/>
        <v>0</v>
      </c>
      <c r="DE172">
        <f t="shared" si="320"/>
        <v>4.6728503594998347E-2</v>
      </c>
      <c r="DF172">
        <f t="shared" si="321"/>
        <v>6.2022701531643749E-2</v>
      </c>
      <c r="DG172">
        <f t="shared" si="322"/>
        <v>0</v>
      </c>
      <c r="DH172">
        <f t="shared" si="323"/>
        <v>0</v>
      </c>
      <c r="DI172">
        <f t="shared" si="324"/>
        <v>0</v>
      </c>
      <c r="DJ172">
        <f t="shared" si="325"/>
        <v>0</v>
      </c>
      <c r="DK172">
        <f t="shared" si="326"/>
        <v>0</v>
      </c>
      <c r="DM172">
        <f t="shared" si="327"/>
        <v>2.8020833392115567</v>
      </c>
    </row>
    <row r="173" spans="1:117">
      <c r="A173" s="117" t="s">
        <v>334</v>
      </c>
      <c r="B173" s="117" t="s">
        <v>319</v>
      </c>
      <c r="C173" s="117">
        <v>3.036</v>
      </c>
      <c r="F173" s="117">
        <v>6915</v>
      </c>
      <c r="G173" s="117">
        <v>3892</v>
      </c>
      <c r="H173" s="43">
        <f t="shared" si="329"/>
        <v>2.8633747295783606E+22</v>
      </c>
      <c r="I173" s="43">
        <f t="shared" si="330"/>
        <v>8.2080528141363028E+22</v>
      </c>
      <c r="J173" s="42">
        <f t="shared" si="331"/>
        <v>145.17309509999998</v>
      </c>
      <c r="K173" s="42">
        <f t="shared" si="358"/>
        <v>45.988307904000003</v>
      </c>
      <c r="L173" s="42">
        <f t="shared" si="359"/>
        <v>135.6324695923596</v>
      </c>
      <c r="M173" s="79">
        <f t="shared" si="332"/>
        <v>131.27878616522716</v>
      </c>
      <c r="O173" s="52" t="str">
        <f t="shared" si="333"/>
        <v>Basalt</v>
      </c>
      <c r="P173" s="117">
        <v>44.983328281297375</v>
      </c>
      <c r="R173" s="117">
        <v>2.8594523593007986</v>
      </c>
      <c r="T173" s="117">
        <v>16.934424573102966</v>
      </c>
      <c r="V173" s="117">
        <v>0</v>
      </c>
      <c r="W173" s="117">
        <v>12.033949681721735</v>
      </c>
      <c r="X173" s="117">
        <v>0.21218551076083664</v>
      </c>
      <c r="Y173" s="117">
        <v>7.6790946751540883</v>
      </c>
      <c r="Z173" s="117">
        <v>10.10407194099222</v>
      </c>
      <c r="AE173" s="117">
        <v>3.4859048196423168</v>
      </c>
      <c r="AF173" s="117">
        <v>1.7075881580276853</v>
      </c>
      <c r="AI173" s="117">
        <v>0</v>
      </c>
      <c r="AM173" s="86">
        <f t="shared" si="360"/>
        <v>100.00000000000001</v>
      </c>
      <c r="AO173" s="71">
        <f t="shared" si="328"/>
        <v>1.5661219375747022</v>
      </c>
      <c r="AQ173" s="97" t="str">
        <f t="shared" si="334"/>
        <v>Basalt</v>
      </c>
      <c r="AR173" s="73">
        <f t="shared" si="335"/>
        <v>47.807506018869688</v>
      </c>
      <c r="AS173" s="73">
        <f t="shared" si="336"/>
        <v>0</v>
      </c>
      <c r="AT173" s="73">
        <f t="shared" si="337"/>
        <v>2.2851279006009149</v>
      </c>
      <c r="AU173" s="73">
        <f t="shared" si="338"/>
        <v>0</v>
      </c>
      <c r="AV173" s="73">
        <f t="shared" si="339"/>
        <v>10.605106744432103</v>
      </c>
      <c r="AW173" s="73">
        <f t="shared" si="340"/>
        <v>0</v>
      </c>
      <c r="AX173" s="73">
        <f t="shared" si="341"/>
        <v>0</v>
      </c>
      <c r="AY173" s="73">
        <f t="shared" si="342"/>
        <v>10.694385763248112</v>
      </c>
      <c r="AZ173" s="73">
        <f t="shared" si="343"/>
        <v>0.19098487172349282</v>
      </c>
      <c r="BA173" s="73">
        <f t="shared" si="344"/>
        <v>12.163866661999363</v>
      </c>
      <c r="BB173" s="73">
        <f t="shared" si="345"/>
        <v>11.504370287399444</v>
      </c>
      <c r="BC173" s="73">
        <f t="shared" si="346"/>
        <v>0</v>
      </c>
      <c r="BD173" s="73">
        <f t="shared" si="347"/>
        <v>0</v>
      </c>
      <c r="BE173" s="73">
        <f t="shared" si="348"/>
        <v>0</v>
      </c>
      <c r="BF173" s="73">
        <f t="shared" si="349"/>
        <v>0</v>
      </c>
      <c r="BG173" s="73">
        <f t="shared" si="350"/>
        <v>3.5911899737413613</v>
      </c>
      <c r="BH173" s="73">
        <f t="shared" si="351"/>
        <v>1.157461777985499</v>
      </c>
      <c r="BI173" s="73">
        <f t="shared" si="352"/>
        <v>0</v>
      </c>
      <c r="BJ173" s="73">
        <f t="shared" si="353"/>
        <v>0</v>
      </c>
      <c r="BK173" s="73">
        <f t="shared" si="354"/>
        <v>0</v>
      </c>
      <c r="BL173" s="73">
        <f t="shared" si="355"/>
        <v>0</v>
      </c>
      <c r="BM173" s="73">
        <f t="shared" si="356"/>
        <v>0</v>
      </c>
      <c r="BN173" s="73">
        <f t="shared" si="357"/>
        <v>0</v>
      </c>
      <c r="BQ173">
        <f t="shared" si="362"/>
        <v>28.722749616136909</v>
      </c>
      <c r="BR173">
        <f t="shared" si="363"/>
        <v>0</v>
      </c>
      <c r="BS173">
        <f t="shared" si="364"/>
        <v>1.8258171925801312</v>
      </c>
      <c r="BT173">
        <f t="shared" si="365"/>
        <v>0</v>
      </c>
      <c r="BU173">
        <f t="shared" si="366"/>
        <v>10.812966836622971</v>
      </c>
      <c r="BV173">
        <f t="shared" si="367"/>
        <v>0</v>
      </c>
      <c r="BW173">
        <f t="shared" si="368"/>
        <v>0</v>
      </c>
      <c r="BX173">
        <f t="shared" si="369"/>
        <v>7.6839161708937684</v>
      </c>
      <c r="BY173">
        <f t="shared" si="370"/>
        <v>0.13548466800064579</v>
      </c>
      <c r="BZ173">
        <f t="shared" si="371"/>
        <v>4.9032546514519426</v>
      </c>
      <c r="CA173">
        <f t="shared" si="372"/>
        <v>6.4516508571736084</v>
      </c>
      <c r="CB173">
        <f t="shared" si="373"/>
        <v>0</v>
      </c>
      <c r="CC173">
        <f t="shared" si="374"/>
        <v>0</v>
      </c>
      <c r="CD173">
        <f t="shared" si="375"/>
        <v>0</v>
      </c>
      <c r="CE173">
        <f t="shared" si="376"/>
        <v>0</v>
      </c>
      <c r="CF173">
        <f t="shared" si="377"/>
        <v>2.2258195457248955</v>
      </c>
      <c r="CG173">
        <f t="shared" si="378"/>
        <v>1.09032899486234</v>
      </c>
      <c r="CH173">
        <f t="shared" si="379"/>
        <v>0</v>
      </c>
      <c r="CI173">
        <f t="shared" si="380"/>
        <v>0</v>
      </c>
      <c r="CJ173">
        <f t="shared" si="381"/>
        <v>0</v>
      </c>
      <c r="CK173">
        <f t="shared" si="382"/>
        <v>0</v>
      </c>
      <c r="CL173">
        <f t="shared" si="383"/>
        <v>0</v>
      </c>
      <c r="CN173">
        <f t="shared" si="361"/>
        <v>63.851988533447212</v>
      </c>
      <c r="CP173">
        <f t="shared" si="305"/>
        <v>1.4342251805660906</v>
      </c>
      <c r="CQ173">
        <f t="shared" si="306"/>
        <v>0</v>
      </c>
      <c r="CR173">
        <f t="shared" si="307"/>
        <v>6.8553837018027447E-2</v>
      </c>
      <c r="CS173">
        <f t="shared" si="308"/>
        <v>0</v>
      </c>
      <c r="CT173">
        <f t="shared" si="309"/>
        <v>0.53025533722160512</v>
      </c>
      <c r="CU173">
        <f t="shared" si="310"/>
        <v>0</v>
      </c>
      <c r="CV173">
        <f t="shared" si="311"/>
        <v>0</v>
      </c>
      <c r="CW173">
        <f t="shared" si="312"/>
        <v>0.21388771526496225</v>
      </c>
      <c r="CX173">
        <f t="shared" si="313"/>
        <v>3.8196974344698563E-3</v>
      </c>
      <c r="CY173">
        <f t="shared" si="314"/>
        <v>0.24327733323998724</v>
      </c>
      <c r="CZ173">
        <f t="shared" si="315"/>
        <v>0.23008740574798889</v>
      </c>
      <c r="DA173">
        <f t="shared" si="316"/>
        <v>0</v>
      </c>
      <c r="DB173">
        <f t="shared" si="317"/>
        <v>0</v>
      </c>
      <c r="DC173">
        <f t="shared" si="318"/>
        <v>0</v>
      </c>
      <c r="DD173">
        <f t="shared" si="319"/>
        <v>0</v>
      </c>
      <c r="DE173">
        <f t="shared" si="320"/>
        <v>0.10773569921224084</v>
      </c>
      <c r="DF173">
        <f t="shared" si="321"/>
        <v>3.4723853339564972E-2</v>
      </c>
      <c r="DG173">
        <f t="shared" si="322"/>
        <v>0</v>
      </c>
      <c r="DH173">
        <f t="shared" si="323"/>
        <v>0</v>
      </c>
      <c r="DI173">
        <f t="shared" si="324"/>
        <v>0</v>
      </c>
      <c r="DJ173">
        <f t="shared" si="325"/>
        <v>0</v>
      </c>
      <c r="DK173">
        <f t="shared" si="326"/>
        <v>0</v>
      </c>
      <c r="DM173">
        <f t="shared" si="327"/>
        <v>2.8665660590449367</v>
      </c>
    </row>
    <row r="174" spans="1:117">
      <c r="A174" s="117" t="s">
        <v>334</v>
      </c>
      <c r="B174" s="117" t="s">
        <v>319</v>
      </c>
      <c r="C174" s="117">
        <v>2.9790000000000001</v>
      </c>
      <c r="F174" s="117">
        <v>6885</v>
      </c>
      <c r="G174" s="117">
        <v>3883</v>
      </c>
      <c r="H174" s="43">
        <f t="shared" si="329"/>
        <v>2.8056936558102783E+22</v>
      </c>
      <c r="I174" s="43">
        <f t="shared" si="330"/>
        <v>8.105968191154655E+22</v>
      </c>
      <c r="J174" s="42">
        <f t="shared" si="331"/>
        <v>141.21420727500001</v>
      </c>
      <c r="K174" s="42">
        <f t="shared" si="358"/>
        <v>44.916435531000005</v>
      </c>
      <c r="L174" s="42">
        <f t="shared" si="359"/>
        <v>132.46383849028155</v>
      </c>
      <c r="M174" s="79">
        <f t="shared" si="332"/>
        <v>128.14632543548183</v>
      </c>
      <c r="O174" s="52" t="str">
        <f t="shared" si="333"/>
        <v>Basalt</v>
      </c>
      <c r="P174" s="117">
        <v>44.630838774485184</v>
      </c>
      <c r="R174" s="117">
        <v>3.0436966348568557</v>
      </c>
      <c r="T174" s="117">
        <v>17.689603214465095</v>
      </c>
      <c r="V174" s="117">
        <v>0</v>
      </c>
      <c r="W174" s="117">
        <v>10.155700652938222</v>
      </c>
      <c r="X174" s="117">
        <v>0.17076845806127577</v>
      </c>
      <c r="Y174" s="117">
        <v>7.7950778503264688</v>
      </c>
      <c r="Z174" s="117">
        <v>10.0652938221999</v>
      </c>
      <c r="AE174" s="117">
        <v>2.430939226519337</v>
      </c>
      <c r="AF174" s="117">
        <v>1.8282270215971876</v>
      </c>
      <c r="AI174" s="117">
        <v>0</v>
      </c>
      <c r="AM174" s="86">
        <f t="shared" si="360"/>
        <v>97.810145655449531</v>
      </c>
      <c r="AO174" s="71">
        <f t="shared" si="328"/>
        <v>1.5296878070294007</v>
      </c>
      <c r="AQ174" s="97" t="str">
        <f t="shared" si="334"/>
        <v>Basalt</v>
      </c>
      <c r="AR174" s="73">
        <f t="shared" si="335"/>
        <v>48.56264354802267</v>
      </c>
      <c r="AS174" s="73">
        <f t="shared" si="336"/>
        <v>0</v>
      </c>
      <c r="AT174" s="73">
        <f t="shared" si="337"/>
        <v>2.4903006379588715</v>
      </c>
      <c r="AU174" s="73">
        <f t="shared" si="338"/>
        <v>0</v>
      </c>
      <c r="AV174" s="73">
        <f t="shared" si="339"/>
        <v>11.341890754197962</v>
      </c>
      <c r="AW174" s="73">
        <f t="shared" si="340"/>
        <v>0</v>
      </c>
      <c r="AX174" s="73">
        <f t="shared" si="341"/>
        <v>0</v>
      </c>
      <c r="AY174" s="73">
        <f t="shared" si="342"/>
        <v>9.2401774968301638</v>
      </c>
      <c r="AZ174" s="73">
        <f t="shared" si="343"/>
        <v>0.15736700081878033</v>
      </c>
      <c r="BA174" s="73">
        <f t="shared" si="344"/>
        <v>12.641681774415042</v>
      </c>
      <c r="BB174" s="73">
        <f t="shared" si="345"/>
        <v>11.733177674918648</v>
      </c>
      <c r="BC174" s="73">
        <f t="shared" si="346"/>
        <v>0</v>
      </c>
      <c r="BD174" s="73">
        <f t="shared" si="347"/>
        <v>0</v>
      </c>
      <c r="BE174" s="73">
        <f t="shared" si="348"/>
        <v>0</v>
      </c>
      <c r="BF174" s="73">
        <f t="shared" si="349"/>
        <v>0</v>
      </c>
      <c r="BG174" s="73">
        <f t="shared" si="350"/>
        <v>2.5640100594275141</v>
      </c>
      <c r="BH174" s="73">
        <f t="shared" si="351"/>
        <v>1.2687510534103525</v>
      </c>
      <c r="BI174" s="73">
        <f t="shared" si="352"/>
        <v>0</v>
      </c>
      <c r="BJ174" s="73">
        <f t="shared" si="353"/>
        <v>0</v>
      </c>
      <c r="BK174" s="73">
        <f t="shared" si="354"/>
        <v>0</v>
      </c>
      <c r="BL174" s="73">
        <f t="shared" si="355"/>
        <v>0</v>
      </c>
      <c r="BM174" s="73">
        <f t="shared" si="356"/>
        <v>0</v>
      </c>
      <c r="BN174" s="73">
        <f t="shared" si="357"/>
        <v>0</v>
      </c>
      <c r="BQ174">
        <f t="shared" si="362"/>
        <v>29.17643624365202</v>
      </c>
      <c r="BR174">
        <f t="shared" si="363"/>
        <v>0</v>
      </c>
      <c r="BS174">
        <f t="shared" si="364"/>
        <v>1.9897502097291384</v>
      </c>
      <c r="BT174">
        <f t="shared" si="365"/>
        <v>0</v>
      </c>
      <c r="BU174">
        <f t="shared" si="366"/>
        <v>11.564191812980242</v>
      </c>
      <c r="BV174">
        <f t="shared" si="367"/>
        <v>0</v>
      </c>
      <c r="BW174">
        <f t="shared" si="368"/>
        <v>0</v>
      </c>
      <c r="BX174">
        <f t="shared" si="369"/>
        <v>6.6390675314724721</v>
      </c>
      <c r="BY174">
        <f t="shared" si="370"/>
        <v>0.11163615038084275</v>
      </c>
      <c r="BZ174">
        <f t="shared" si="371"/>
        <v>5.0958619232667042</v>
      </c>
      <c r="CA174">
        <f t="shared" si="372"/>
        <v>6.5799660400943782</v>
      </c>
      <c r="CB174">
        <f t="shared" si="373"/>
        <v>0</v>
      </c>
      <c r="CC174">
        <f t="shared" si="374"/>
        <v>0</v>
      </c>
      <c r="CD174">
        <f t="shared" si="375"/>
        <v>0</v>
      </c>
      <c r="CE174">
        <f t="shared" si="376"/>
        <v>0</v>
      </c>
      <c r="CF174">
        <f t="shared" si="377"/>
        <v>1.5891734348331732</v>
      </c>
      <c r="CG174">
        <f t="shared" si="378"/>
        <v>1.1951634923125523</v>
      </c>
      <c r="CH174">
        <f t="shared" si="379"/>
        <v>0</v>
      </c>
      <c r="CI174">
        <f t="shared" si="380"/>
        <v>0</v>
      </c>
      <c r="CJ174">
        <f t="shared" si="381"/>
        <v>0</v>
      </c>
      <c r="CK174">
        <f t="shared" si="382"/>
        <v>0</v>
      </c>
      <c r="CL174">
        <f t="shared" si="383"/>
        <v>0</v>
      </c>
      <c r="CN174">
        <f t="shared" si="361"/>
        <v>63.941246838721518</v>
      </c>
      <c r="CP174">
        <f t="shared" si="305"/>
        <v>1.4568793064406802</v>
      </c>
      <c r="CQ174">
        <f t="shared" si="306"/>
        <v>0</v>
      </c>
      <c r="CR174">
        <f t="shared" si="307"/>
        <v>7.4709019138766139E-2</v>
      </c>
      <c r="CS174">
        <f t="shared" si="308"/>
        <v>0</v>
      </c>
      <c r="CT174">
        <f t="shared" si="309"/>
        <v>0.56709453770989815</v>
      </c>
      <c r="CU174">
        <f t="shared" si="310"/>
        <v>0</v>
      </c>
      <c r="CV174">
        <f t="shared" si="311"/>
        <v>0</v>
      </c>
      <c r="CW174">
        <f t="shared" si="312"/>
        <v>0.18480354993660328</v>
      </c>
      <c r="CX174">
        <f t="shared" si="313"/>
        <v>3.1473400163756064E-3</v>
      </c>
      <c r="CY174">
        <f t="shared" si="314"/>
        <v>0.25283363548830085</v>
      </c>
      <c r="CZ174">
        <f t="shared" si="315"/>
        <v>0.23466355349837298</v>
      </c>
      <c r="DA174">
        <f t="shared" si="316"/>
        <v>0</v>
      </c>
      <c r="DB174">
        <f t="shared" si="317"/>
        <v>0</v>
      </c>
      <c r="DC174">
        <f t="shared" si="318"/>
        <v>0</v>
      </c>
      <c r="DD174">
        <f t="shared" si="319"/>
        <v>0</v>
      </c>
      <c r="DE174">
        <f t="shared" si="320"/>
        <v>7.6920301782825426E-2</v>
      </c>
      <c r="DF174">
        <f t="shared" si="321"/>
        <v>3.806253160231058E-2</v>
      </c>
      <c r="DG174">
        <f t="shared" si="322"/>
        <v>0</v>
      </c>
      <c r="DH174">
        <f t="shared" si="323"/>
        <v>0</v>
      </c>
      <c r="DI174">
        <f t="shared" si="324"/>
        <v>0</v>
      </c>
      <c r="DJ174">
        <f t="shared" si="325"/>
        <v>0</v>
      </c>
      <c r="DK174">
        <f t="shared" si="326"/>
        <v>0</v>
      </c>
      <c r="DM174">
        <f t="shared" si="327"/>
        <v>2.8891137756141334</v>
      </c>
    </row>
    <row r="175" spans="1:117">
      <c r="A175" s="117" t="s">
        <v>334</v>
      </c>
      <c r="B175" s="117" t="s">
        <v>319</v>
      </c>
      <c r="C175" s="117">
        <v>2.9950000000000001</v>
      </c>
      <c r="F175" s="117">
        <v>6872</v>
      </c>
      <c r="G175" s="117">
        <v>3885</v>
      </c>
      <c r="H175" s="43">
        <f t="shared" si="329"/>
        <v>2.8185503205794574E+22</v>
      </c>
      <c r="I175" s="43">
        <f t="shared" si="330"/>
        <v>8.1447709427162231E+22</v>
      </c>
      <c r="J175" s="42">
        <f t="shared" si="331"/>
        <v>141.43703008</v>
      </c>
      <c r="K175" s="42">
        <f t="shared" si="358"/>
        <v>45.204208874999999</v>
      </c>
      <c r="L175" s="42">
        <f t="shared" si="359"/>
        <v>133.31668570288093</v>
      </c>
      <c r="M175" s="79">
        <f t="shared" si="332"/>
        <v>128.97803740919878</v>
      </c>
      <c r="O175" s="52" t="str">
        <f t="shared" si="333"/>
        <v>Basalt</v>
      </c>
      <c r="P175" s="117">
        <v>44.065757818765036</v>
      </c>
      <c r="R175" s="117">
        <v>2.8368083400160384</v>
      </c>
      <c r="T175" s="117">
        <v>17.772654370489175</v>
      </c>
      <c r="V175" s="117">
        <v>0</v>
      </c>
      <c r="W175" s="117">
        <v>10.154370489174019</v>
      </c>
      <c r="X175" s="117">
        <v>0.17040898155573375</v>
      </c>
      <c r="Y175" s="117">
        <v>7.7185244587008821</v>
      </c>
      <c r="Z175" s="117">
        <v>10.16439454691259</v>
      </c>
      <c r="AE175" s="117">
        <v>2.5862068965517242</v>
      </c>
      <c r="AF175" s="117">
        <v>1.904570970328789</v>
      </c>
      <c r="AI175" s="117">
        <v>0</v>
      </c>
      <c r="AM175" s="86">
        <f t="shared" si="360"/>
        <v>97.373696872493994</v>
      </c>
      <c r="AO175" s="71">
        <f t="shared" si="328"/>
        <v>1.5216675427936626</v>
      </c>
      <c r="AQ175" s="97" t="str">
        <f t="shared" si="334"/>
        <v>Basalt</v>
      </c>
      <c r="AR175" s="73">
        <f t="shared" si="335"/>
        <v>48.200499859762459</v>
      </c>
      <c r="AS175" s="73">
        <f t="shared" si="336"/>
        <v>0</v>
      </c>
      <c r="AT175" s="73">
        <f t="shared" si="337"/>
        <v>2.3332616263265602</v>
      </c>
      <c r="AU175" s="73">
        <f t="shared" si="338"/>
        <v>0</v>
      </c>
      <c r="AV175" s="73">
        <f t="shared" si="339"/>
        <v>11.455200397017457</v>
      </c>
      <c r="AW175" s="73">
        <f t="shared" si="340"/>
        <v>0</v>
      </c>
      <c r="AX175" s="73">
        <f t="shared" si="341"/>
        <v>0</v>
      </c>
      <c r="AY175" s="73">
        <f t="shared" si="342"/>
        <v>9.2876631377579226</v>
      </c>
      <c r="AZ175" s="73">
        <f t="shared" si="343"/>
        <v>0.15786342447553683</v>
      </c>
      <c r="BA175" s="73">
        <f t="shared" si="344"/>
        <v>12.583507414401373</v>
      </c>
      <c r="BB175" s="73">
        <f t="shared" si="345"/>
        <v>11.91115105620826</v>
      </c>
      <c r="BC175" s="73">
        <f t="shared" si="346"/>
        <v>0</v>
      </c>
      <c r="BD175" s="73">
        <f t="shared" si="347"/>
        <v>0</v>
      </c>
      <c r="BE175" s="73">
        <f t="shared" si="348"/>
        <v>0</v>
      </c>
      <c r="BF175" s="73">
        <f t="shared" si="349"/>
        <v>0</v>
      </c>
      <c r="BG175" s="73">
        <f t="shared" si="350"/>
        <v>2.7421544746236952</v>
      </c>
      <c r="BH175" s="73">
        <f t="shared" si="351"/>
        <v>1.328698609426733</v>
      </c>
      <c r="BI175" s="73">
        <f t="shared" si="352"/>
        <v>0</v>
      </c>
      <c r="BJ175" s="73">
        <f t="shared" si="353"/>
        <v>0</v>
      </c>
      <c r="BK175" s="73">
        <f t="shared" si="354"/>
        <v>0</v>
      </c>
      <c r="BL175" s="73">
        <f t="shared" si="355"/>
        <v>0</v>
      </c>
      <c r="BM175" s="73">
        <f t="shared" si="356"/>
        <v>0</v>
      </c>
      <c r="BN175" s="73">
        <f t="shared" si="357"/>
        <v>0</v>
      </c>
      <c r="BQ175">
        <f t="shared" si="362"/>
        <v>28.958860315745284</v>
      </c>
      <c r="BR175">
        <f t="shared" si="363"/>
        <v>0</v>
      </c>
      <c r="BS175">
        <f t="shared" si="364"/>
        <v>1.8642760394349216</v>
      </c>
      <c r="BT175">
        <f t="shared" si="365"/>
        <v>0</v>
      </c>
      <c r="BU175">
        <f t="shared" si="366"/>
        <v>11.679722324798998</v>
      </c>
      <c r="BV175">
        <f t="shared" si="367"/>
        <v>0</v>
      </c>
      <c r="BW175">
        <f t="shared" si="368"/>
        <v>0</v>
      </c>
      <c r="BX175">
        <f t="shared" si="369"/>
        <v>6.6731859644790674</v>
      </c>
      <c r="BY175">
        <f t="shared" si="370"/>
        <v>0.11198831332294583</v>
      </c>
      <c r="BZ175">
        <f t="shared" si="371"/>
        <v>5.072411838745194</v>
      </c>
      <c r="CA175">
        <f t="shared" si="372"/>
        <v>6.6797735123215913</v>
      </c>
      <c r="CB175">
        <f t="shared" si="373"/>
        <v>0</v>
      </c>
      <c r="CC175">
        <f t="shared" si="374"/>
        <v>0</v>
      </c>
      <c r="CD175">
        <f t="shared" si="375"/>
        <v>0</v>
      </c>
      <c r="CE175">
        <f t="shared" si="376"/>
        <v>0</v>
      </c>
      <c r="CF175">
        <f t="shared" si="377"/>
        <v>1.6995873433717663</v>
      </c>
      <c r="CG175">
        <f t="shared" si="378"/>
        <v>1.2516340900799825</v>
      </c>
      <c r="CH175">
        <f t="shared" si="379"/>
        <v>0</v>
      </c>
      <c r="CI175">
        <f t="shared" si="380"/>
        <v>0</v>
      </c>
      <c r="CJ175">
        <f t="shared" si="381"/>
        <v>0</v>
      </c>
      <c r="CK175">
        <f t="shared" si="382"/>
        <v>0</v>
      </c>
      <c r="CL175">
        <f t="shared" si="383"/>
        <v>0</v>
      </c>
      <c r="CN175">
        <f t="shared" si="361"/>
        <v>63.991439742299754</v>
      </c>
      <c r="CP175">
        <f t="shared" si="305"/>
        <v>1.4460149957928738</v>
      </c>
      <c r="CQ175">
        <f t="shared" si="306"/>
        <v>0</v>
      </c>
      <c r="CR175">
        <f t="shared" si="307"/>
        <v>6.9997848789796799E-2</v>
      </c>
      <c r="CS175">
        <f t="shared" si="308"/>
        <v>0</v>
      </c>
      <c r="CT175">
        <f t="shared" si="309"/>
        <v>0.57276001985087288</v>
      </c>
      <c r="CU175">
        <f t="shared" si="310"/>
        <v>0</v>
      </c>
      <c r="CV175">
        <f t="shared" si="311"/>
        <v>0</v>
      </c>
      <c r="CW175">
        <f t="shared" si="312"/>
        <v>0.18575326275515847</v>
      </c>
      <c r="CX175">
        <f t="shared" si="313"/>
        <v>3.1572684895107366E-3</v>
      </c>
      <c r="CY175">
        <f t="shared" si="314"/>
        <v>0.25167014828802747</v>
      </c>
      <c r="CZ175">
        <f t="shared" si="315"/>
        <v>0.23822302112416519</v>
      </c>
      <c r="DA175">
        <f t="shared" si="316"/>
        <v>0</v>
      </c>
      <c r="DB175">
        <f t="shared" si="317"/>
        <v>0</v>
      </c>
      <c r="DC175">
        <f t="shared" si="318"/>
        <v>0</v>
      </c>
      <c r="DD175">
        <f t="shared" si="319"/>
        <v>0</v>
      </c>
      <c r="DE175">
        <f t="shared" si="320"/>
        <v>8.226463423871086E-2</v>
      </c>
      <c r="DF175">
        <f t="shared" si="321"/>
        <v>3.9860958282801992E-2</v>
      </c>
      <c r="DG175">
        <f t="shared" si="322"/>
        <v>0</v>
      </c>
      <c r="DH175">
        <f t="shared" si="323"/>
        <v>0</v>
      </c>
      <c r="DI175">
        <f t="shared" si="324"/>
        <v>0</v>
      </c>
      <c r="DJ175">
        <f t="shared" si="325"/>
        <v>0</v>
      </c>
      <c r="DK175">
        <f t="shared" si="326"/>
        <v>0</v>
      </c>
      <c r="DM175">
        <f t="shared" si="327"/>
        <v>2.8897021576119184</v>
      </c>
    </row>
    <row r="176" spans="1:117">
      <c r="A176" s="117" t="s">
        <v>334</v>
      </c>
      <c r="B176" s="117" t="s">
        <v>319</v>
      </c>
      <c r="C176" s="117">
        <v>2.9769999999999999</v>
      </c>
      <c r="F176" s="117">
        <v>6867</v>
      </c>
      <c r="G176" s="117">
        <v>3888</v>
      </c>
      <c r="H176" s="43">
        <f t="shared" si="329"/>
        <v>2.8070570123035528E+22</v>
      </c>
      <c r="I176" s="43">
        <f t="shared" si="330"/>
        <v>8.1062982591420163E+22</v>
      </c>
      <c r="J176" s="42">
        <f t="shared" si="331"/>
        <v>140.382486153</v>
      </c>
      <c r="K176" s="42">
        <f t="shared" si="358"/>
        <v>45.001951487999996</v>
      </c>
      <c r="L176" s="42">
        <f t="shared" si="359"/>
        <v>132.71927579438184</v>
      </c>
      <c r="M176" s="79">
        <f t="shared" si="332"/>
        <v>128.40260443874016</v>
      </c>
      <c r="O176" s="52" t="str">
        <f t="shared" si="333"/>
        <v>Basalt</v>
      </c>
      <c r="P176" s="117">
        <v>44.100560897435891</v>
      </c>
      <c r="R176" s="117">
        <v>2.9547275641025639</v>
      </c>
      <c r="T176" s="117">
        <v>17.598157051282048</v>
      </c>
      <c r="V176" s="117">
        <v>0</v>
      </c>
      <c r="W176" s="117">
        <v>9.8257211538461515</v>
      </c>
      <c r="X176" s="117">
        <v>0.16025641025641024</v>
      </c>
      <c r="Y176" s="117">
        <v>7.9126602564102564</v>
      </c>
      <c r="Z176" s="117">
        <v>10.106169871794869</v>
      </c>
      <c r="AE176" s="117">
        <v>2.4338942307692304</v>
      </c>
      <c r="AF176" s="117">
        <v>1.88301282051282</v>
      </c>
      <c r="AI176" s="117">
        <v>0</v>
      </c>
      <c r="AM176" s="86">
        <f t="shared" si="360"/>
        <v>96.97516025641022</v>
      </c>
      <c r="AO176" s="71">
        <f t="shared" si="328"/>
        <v>1.5183855328011464</v>
      </c>
      <c r="AQ176" s="97" t="str">
        <f t="shared" si="334"/>
        <v>Basalt</v>
      </c>
      <c r="AR176" s="73">
        <f t="shared" si="335"/>
        <v>48.342836842986671</v>
      </c>
      <c r="AS176" s="73">
        <f t="shared" si="336"/>
        <v>0</v>
      </c>
      <c r="AT176" s="73">
        <f t="shared" si="337"/>
        <v>2.4355026541249427</v>
      </c>
      <c r="AU176" s="73">
        <f t="shared" si="338"/>
        <v>0</v>
      </c>
      <c r="AV176" s="73">
        <f t="shared" si="339"/>
        <v>11.36724721716965</v>
      </c>
      <c r="AW176" s="73">
        <f t="shared" si="340"/>
        <v>0</v>
      </c>
      <c r="AX176" s="73">
        <f t="shared" si="341"/>
        <v>0</v>
      </c>
      <c r="AY176" s="73">
        <f t="shared" si="342"/>
        <v>9.0064907108904304</v>
      </c>
      <c r="AZ176" s="73">
        <f t="shared" si="343"/>
        <v>0.14877918283932123</v>
      </c>
      <c r="BA176" s="73">
        <f t="shared" si="344"/>
        <v>12.927890461720018</v>
      </c>
      <c r="BB176" s="73">
        <f t="shared" si="345"/>
        <v>11.86851906617448</v>
      </c>
      <c r="BC176" s="73">
        <f t="shared" si="346"/>
        <v>0</v>
      </c>
      <c r="BD176" s="73">
        <f t="shared" si="347"/>
        <v>0</v>
      </c>
      <c r="BE176" s="73">
        <f t="shared" si="348"/>
        <v>0</v>
      </c>
      <c r="BF176" s="73">
        <f t="shared" si="349"/>
        <v>0</v>
      </c>
      <c r="BG176" s="73">
        <f t="shared" si="350"/>
        <v>2.5862355205721719</v>
      </c>
      <c r="BH176" s="73">
        <f t="shared" si="351"/>
        <v>1.3164983435223141</v>
      </c>
      <c r="BI176" s="73">
        <f t="shared" si="352"/>
        <v>0</v>
      </c>
      <c r="BJ176" s="73">
        <f t="shared" si="353"/>
        <v>0</v>
      </c>
      <c r="BK176" s="73">
        <f t="shared" si="354"/>
        <v>0</v>
      </c>
      <c r="BL176" s="73">
        <f t="shared" si="355"/>
        <v>0</v>
      </c>
      <c r="BM176" s="73">
        <f t="shared" si="356"/>
        <v>0</v>
      </c>
      <c r="BN176" s="73">
        <f t="shared" si="357"/>
        <v>0</v>
      </c>
      <c r="BQ176">
        <f t="shared" si="362"/>
        <v>29.044376375266392</v>
      </c>
      <c r="BR176">
        <f t="shared" si="363"/>
        <v>0</v>
      </c>
      <c r="BS176">
        <f t="shared" si="364"/>
        <v>1.9459666206458293</v>
      </c>
      <c r="BT176">
        <f t="shared" si="365"/>
        <v>0</v>
      </c>
      <c r="BU176">
        <f t="shared" si="366"/>
        <v>11.590045262626175</v>
      </c>
      <c r="BV176">
        <f t="shared" si="367"/>
        <v>0</v>
      </c>
      <c r="BW176">
        <f t="shared" si="368"/>
        <v>0</v>
      </c>
      <c r="BX176">
        <f t="shared" si="369"/>
        <v>6.4711635757747734</v>
      </c>
      <c r="BY176">
        <f t="shared" si="370"/>
        <v>0.10554395230621448</v>
      </c>
      <c r="BZ176">
        <f t="shared" si="371"/>
        <v>5.2112326451193391</v>
      </c>
      <c r="CA176">
        <f t="shared" si="372"/>
        <v>6.6558654923106486</v>
      </c>
      <c r="CB176">
        <f t="shared" si="373"/>
        <v>0</v>
      </c>
      <c r="CC176">
        <f t="shared" si="374"/>
        <v>0</v>
      </c>
      <c r="CD176">
        <f t="shared" si="375"/>
        <v>0</v>
      </c>
      <c r="CE176">
        <f t="shared" si="376"/>
        <v>0</v>
      </c>
      <c r="CF176">
        <f t="shared" si="377"/>
        <v>1.602948775650632</v>
      </c>
      <c r="CG176">
        <f t="shared" si="378"/>
        <v>1.2401414395980199</v>
      </c>
      <c r="CH176">
        <f t="shared" si="379"/>
        <v>0</v>
      </c>
      <c r="CI176">
        <f t="shared" si="380"/>
        <v>0</v>
      </c>
      <c r="CJ176">
        <f t="shared" si="381"/>
        <v>0</v>
      </c>
      <c r="CK176">
        <f t="shared" si="382"/>
        <v>0</v>
      </c>
      <c r="CL176">
        <f t="shared" si="383"/>
        <v>0</v>
      </c>
      <c r="CN176">
        <f t="shared" si="361"/>
        <v>63.867284139298022</v>
      </c>
      <c r="CP176">
        <f t="shared" si="305"/>
        <v>1.4502851052896002</v>
      </c>
      <c r="CQ176">
        <f t="shared" si="306"/>
        <v>0</v>
      </c>
      <c r="CR176">
        <f t="shared" si="307"/>
        <v>7.306507962374828E-2</v>
      </c>
      <c r="CS176">
        <f t="shared" si="308"/>
        <v>0</v>
      </c>
      <c r="CT176">
        <f t="shared" si="309"/>
        <v>0.56836236085848246</v>
      </c>
      <c r="CU176">
        <f t="shared" si="310"/>
        <v>0</v>
      </c>
      <c r="CV176">
        <f t="shared" si="311"/>
        <v>0</v>
      </c>
      <c r="CW176">
        <f t="shared" si="312"/>
        <v>0.1801298142178086</v>
      </c>
      <c r="CX176">
        <f t="shared" si="313"/>
        <v>2.9755836567864247E-3</v>
      </c>
      <c r="CY176">
        <f t="shared" si="314"/>
        <v>0.25855780923440036</v>
      </c>
      <c r="CZ176">
        <f t="shared" si="315"/>
        <v>0.23737038132348962</v>
      </c>
      <c r="DA176">
        <f t="shared" si="316"/>
        <v>0</v>
      </c>
      <c r="DB176">
        <f t="shared" si="317"/>
        <v>0</v>
      </c>
      <c r="DC176">
        <f t="shared" si="318"/>
        <v>0</v>
      </c>
      <c r="DD176">
        <f t="shared" si="319"/>
        <v>0</v>
      </c>
      <c r="DE176">
        <f t="shared" si="320"/>
        <v>7.7587065617165149E-2</v>
      </c>
      <c r="DF176">
        <f t="shared" si="321"/>
        <v>3.9494950305669421E-2</v>
      </c>
      <c r="DG176">
        <f t="shared" si="322"/>
        <v>0</v>
      </c>
      <c r="DH176">
        <f t="shared" si="323"/>
        <v>0</v>
      </c>
      <c r="DI176">
        <f t="shared" si="324"/>
        <v>0</v>
      </c>
      <c r="DJ176">
        <f t="shared" si="325"/>
        <v>0</v>
      </c>
      <c r="DK176">
        <f t="shared" si="326"/>
        <v>0</v>
      </c>
      <c r="DM176">
        <f t="shared" si="327"/>
        <v>2.887828150127151</v>
      </c>
    </row>
    <row r="177" spans="1:117">
      <c r="A177" s="117" t="s">
        <v>334</v>
      </c>
      <c r="B177" s="117" t="s">
        <v>319</v>
      </c>
      <c r="C177" s="117">
        <v>2.948</v>
      </c>
      <c r="F177" s="117">
        <v>6847</v>
      </c>
      <c r="G177" s="117">
        <v>3880</v>
      </c>
      <c r="H177" s="43">
        <f t="shared" si="329"/>
        <v>2.7825612966742974E+22</v>
      </c>
      <c r="I177" s="43">
        <f t="shared" si="330"/>
        <v>8.0193322136799824E+22</v>
      </c>
      <c r="J177" s="42">
        <f t="shared" si="331"/>
        <v>138.20639373199998</v>
      </c>
      <c r="K177" s="42">
        <f t="shared" si="358"/>
        <v>44.380371200000006</v>
      </c>
      <c r="L177" s="42">
        <f t="shared" si="359"/>
        <v>130.87448872170168</v>
      </c>
      <c r="M177" s="79">
        <f t="shared" si="332"/>
        <v>126.60870462912384</v>
      </c>
      <c r="O177" s="52" t="str">
        <f t="shared" si="333"/>
        <v>Basalt</v>
      </c>
      <c r="P177" s="117">
        <v>43.81943749374436</v>
      </c>
      <c r="R177" s="117">
        <v>2.6523871484335895</v>
      </c>
      <c r="T177" s="117">
        <v>17.225502952657386</v>
      </c>
      <c r="V177" s="117">
        <v>0</v>
      </c>
      <c r="W177" s="117">
        <v>10.019017115403861</v>
      </c>
      <c r="X177" s="117">
        <v>0.15013512160944847</v>
      </c>
      <c r="Y177" s="117">
        <v>7.8170353317986159</v>
      </c>
      <c r="Z177" s="117">
        <v>10.129116204584122</v>
      </c>
      <c r="AE177" s="117">
        <v>2.6123511160044033</v>
      </c>
      <c r="AF177" s="117">
        <v>1.931738564708237</v>
      </c>
      <c r="AI177" s="117">
        <v>0</v>
      </c>
      <c r="AM177" s="86">
        <f t="shared" si="360"/>
        <v>96.356721048944038</v>
      </c>
      <c r="AO177" s="71">
        <f t="shared" si="328"/>
        <v>1.5102485457406702</v>
      </c>
      <c r="AQ177" s="97" t="str">
        <f t="shared" si="334"/>
        <v>Basalt</v>
      </c>
      <c r="AR177" s="73">
        <f t="shared" si="335"/>
        <v>48.293474053213465</v>
      </c>
      <c r="AS177" s="73">
        <f t="shared" si="336"/>
        <v>0</v>
      </c>
      <c r="AT177" s="73">
        <f t="shared" si="337"/>
        <v>2.1980709643793608</v>
      </c>
      <c r="AU177" s="73">
        <f t="shared" si="338"/>
        <v>0</v>
      </c>
      <c r="AV177" s="73">
        <f t="shared" si="339"/>
        <v>11.186485353589671</v>
      </c>
      <c r="AW177" s="73">
        <f t="shared" si="340"/>
        <v>0</v>
      </c>
      <c r="AX177" s="73">
        <f t="shared" si="341"/>
        <v>0</v>
      </c>
      <c r="AY177" s="73">
        <f t="shared" si="342"/>
        <v>9.2331506111508457</v>
      </c>
      <c r="AZ177" s="73">
        <f t="shared" si="343"/>
        <v>0.14013373250893205</v>
      </c>
      <c r="BA177" s="73">
        <f t="shared" si="344"/>
        <v>12.840467931278294</v>
      </c>
      <c r="BB177" s="73">
        <f t="shared" si="345"/>
        <v>11.959557807886167</v>
      </c>
      <c r="BC177" s="73">
        <f t="shared" si="346"/>
        <v>0</v>
      </c>
      <c r="BD177" s="73">
        <f t="shared" si="347"/>
        <v>0</v>
      </c>
      <c r="BE177" s="73">
        <f t="shared" si="348"/>
        <v>0</v>
      </c>
      <c r="BF177" s="73">
        <f t="shared" si="349"/>
        <v>0</v>
      </c>
      <c r="BG177" s="73">
        <f t="shared" si="350"/>
        <v>2.790818224020577</v>
      </c>
      <c r="BH177" s="73">
        <f t="shared" si="351"/>
        <v>1.3578413219727123</v>
      </c>
      <c r="BI177" s="73">
        <f t="shared" si="352"/>
        <v>0</v>
      </c>
      <c r="BJ177" s="73">
        <f t="shared" si="353"/>
        <v>0</v>
      </c>
      <c r="BK177" s="73">
        <f t="shared" si="354"/>
        <v>0</v>
      </c>
      <c r="BL177" s="73">
        <f t="shared" si="355"/>
        <v>0</v>
      </c>
      <c r="BM177" s="73">
        <f t="shared" si="356"/>
        <v>0</v>
      </c>
      <c r="BN177" s="73">
        <f t="shared" si="357"/>
        <v>0</v>
      </c>
      <c r="BQ177">
        <f t="shared" si="362"/>
        <v>29.01471921117065</v>
      </c>
      <c r="BR177">
        <f t="shared" si="363"/>
        <v>0</v>
      </c>
      <c r="BS177">
        <f t="shared" si="364"/>
        <v>1.7562587005391093</v>
      </c>
      <c r="BT177">
        <f t="shared" si="365"/>
        <v>0</v>
      </c>
      <c r="BU177">
        <f t="shared" si="366"/>
        <v>11.405740466520028</v>
      </c>
      <c r="BV177">
        <f t="shared" si="367"/>
        <v>0</v>
      </c>
      <c r="BW177">
        <f t="shared" si="368"/>
        <v>0</v>
      </c>
      <c r="BX177">
        <f t="shared" si="369"/>
        <v>6.6340187141118827</v>
      </c>
      <c r="BY177">
        <f t="shared" si="370"/>
        <v>9.9410869841836391E-2</v>
      </c>
      <c r="BZ177">
        <f t="shared" si="371"/>
        <v>5.1759926230982805</v>
      </c>
      <c r="CA177">
        <f t="shared" si="372"/>
        <v>6.7069200186625624</v>
      </c>
      <c r="CB177">
        <f t="shared" si="373"/>
        <v>0</v>
      </c>
      <c r="CC177">
        <f t="shared" si="374"/>
        <v>0</v>
      </c>
      <c r="CD177">
        <f t="shared" si="375"/>
        <v>0</v>
      </c>
      <c r="CE177">
        <f t="shared" si="376"/>
        <v>0</v>
      </c>
      <c r="CF177">
        <f t="shared" si="377"/>
        <v>1.7297491352479535</v>
      </c>
      <c r="CG177">
        <f t="shared" si="378"/>
        <v>1.279086525298295</v>
      </c>
      <c r="CH177">
        <f t="shared" si="379"/>
        <v>0</v>
      </c>
      <c r="CI177">
        <f t="shared" si="380"/>
        <v>0</v>
      </c>
      <c r="CJ177">
        <f t="shared" si="381"/>
        <v>0</v>
      </c>
      <c r="CK177">
        <f t="shared" si="382"/>
        <v>0</v>
      </c>
      <c r="CL177">
        <f t="shared" si="383"/>
        <v>0</v>
      </c>
      <c r="CN177">
        <f t="shared" si="361"/>
        <v>63.801896264490601</v>
      </c>
      <c r="CP177">
        <f t="shared" si="305"/>
        <v>1.4488042215964039</v>
      </c>
      <c r="CQ177">
        <f t="shared" si="306"/>
        <v>0</v>
      </c>
      <c r="CR177">
        <f t="shared" si="307"/>
        <v>6.5942128931380822E-2</v>
      </c>
      <c r="CS177">
        <f t="shared" si="308"/>
        <v>0</v>
      </c>
      <c r="CT177">
        <f t="shared" si="309"/>
        <v>0.55932426767948351</v>
      </c>
      <c r="CU177">
        <f t="shared" si="310"/>
        <v>0</v>
      </c>
      <c r="CV177">
        <f t="shared" si="311"/>
        <v>0</v>
      </c>
      <c r="CW177">
        <f t="shared" si="312"/>
        <v>0.18466301222301693</v>
      </c>
      <c r="CX177">
        <f t="shared" si="313"/>
        <v>2.8026746501786408E-3</v>
      </c>
      <c r="CY177">
        <f t="shared" si="314"/>
        <v>0.25680935862556586</v>
      </c>
      <c r="CZ177">
        <f t="shared" si="315"/>
        <v>0.23919115615772335</v>
      </c>
      <c r="DA177">
        <f t="shared" si="316"/>
        <v>0</v>
      </c>
      <c r="DB177">
        <f t="shared" si="317"/>
        <v>0</v>
      </c>
      <c r="DC177">
        <f t="shared" si="318"/>
        <v>0</v>
      </c>
      <c r="DD177">
        <f t="shared" si="319"/>
        <v>0</v>
      </c>
      <c r="DE177">
        <f t="shared" si="320"/>
        <v>8.3724546720617299E-2</v>
      </c>
      <c r="DF177">
        <f t="shared" si="321"/>
        <v>4.0735239659181369E-2</v>
      </c>
      <c r="DG177">
        <f t="shared" si="322"/>
        <v>0</v>
      </c>
      <c r="DH177">
        <f t="shared" si="323"/>
        <v>0</v>
      </c>
      <c r="DI177">
        <f t="shared" si="324"/>
        <v>0</v>
      </c>
      <c r="DJ177">
        <f t="shared" si="325"/>
        <v>0</v>
      </c>
      <c r="DK177">
        <f t="shared" si="326"/>
        <v>0</v>
      </c>
      <c r="DM177">
        <f t="shared" si="327"/>
        <v>2.8819966062435518</v>
      </c>
    </row>
    <row r="178" spans="1:117">
      <c r="A178" s="117" t="s">
        <v>334</v>
      </c>
      <c r="B178" s="117" t="s">
        <v>319</v>
      </c>
      <c r="C178" s="117">
        <v>2.7730000000000001</v>
      </c>
      <c r="F178" s="117">
        <v>6838</v>
      </c>
      <c r="G178" s="117">
        <v>3877</v>
      </c>
      <c r="H178" s="43">
        <f t="shared" si="329"/>
        <v>2.6102161715523752E+22</v>
      </c>
      <c r="I178" s="43">
        <f t="shared" si="330"/>
        <v>7.5589614377398859E+22</v>
      </c>
      <c r="J178" s="42">
        <f t="shared" si="331"/>
        <v>129.660610612</v>
      </c>
      <c r="K178" s="42">
        <f t="shared" si="358"/>
        <v>41.681320716999998</v>
      </c>
      <c r="L178" s="42">
        <f t="shared" si="359"/>
        <v>122.9177266662478</v>
      </c>
      <c r="M178" s="79">
        <f t="shared" si="332"/>
        <v>118.88656334646805</v>
      </c>
      <c r="O178" s="52" t="str">
        <f t="shared" si="333"/>
        <v>Basalt</v>
      </c>
      <c r="P178" s="117">
        <v>44.101633393829395</v>
      </c>
      <c r="R178" s="117">
        <v>2.5710828796128249</v>
      </c>
      <c r="T178" s="117">
        <v>17.049808429118773</v>
      </c>
      <c r="V178" s="117">
        <v>0</v>
      </c>
      <c r="W178" s="117">
        <v>9.6390401290582783</v>
      </c>
      <c r="X178" s="117">
        <v>0.19157088122605362</v>
      </c>
      <c r="Y178" s="117">
        <v>7.1687840290381128</v>
      </c>
      <c r="Z178" s="117">
        <v>9.7499495866102031</v>
      </c>
      <c r="AE178" s="117">
        <v>2.4400080661423669</v>
      </c>
      <c r="AF178" s="117">
        <v>1.8148820326678763</v>
      </c>
      <c r="AI178" s="117">
        <v>0</v>
      </c>
      <c r="AM178" s="86">
        <f t="shared" si="360"/>
        <v>94.726759427303875</v>
      </c>
      <c r="AO178" s="71">
        <f t="shared" si="328"/>
        <v>1.4806364594936787</v>
      </c>
      <c r="AQ178" s="97" t="str">
        <f t="shared" si="334"/>
        <v>Basalt</v>
      </c>
      <c r="AR178" s="73">
        <f t="shared" si="335"/>
        <v>49.576551164960691</v>
      </c>
      <c r="AS178" s="73">
        <f t="shared" si="336"/>
        <v>0</v>
      </c>
      <c r="AT178" s="73">
        <f t="shared" si="337"/>
        <v>2.1733058941064982</v>
      </c>
      <c r="AU178" s="73">
        <f t="shared" si="338"/>
        <v>0</v>
      </c>
      <c r="AV178" s="73">
        <f t="shared" si="339"/>
        <v>11.293829772845703</v>
      </c>
      <c r="AW178" s="73">
        <f t="shared" si="340"/>
        <v>0</v>
      </c>
      <c r="AX178" s="73">
        <f t="shared" si="341"/>
        <v>0</v>
      </c>
      <c r="AY178" s="73">
        <f t="shared" si="342"/>
        <v>9.0606337679418409</v>
      </c>
      <c r="AZ178" s="73">
        <f t="shared" si="343"/>
        <v>0.1823853174924446</v>
      </c>
      <c r="BA178" s="73">
        <f t="shared" si="344"/>
        <v>12.011140835749089</v>
      </c>
      <c r="BB178" s="73">
        <f t="shared" si="345"/>
        <v>11.742104087166696</v>
      </c>
      <c r="BC178" s="73">
        <f t="shared" si="346"/>
        <v>0</v>
      </c>
      <c r="BD178" s="73">
        <f t="shared" si="347"/>
        <v>0</v>
      </c>
      <c r="BE178" s="73">
        <f t="shared" si="348"/>
        <v>0</v>
      </c>
      <c r="BF178" s="73">
        <f t="shared" si="349"/>
        <v>0</v>
      </c>
      <c r="BG178" s="73">
        <f t="shared" si="350"/>
        <v>2.6588341658134138</v>
      </c>
      <c r="BH178" s="73">
        <f t="shared" si="351"/>
        <v>1.3012149939236357</v>
      </c>
      <c r="BI178" s="73">
        <f t="shared" si="352"/>
        <v>0</v>
      </c>
      <c r="BJ178" s="73">
        <f t="shared" si="353"/>
        <v>0</v>
      </c>
      <c r="BK178" s="73">
        <f t="shared" si="354"/>
        <v>0</v>
      </c>
      <c r="BL178" s="73">
        <f t="shared" si="355"/>
        <v>0</v>
      </c>
      <c r="BM178" s="73">
        <f t="shared" si="356"/>
        <v>0</v>
      </c>
      <c r="BN178" s="73">
        <f t="shared" si="357"/>
        <v>0</v>
      </c>
      <c r="BQ178">
        <f t="shared" si="362"/>
        <v>29.785591939908382</v>
      </c>
      <c r="BR178">
        <f t="shared" si="363"/>
        <v>0</v>
      </c>
      <c r="BS178">
        <f t="shared" si="364"/>
        <v>1.7364714093910922</v>
      </c>
      <c r="BT178">
        <f t="shared" si="365"/>
        <v>0</v>
      </c>
      <c r="BU178">
        <f t="shared" si="366"/>
        <v>11.515188836393477</v>
      </c>
      <c r="BV178">
        <f t="shared" si="367"/>
        <v>0</v>
      </c>
      <c r="BW178">
        <f t="shared" si="368"/>
        <v>0</v>
      </c>
      <c r="BX178">
        <f t="shared" si="369"/>
        <v>6.5100653622662117</v>
      </c>
      <c r="BY178">
        <f t="shared" si="370"/>
        <v>0.12938414422914021</v>
      </c>
      <c r="BZ178">
        <f t="shared" si="371"/>
        <v>4.8416908708904582</v>
      </c>
      <c r="CA178">
        <f t="shared" si="372"/>
        <v>6.5849719720830828</v>
      </c>
      <c r="CB178">
        <f t="shared" si="373"/>
        <v>0</v>
      </c>
      <c r="CC178">
        <f t="shared" si="374"/>
        <v>0</v>
      </c>
      <c r="CD178">
        <f t="shared" si="375"/>
        <v>0</v>
      </c>
      <c r="CE178">
        <f t="shared" si="376"/>
        <v>0</v>
      </c>
      <c r="CF178">
        <f t="shared" si="377"/>
        <v>1.6479454159711537</v>
      </c>
      <c r="CG178">
        <f t="shared" si="378"/>
        <v>1.225744524276065</v>
      </c>
      <c r="CH178">
        <f t="shared" si="379"/>
        <v>0</v>
      </c>
      <c r="CI178">
        <f t="shared" si="380"/>
        <v>0</v>
      </c>
      <c r="CJ178">
        <f t="shared" si="381"/>
        <v>0</v>
      </c>
      <c r="CK178">
        <f t="shared" si="382"/>
        <v>0</v>
      </c>
      <c r="CL178">
        <f t="shared" si="383"/>
        <v>0</v>
      </c>
      <c r="CN178">
        <f t="shared" si="361"/>
        <v>63.977054475409062</v>
      </c>
      <c r="CP178">
        <f t="shared" si="305"/>
        <v>1.4872965349488207</v>
      </c>
      <c r="CQ178">
        <f t="shared" si="306"/>
        <v>0</v>
      </c>
      <c r="CR178">
        <f t="shared" si="307"/>
        <v>6.5199176823194954E-2</v>
      </c>
      <c r="CS178">
        <f t="shared" si="308"/>
        <v>0</v>
      </c>
      <c r="CT178">
        <f t="shared" si="309"/>
        <v>0.56469148864228513</v>
      </c>
      <c r="CU178">
        <f t="shared" si="310"/>
        <v>0</v>
      </c>
      <c r="CV178">
        <f t="shared" si="311"/>
        <v>0</v>
      </c>
      <c r="CW178">
        <f t="shared" si="312"/>
        <v>0.18121267535883681</v>
      </c>
      <c r="CX178">
        <f t="shared" si="313"/>
        <v>3.6477063498488922E-3</v>
      </c>
      <c r="CY178">
        <f t="shared" si="314"/>
        <v>0.24022281671498177</v>
      </c>
      <c r="CZ178">
        <f t="shared" si="315"/>
        <v>0.23484208174333393</v>
      </c>
      <c r="DA178">
        <f t="shared" si="316"/>
        <v>0</v>
      </c>
      <c r="DB178">
        <f t="shared" si="317"/>
        <v>0</v>
      </c>
      <c r="DC178">
        <f t="shared" si="318"/>
        <v>0</v>
      </c>
      <c r="DD178">
        <f t="shared" si="319"/>
        <v>0</v>
      </c>
      <c r="DE178">
        <f t="shared" si="320"/>
        <v>7.976502497440241E-2</v>
      </c>
      <c r="DF178">
        <f t="shared" si="321"/>
        <v>3.9036449817709075E-2</v>
      </c>
      <c r="DG178">
        <f t="shared" si="322"/>
        <v>0</v>
      </c>
      <c r="DH178">
        <f t="shared" si="323"/>
        <v>0</v>
      </c>
      <c r="DI178">
        <f t="shared" si="324"/>
        <v>0</v>
      </c>
      <c r="DJ178">
        <f t="shared" si="325"/>
        <v>0</v>
      </c>
      <c r="DK178">
        <f t="shared" si="326"/>
        <v>0</v>
      </c>
      <c r="DM178">
        <f t="shared" si="327"/>
        <v>2.895913955373413</v>
      </c>
    </row>
    <row r="179" spans="1:117">
      <c r="A179" s="117" t="s">
        <v>334</v>
      </c>
      <c r="B179" s="117" t="s">
        <v>319</v>
      </c>
      <c r="C179" s="117">
        <v>3.2240000000000002</v>
      </c>
      <c r="F179" s="117">
        <v>6985</v>
      </c>
      <c r="G179" s="117">
        <v>3950</v>
      </c>
      <c r="H179" s="43">
        <f t="shared" si="329"/>
        <v>3.0535594294383823E+22</v>
      </c>
      <c r="I179" s="43">
        <f t="shared" si="330"/>
        <v>8.7044855473738172E+22</v>
      </c>
      <c r="J179" s="42">
        <f t="shared" si="331"/>
        <v>157.29968540000002</v>
      </c>
      <c r="K179" s="42">
        <f t="shared" si="358"/>
        <v>50.302460000000004</v>
      </c>
      <c r="L179" s="42">
        <f t="shared" si="359"/>
        <v>148.42000467411017</v>
      </c>
      <c r="M179" s="79">
        <f t="shared" si="332"/>
        <v>143.81685683276731</v>
      </c>
      <c r="O179" s="52" t="str">
        <f t="shared" si="333"/>
        <v>Basalt</v>
      </c>
      <c r="P179" s="117">
        <v>44.879451001032415</v>
      </c>
      <c r="R179" s="117">
        <v>2.8138221421486267</v>
      </c>
      <c r="T179" s="117">
        <v>15.617725055163062</v>
      </c>
      <c r="V179" s="117">
        <v>0</v>
      </c>
      <c r="W179" s="117">
        <v>12.014413247231726</v>
      </c>
      <c r="X179" s="117">
        <v>0.19231158525476227</v>
      </c>
      <c r="Y179" s="117">
        <v>7.9556266321180606</v>
      </c>
      <c r="Z179" s="117">
        <v>9.4313650073888144</v>
      </c>
      <c r="AE179" s="117">
        <v>2.5101722706937393</v>
      </c>
      <c r="AF179" s="117">
        <v>2.0951841130387256</v>
      </c>
      <c r="AI179" s="117">
        <v>0</v>
      </c>
      <c r="AM179" s="86">
        <f t="shared" si="360"/>
        <v>97.510071054069925</v>
      </c>
      <c r="AO179" s="71">
        <f t="shared" si="328"/>
        <v>1.5335924753847396</v>
      </c>
      <c r="AQ179" s="97" t="str">
        <f t="shared" si="334"/>
        <v>Basalt</v>
      </c>
      <c r="AR179" s="73">
        <f t="shared" si="335"/>
        <v>48.708823814964603</v>
      </c>
      <c r="AS179" s="73">
        <f t="shared" si="336"/>
        <v>0</v>
      </c>
      <c r="AT179" s="73">
        <f t="shared" si="337"/>
        <v>2.2963595830920087</v>
      </c>
      <c r="AU179" s="73">
        <f t="shared" si="338"/>
        <v>0</v>
      </c>
      <c r="AV179" s="73">
        <f t="shared" si="339"/>
        <v>9.9879872009762085</v>
      </c>
      <c r="AW179" s="73">
        <f t="shared" si="340"/>
        <v>0</v>
      </c>
      <c r="AX179" s="73">
        <f t="shared" si="341"/>
        <v>0</v>
      </c>
      <c r="AY179" s="73">
        <f t="shared" si="342"/>
        <v>10.903497400554921</v>
      </c>
      <c r="AZ179" s="73">
        <f t="shared" si="343"/>
        <v>0.17676826313309552</v>
      </c>
      <c r="BA179" s="73">
        <f t="shared" si="344"/>
        <v>12.869202236765293</v>
      </c>
      <c r="BB179" s="73">
        <f t="shared" si="345"/>
        <v>10.966210525050172</v>
      </c>
      <c r="BC179" s="73">
        <f t="shared" si="346"/>
        <v>0</v>
      </c>
      <c r="BD179" s="73">
        <f t="shared" si="347"/>
        <v>0</v>
      </c>
      <c r="BE179" s="73">
        <f t="shared" si="348"/>
        <v>0</v>
      </c>
      <c r="BF179" s="73">
        <f t="shared" si="349"/>
        <v>0</v>
      </c>
      <c r="BG179" s="73">
        <f t="shared" si="350"/>
        <v>2.6408393755983472</v>
      </c>
      <c r="BH179" s="73">
        <f t="shared" si="351"/>
        <v>1.4503115998653433</v>
      </c>
      <c r="BI179" s="73">
        <f t="shared" si="352"/>
        <v>0</v>
      </c>
      <c r="BJ179" s="73">
        <f t="shared" si="353"/>
        <v>0</v>
      </c>
      <c r="BK179" s="73">
        <f t="shared" si="354"/>
        <v>0</v>
      </c>
      <c r="BL179" s="73">
        <f t="shared" si="355"/>
        <v>0</v>
      </c>
      <c r="BM179" s="73">
        <f t="shared" si="356"/>
        <v>0</v>
      </c>
      <c r="BN179" s="73">
        <f t="shared" si="357"/>
        <v>0</v>
      </c>
      <c r="BQ179">
        <f t="shared" si="362"/>
        <v>29.264261348030733</v>
      </c>
      <c r="BR179">
        <f t="shared" si="363"/>
        <v>0</v>
      </c>
      <c r="BS179">
        <f t="shared" si="364"/>
        <v>1.8347913068905151</v>
      </c>
      <c r="BT179">
        <f t="shared" si="365"/>
        <v>0</v>
      </c>
      <c r="BU179">
        <f t="shared" si="366"/>
        <v>10.183751750115341</v>
      </c>
      <c r="BV179">
        <f t="shared" si="367"/>
        <v>0</v>
      </c>
      <c r="BW179">
        <f t="shared" si="368"/>
        <v>0</v>
      </c>
      <c r="BX179">
        <f t="shared" si="369"/>
        <v>7.8341628822987097</v>
      </c>
      <c r="BY179">
        <f t="shared" si="370"/>
        <v>0.12539940586661796</v>
      </c>
      <c r="BZ179">
        <f t="shared" si="371"/>
        <v>5.1875754216400898</v>
      </c>
      <c r="CA179">
        <f t="shared" si="372"/>
        <v>6.1498508624481367</v>
      </c>
      <c r="CB179">
        <f t="shared" si="373"/>
        <v>0</v>
      </c>
      <c r="CC179">
        <f t="shared" si="374"/>
        <v>0</v>
      </c>
      <c r="CD179">
        <f t="shared" si="375"/>
        <v>0</v>
      </c>
      <c r="CE179">
        <f t="shared" si="376"/>
        <v>0</v>
      </c>
      <c r="CF179">
        <f t="shared" si="377"/>
        <v>1.6367922449958556</v>
      </c>
      <c r="CG179">
        <f t="shared" si="378"/>
        <v>1.3661935270731533</v>
      </c>
      <c r="CH179">
        <f t="shared" si="379"/>
        <v>0</v>
      </c>
      <c r="CI179">
        <f t="shared" si="380"/>
        <v>0</v>
      </c>
      <c r="CJ179">
        <f t="shared" si="381"/>
        <v>0</v>
      </c>
      <c r="CK179">
        <f t="shared" si="382"/>
        <v>0</v>
      </c>
      <c r="CL179">
        <f t="shared" si="383"/>
        <v>0</v>
      </c>
      <c r="CN179">
        <f t="shared" si="361"/>
        <v>63.582778749359143</v>
      </c>
      <c r="CP179">
        <f t="shared" si="305"/>
        <v>1.4612647144489381</v>
      </c>
      <c r="CQ179">
        <f t="shared" si="306"/>
        <v>0</v>
      </c>
      <c r="CR179">
        <f t="shared" si="307"/>
        <v>6.8890787492760258E-2</v>
      </c>
      <c r="CS179">
        <f t="shared" si="308"/>
        <v>0</v>
      </c>
      <c r="CT179">
        <f t="shared" si="309"/>
        <v>0.49939936004881047</v>
      </c>
      <c r="CU179">
        <f t="shared" si="310"/>
        <v>0</v>
      </c>
      <c r="CV179">
        <f t="shared" si="311"/>
        <v>0</v>
      </c>
      <c r="CW179">
        <f t="shared" si="312"/>
        <v>0.21806994801109841</v>
      </c>
      <c r="CX179">
        <f t="shared" si="313"/>
        <v>3.5353652626619104E-3</v>
      </c>
      <c r="CY179">
        <f t="shared" si="314"/>
        <v>0.25738404473530585</v>
      </c>
      <c r="CZ179">
        <f t="shared" si="315"/>
        <v>0.21932421050100345</v>
      </c>
      <c r="DA179">
        <f t="shared" si="316"/>
        <v>0</v>
      </c>
      <c r="DB179">
        <f t="shared" si="317"/>
        <v>0</v>
      </c>
      <c r="DC179">
        <f t="shared" si="318"/>
        <v>0</v>
      </c>
      <c r="DD179">
        <f t="shared" si="319"/>
        <v>0</v>
      </c>
      <c r="DE179">
        <f t="shared" si="320"/>
        <v>7.9225181267950417E-2</v>
      </c>
      <c r="DF179">
        <f t="shared" si="321"/>
        <v>4.3509347995960297E-2</v>
      </c>
      <c r="DG179">
        <f t="shared" si="322"/>
        <v>0</v>
      </c>
      <c r="DH179">
        <f t="shared" si="323"/>
        <v>0</v>
      </c>
      <c r="DI179">
        <f t="shared" si="324"/>
        <v>0</v>
      </c>
      <c r="DJ179">
        <f t="shared" si="325"/>
        <v>0</v>
      </c>
      <c r="DK179">
        <f t="shared" si="326"/>
        <v>0</v>
      </c>
      <c r="DM179">
        <f t="shared" si="327"/>
        <v>2.8506029597644891</v>
      </c>
    </row>
    <row r="180" spans="1:117">
      <c r="A180" s="117" t="s">
        <v>334</v>
      </c>
      <c r="B180" s="117" t="s">
        <v>319</v>
      </c>
      <c r="C180" s="117">
        <v>3.0819999999999999</v>
      </c>
      <c r="F180" s="117">
        <v>6924</v>
      </c>
      <c r="G180" s="117">
        <v>3882</v>
      </c>
      <c r="H180" s="43">
        <f t="shared" si="329"/>
        <v>2.9788775333353809E+22</v>
      </c>
      <c r="I180" s="43">
        <f t="shared" si="330"/>
        <v>8.5612490329859325E+22</v>
      </c>
      <c r="J180" s="42">
        <f t="shared" si="331"/>
        <v>147.75655363199999</v>
      </c>
      <c r="K180" s="42">
        <f t="shared" si="358"/>
        <v>46.445505767999997</v>
      </c>
      <c r="L180" s="42">
        <f t="shared" si="359"/>
        <v>136.90997657436202</v>
      </c>
      <c r="M180" s="79">
        <f t="shared" si="332"/>
        <v>132.36267215347561</v>
      </c>
      <c r="O180" s="52" t="str">
        <f t="shared" si="333"/>
        <v>Basalt</v>
      </c>
      <c r="P180" s="117">
        <v>52.065369961900942</v>
      </c>
      <c r="R180" s="117">
        <v>0.85221576097854412</v>
      </c>
      <c r="T180" s="117">
        <v>15.881291357529575</v>
      </c>
      <c r="V180" s="117">
        <v>0</v>
      </c>
      <c r="W180" s="117">
        <v>8.4720272709043503</v>
      </c>
      <c r="X180" s="117">
        <v>0.120312813314618</v>
      </c>
      <c r="Y180" s="117">
        <v>10.126328453980348</v>
      </c>
      <c r="Z180" s="117">
        <v>8.0008020854220963</v>
      </c>
      <c r="AE180" s="117">
        <v>1.8347704030479244</v>
      </c>
      <c r="AF180" s="117">
        <v>2.5065169440545416</v>
      </c>
      <c r="AI180" s="117">
        <v>0</v>
      </c>
      <c r="AM180" s="86">
        <f t="shared" si="360"/>
        <v>99.859635051132926</v>
      </c>
      <c r="AO180" s="71">
        <f t="shared" si="328"/>
        <v>1.6027254808347415</v>
      </c>
      <c r="AQ180" s="97" t="str">
        <f t="shared" si="334"/>
        <v>Basalt</v>
      </c>
      <c r="AR180" s="73">
        <f t="shared" si="335"/>
        <v>54.070438686881197</v>
      </c>
      <c r="AS180" s="73">
        <f t="shared" si="336"/>
        <v>0</v>
      </c>
      <c r="AT180" s="73">
        <f t="shared" si="337"/>
        <v>0.66549322867276761</v>
      </c>
      <c r="AU180" s="73">
        <f t="shared" si="338"/>
        <v>0</v>
      </c>
      <c r="AV180" s="73">
        <f t="shared" si="339"/>
        <v>9.7184464276638298</v>
      </c>
      <c r="AW180" s="73">
        <f t="shared" si="340"/>
        <v>0</v>
      </c>
      <c r="AX180" s="73">
        <f t="shared" si="341"/>
        <v>0</v>
      </c>
      <c r="AY180" s="73">
        <f t="shared" si="342"/>
        <v>7.3570114340261581</v>
      </c>
      <c r="AZ180" s="73">
        <f t="shared" si="343"/>
        <v>0.10581848913770539</v>
      </c>
      <c r="BA180" s="73">
        <f t="shared" si="344"/>
        <v>15.674008218852036</v>
      </c>
      <c r="BB180" s="73">
        <f t="shared" si="345"/>
        <v>8.9015652762485118</v>
      </c>
      <c r="BC180" s="73">
        <f t="shared" si="346"/>
        <v>0</v>
      </c>
      <c r="BD180" s="73">
        <f t="shared" si="347"/>
        <v>0</v>
      </c>
      <c r="BE180" s="73">
        <f t="shared" si="348"/>
        <v>0</v>
      </c>
      <c r="BF180" s="73">
        <f t="shared" si="349"/>
        <v>0</v>
      </c>
      <c r="BG180" s="73">
        <f t="shared" si="350"/>
        <v>1.8470175088139644</v>
      </c>
      <c r="BH180" s="73">
        <f t="shared" si="351"/>
        <v>1.6602007297038259</v>
      </c>
      <c r="BI180" s="73">
        <f t="shared" si="352"/>
        <v>0</v>
      </c>
      <c r="BJ180" s="73">
        <f t="shared" si="353"/>
        <v>0</v>
      </c>
      <c r="BK180" s="73">
        <f t="shared" si="354"/>
        <v>0</v>
      </c>
      <c r="BL180" s="73">
        <f t="shared" si="355"/>
        <v>0</v>
      </c>
      <c r="BM180" s="73">
        <f t="shared" si="356"/>
        <v>0</v>
      </c>
      <c r="BN180" s="73">
        <f t="shared" si="357"/>
        <v>0</v>
      </c>
      <c r="BQ180">
        <f t="shared" si="362"/>
        <v>32.485519563078221</v>
      </c>
      <c r="BR180">
        <f t="shared" si="363"/>
        <v>0</v>
      </c>
      <c r="BS180">
        <f t="shared" si="364"/>
        <v>0.53172908970954136</v>
      </c>
      <c r="BT180">
        <f t="shared" si="365"/>
        <v>0</v>
      </c>
      <c r="BU180">
        <f t="shared" si="366"/>
        <v>9.9089279776460391</v>
      </c>
      <c r="BV180">
        <f t="shared" si="367"/>
        <v>0</v>
      </c>
      <c r="BW180">
        <f t="shared" si="368"/>
        <v>0</v>
      </c>
      <c r="BX180">
        <f t="shared" si="369"/>
        <v>5.2860127153477938</v>
      </c>
      <c r="BY180">
        <f t="shared" si="370"/>
        <v>7.5067636194288204E-2</v>
      </c>
      <c r="BZ180">
        <f t="shared" si="371"/>
        <v>6.3181927130192568</v>
      </c>
      <c r="CA180">
        <f t="shared" si="372"/>
        <v>4.9919978069201649</v>
      </c>
      <c r="CB180">
        <f t="shared" si="373"/>
        <v>0</v>
      </c>
      <c r="CC180">
        <f t="shared" si="374"/>
        <v>0</v>
      </c>
      <c r="CD180">
        <f t="shared" si="375"/>
        <v>0</v>
      </c>
      <c r="CE180">
        <f t="shared" si="376"/>
        <v>0</v>
      </c>
      <c r="CF180">
        <f t="shared" si="377"/>
        <v>1.1447814519628949</v>
      </c>
      <c r="CG180">
        <f t="shared" si="378"/>
        <v>1.5639090873810042</v>
      </c>
      <c r="CH180">
        <f t="shared" si="379"/>
        <v>0</v>
      </c>
      <c r="CI180">
        <f t="shared" si="380"/>
        <v>0</v>
      </c>
      <c r="CJ180">
        <f t="shared" si="381"/>
        <v>0</v>
      </c>
      <c r="CK180">
        <f t="shared" si="382"/>
        <v>0</v>
      </c>
      <c r="CL180">
        <f t="shared" si="383"/>
        <v>0</v>
      </c>
      <c r="CN180">
        <f t="shared" si="361"/>
        <v>62.30613804125921</v>
      </c>
      <c r="CP180">
        <f t="shared" si="305"/>
        <v>1.6221131606064358</v>
      </c>
      <c r="CQ180">
        <f t="shared" si="306"/>
        <v>0</v>
      </c>
      <c r="CR180">
        <f t="shared" si="307"/>
        <v>1.9964796860183029E-2</v>
      </c>
      <c r="CS180">
        <f t="shared" si="308"/>
        <v>0</v>
      </c>
      <c r="CT180">
        <f t="shared" si="309"/>
        <v>0.48592232138319147</v>
      </c>
      <c r="CU180">
        <f t="shared" si="310"/>
        <v>0</v>
      </c>
      <c r="CV180">
        <f t="shared" si="311"/>
        <v>0</v>
      </c>
      <c r="CW180">
        <f t="shared" si="312"/>
        <v>0.14714022868052315</v>
      </c>
      <c r="CX180">
        <f t="shared" si="313"/>
        <v>2.1163697827541079E-3</v>
      </c>
      <c r="CY180">
        <f t="shared" si="314"/>
        <v>0.31348016437704074</v>
      </c>
      <c r="CZ180">
        <f t="shared" si="315"/>
        <v>0.17803130552497023</v>
      </c>
      <c r="DA180">
        <f t="shared" si="316"/>
        <v>0</v>
      </c>
      <c r="DB180">
        <f t="shared" si="317"/>
        <v>0</v>
      </c>
      <c r="DC180">
        <f t="shared" si="318"/>
        <v>0</v>
      </c>
      <c r="DD180">
        <f t="shared" si="319"/>
        <v>0</v>
      </c>
      <c r="DE180">
        <f t="shared" si="320"/>
        <v>5.5410525264418933E-2</v>
      </c>
      <c r="DF180">
        <f t="shared" si="321"/>
        <v>4.9806021891114785E-2</v>
      </c>
      <c r="DG180">
        <f t="shared" si="322"/>
        <v>0</v>
      </c>
      <c r="DH180">
        <f t="shared" si="323"/>
        <v>0</v>
      </c>
      <c r="DI180">
        <f t="shared" si="324"/>
        <v>0</v>
      </c>
      <c r="DJ180">
        <f t="shared" si="325"/>
        <v>0</v>
      </c>
      <c r="DK180">
        <f t="shared" si="326"/>
        <v>0</v>
      </c>
      <c r="DM180">
        <f t="shared" si="327"/>
        <v>2.8739848943706323</v>
      </c>
    </row>
    <row r="181" spans="1:117">
      <c r="A181" s="117" t="s">
        <v>334</v>
      </c>
      <c r="B181" s="117" t="s">
        <v>319</v>
      </c>
      <c r="C181" s="117">
        <v>3.0379999999999998</v>
      </c>
      <c r="F181" s="117">
        <v>6914</v>
      </c>
      <c r="G181" s="117">
        <v>3872</v>
      </c>
      <c r="H181" s="43">
        <f t="shared" si="329"/>
        <v>2.9205046057969515E+22</v>
      </c>
      <c r="I181" s="43">
        <f t="shared" si="330"/>
        <v>8.4592164538529811E+22</v>
      </c>
      <c r="J181" s="42">
        <f t="shared" si="331"/>
        <v>145.22671704799998</v>
      </c>
      <c r="K181" s="42">
        <f t="shared" si="358"/>
        <v>45.546862592000004</v>
      </c>
      <c r="L181" s="42">
        <f t="shared" si="359"/>
        <v>134.26159663554154</v>
      </c>
      <c r="M181" s="79">
        <f t="shared" si="332"/>
        <v>129.74985662070057</v>
      </c>
      <c r="O181" s="52" t="str">
        <f t="shared" si="333"/>
        <v>Basalt</v>
      </c>
      <c r="P181" s="117">
        <v>51.651772266291793</v>
      </c>
      <c r="R181" s="117">
        <v>0.79325233457174427</v>
      </c>
      <c r="T181" s="117">
        <v>16.186364092780401</v>
      </c>
      <c r="V181" s="117">
        <v>0</v>
      </c>
      <c r="W181" s="117">
        <v>7.7919469826287777</v>
      </c>
      <c r="X181" s="117">
        <v>0.10041168792047396</v>
      </c>
      <c r="Y181" s="117">
        <v>9.1475047695551766</v>
      </c>
      <c r="Z181" s="117">
        <v>8.0329350336379175</v>
      </c>
      <c r="AE181" s="117">
        <v>2.2291394718345221</v>
      </c>
      <c r="AF181" s="117">
        <v>2.4299628476754696</v>
      </c>
      <c r="AI181" s="117">
        <v>0</v>
      </c>
      <c r="AM181" s="86">
        <f t="shared" si="360"/>
        <v>98.363289486896278</v>
      </c>
      <c r="AO181" s="71">
        <f t="shared" si="328"/>
        <v>1.5701904168692107</v>
      </c>
      <c r="AQ181" s="97" t="str">
        <f t="shared" si="334"/>
        <v>Basalt</v>
      </c>
      <c r="AR181" s="73">
        <f t="shared" si="335"/>
        <v>54.752377360868557</v>
      </c>
      <c r="AS181" s="73">
        <f t="shared" si="336"/>
        <v>0</v>
      </c>
      <c r="AT181" s="73">
        <f t="shared" si="337"/>
        <v>0.63228409470683034</v>
      </c>
      <c r="AU181" s="73">
        <f t="shared" si="338"/>
        <v>0</v>
      </c>
      <c r="AV181" s="73">
        <f t="shared" si="339"/>
        <v>10.110372478823431</v>
      </c>
      <c r="AW181" s="73">
        <f t="shared" si="340"/>
        <v>0</v>
      </c>
      <c r="AX181" s="73">
        <f t="shared" si="341"/>
        <v>0</v>
      </c>
      <c r="AY181" s="73">
        <f t="shared" si="342"/>
        <v>6.906641183487185</v>
      </c>
      <c r="AZ181" s="73">
        <f t="shared" si="343"/>
        <v>9.0144816919764184E-2</v>
      </c>
      <c r="BA181" s="73">
        <f t="shared" si="344"/>
        <v>14.452318500358302</v>
      </c>
      <c r="BB181" s="73">
        <f t="shared" si="345"/>
        <v>9.1225011587561635</v>
      </c>
      <c r="BC181" s="73">
        <f t="shared" si="346"/>
        <v>0</v>
      </c>
      <c r="BD181" s="73">
        <f t="shared" si="347"/>
        <v>0</v>
      </c>
      <c r="BE181" s="73">
        <f t="shared" si="348"/>
        <v>0</v>
      </c>
      <c r="BF181" s="73">
        <f t="shared" si="349"/>
        <v>0</v>
      </c>
      <c r="BG181" s="73">
        <f t="shared" si="350"/>
        <v>2.2905160944303837</v>
      </c>
      <c r="BH181" s="73">
        <f t="shared" si="351"/>
        <v>1.6428443116493769</v>
      </c>
      <c r="BI181" s="73">
        <f t="shared" si="352"/>
        <v>0</v>
      </c>
      <c r="BJ181" s="73">
        <f t="shared" si="353"/>
        <v>0</v>
      </c>
      <c r="BK181" s="73">
        <f t="shared" si="354"/>
        <v>0</v>
      </c>
      <c r="BL181" s="73">
        <f t="shared" si="355"/>
        <v>0</v>
      </c>
      <c r="BM181" s="73">
        <f t="shared" si="356"/>
        <v>0</v>
      </c>
      <c r="BN181" s="73">
        <f t="shared" si="357"/>
        <v>0</v>
      </c>
      <c r="BQ181">
        <f t="shared" si="362"/>
        <v>32.895228318409828</v>
      </c>
      <c r="BR181">
        <f t="shared" si="363"/>
        <v>0</v>
      </c>
      <c r="BS181">
        <f t="shared" si="364"/>
        <v>0.50519499167075754</v>
      </c>
      <c r="BT181">
        <f t="shared" si="365"/>
        <v>0</v>
      </c>
      <c r="BU181">
        <f t="shared" si="366"/>
        <v>10.308535779408368</v>
      </c>
      <c r="BV181">
        <f t="shared" si="367"/>
        <v>0</v>
      </c>
      <c r="BW181">
        <f t="shared" si="368"/>
        <v>0</v>
      </c>
      <c r="BX181">
        <f t="shared" si="369"/>
        <v>4.9624216903355416</v>
      </c>
      <c r="BY181">
        <f t="shared" si="370"/>
        <v>6.3948733122880713E-2</v>
      </c>
      <c r="BZ181">
        <f t="shared" si="371"/>
        <v>5.8257295874944317</v>
      </c>
      <c r="CA181">
        <f t="shared" si="372"/>
        <v>5.1158986498304566</v>
      </c>
      <c r="CB181">
        <f t="shared" si="373"/>
        <v>0</v>
      </c>
      <c r="CC181">
        <f t="shared" si="374"/>
        <v>0</v>
      </c>
      <c r="CD181">
        <f t="shared" si="375"/>
        <v>0</v>
      </c>
      <c r="CE181">
        <f t="shared" si="376"/>
        <v>0</v>
      </c>
      <c r="CF181">
        <f t="shared" si="377"/>
        <v>1.4196618753279517</v>
      </c>
      <c r="CG181">
        <f t="shared" si="378"/>
        <v>1.5475593415737132</v>
      </c>
      <c r="CH181">
        <f t="shared" si="379"/>
        <v>0</v>
      </c>
      <c r="CI181">
        <f t="shared" si="380"/>
        <v>0</v>
      </c>
      <c r="CJ181">
        <f t="shared" si="381"/>
        <v>0</v>
      </c>
      <c r="CK181">
        <f t="shared" si="382"/>
        <v>0</v>
      </c>
      <c r="CL181">
        <f t="shared" si="383"/>
        <v>0</v>
      </c>
      <c r="CN181">
        <f t="shared" si="361"/>
        <v>62.644178967173922</v>
      </c>
      <c r="CP181">
        <f t="shared" si="305"/>
        <v>1.6425713208260566</v>
      </c>
      <c r="CQ181">
        <f t="shared" si="306"/>
        <v>0</v>
      </c>
      <c r="CR181">
        <f t="shared" si="307"/>
        <v>1.8968522841204913E-2</v>
      </c>
      <c r="CS181">
        <f t="shared" si="308"/>
        <v>0</v>
      </c>
      <c r="CT181">
        <f t="shared" si="309"/>
        <v>0.50551862394117153</v>
      </c>
      <c r="CU181">
        <f t="shared" si="310"/>
        <v>0</v>
      </c>
      <c r="CV181">
        <f t="shared" si="311"/>
        <v>0</v>
      </c>
      <c r="CW181">
        <f t="shared" si="312"/>
        <v>0.13813282366974369</v>
      </c>
      <c r="CX181">
        <f t="shared" si="313"/>
        <v>1.8028963383952836E-3</v>
      </c>
      <c r="CY181">
        <f t="shared" si="314"/>
        <v>0.28904637000716604</v>
      </c>
      <c r="CZ181">
        <f t="shared" si="315"/>
        <v>0.18245002317512327</v>
      </c>
      <c r="DA181">
        <f t="shared" si="316"/>
        <v>0</v>
      </c>
      <c r="DB181">
        <f t="shared" si="317"/>
        <v>0</v>
      </c>
      <c r="DC181">
        <f t="shared" si="318"/>
        <v>0</v>
      </c>
      <c r="DD181">
        <f t="shared" si="319"/>
        <v>0</v>
      </c>
      <c r="DE181">
        <f t="shared" si="320"/>
        <v>6.8715482832911512E-2</v>
      </c>
      <c r="DF181">
        <f t="shared" si="321"/>
        <v>4.9285329349481308E-2</v>
      </c>
      <c r="DG181">
        <f t="shared" si="322"/>
        <v>0</v>
      </c>
      <c r="DH181">
        <f t="shared" si="323"/>
        <v>0</v>
      </c>
      <c r="DI181">
        <f t="shared" si="324"/>
        <v>0</v>
      </c>
      <c r="DJ181">
        <f t="shared" si="325"/>
        <v>0</v>
      </c>
      <c r="DK181">
        <f t="shared" si="326"/>
        <v>0</v>
      </c>
      <c r="DM181">
        <f t="shared" si="327"/>
        <v>2.8964913929812539</v>
      </c>
    </row>
    <row r="182" spans="1:117">
      <c r="A182" s="117" t="s">
        <v>334</v>
      </c>
      <c r="B182" s="117" t="s">
        <v>319</v>
      </c>
      <c r="C182" s="117">
        <v>2.9940000000000002</v>
      </c>
      <c r="F182" s="117">
        <v>6900</v>
      </c>
      <c r="G182" s="117">
        <v>3860</v>
      </c>
      <c r="H182" s="43">
        <f t="shared" si="329"/>
        <v>2.8958218197452758E+22</v>
      </c>
      <c r="I182" s="43">
        <f t="shared" si="330"/>
        <v>8.3328101197211505E+22</v>
      </c>
      <c r="J182" s="42">
        <f t="shared" si="331"/>
        <v>142.54434000000001</v>
      </c>
      <c r="K182" s="42">
        <f t="shared" si="358"/>
        <v>44.609402400000008</v>
      </c>
      <c r="L182" s="42">
        <f t="shared" si="359"/>
        <v>131.46932223523041</v>
      </c>
      <c r="M182" s="79">
        <f t="shared" si="332"/>
        <v>127.04044448420011</v>
      </c>
      <c r="O182" s="52" t="str">
        <f t="shared" si="333"/>
        <v>Basalt</v>
      </c>
      <c r="P182" s="117">
        <v>51.308270676691727</v>
      </c>
      <c r="R182" s="117">
        <v>0.84210526315789469</v>
      </c>
      <c r="T182" s="117">
        <v>14.887218045112782</v>
      </c>
      <c r="V182" s="117">
        <v>0</v>
      </c>
      <c r="W182" s="117">
        <v>7.5087719298245599</v>
      </c>
      <c r="X182" s="117">
        <v>0.12030075187969924</v>
      </c>
      <c r="Y182" s="117">
        <v>9.3233082706766925</v>
      </c>
      <c r="Z182" s="117">
        <v>8.1303258145363397</v>
      </c>
      <c r="AE182" s="117">
        <v>2.1954887218045114</v>
      </c>
      <c r="AF182" s="117">
        <v>2.5062656641604009</v>
      </c>
      <c r="AI182" s="117">
        <v>0</v>
      </c>
      <c r="AM182" s="86">
        <f t="shared" si="360"/>
        <v>96.822055137844586</v>
      </c>
      <c r="AO182" s="71">
        <f t="shared" si="328"/>
        <v>1.5550468908935036</v>
      </c>
      <c r="AQ182" s="97" t="str">
        <f t="shared" si="334"/>
        <v>Basalt</v>
      </c>
      <c r="AR182" s="73">
        <f t="shared" si="335"/>
        <v>54.917905308230466</v>
      </c>
      <c r="AS182" s="73">
        <f t="shared" si="336"/>
        <v>0</v>
      </c>
      <c r="AT182" s="73">
        <f t="shared" si="337"/>
        <v>0.67776027937704653</v>
      </c>
      <c r="AU182" s="73">
        <f t="shared" si="338"/>
        <v>0</v>
      </c>
      <c r="AV182" s="73">
        <f t="shared" si="339"/>
        <v>9.3894517210887631</v>
      </c>
      <c r="AW182" s="73">
        <f t="shared" si="340"/>
        <v>0</v>
      </c>
      <c r="AX182" s="73">
        <f t="shared" si="341"/>
        <v>0</v>
      </c>
      <c r="AY182" s="73">
        <f t="shared" si="342"/>
        <v>6.7204546004154313</v>
      </c>
      <c r="AZ182" s="73">
        <f t="shared" si="343"/>
        <v>0.10905200838178347</v>
      </c>
      <c r="BA182" s="73">
        <f t="shared" si="344"/>
        <v>14.873519828374802</v>
      </c>
      <c r="BB182" s="73">
        <f t="shared" si="345"/>
        <v>9.3230165595334267</v>
      </c>
      <c r="BC182" s="73">
        <f t="shared" si="346"/>
        <v>0</v>
      </c>
      <c r="BD182" s="73">
        <f t="shared" si="347"/>
        <v>0</v>
      </c>
      <c r="BE182" s="73">
        <f t="shared" si="348"/>
        <v>0</v>
      </c>
      <c r="BF182" s="73">
        <f t="shared" si="349"/>
        <v>0</v>
      </c>
      <c r="BG182" s="73">
        <f t="shared" si="350"/>
        <v>2.277907839811518</v>
      </c>
      <c r="BH182" s="73">
        <f t="shared" si="351"/>
        <v>1.7109318547867387</v>
      </c>
      <c r="BI182" s="73">
        <f t="shared" si="352"/>
        <v>0</v>
      </c>
      <c r="BJ182" s="73">
        <f t="shared" si="353"/>
        <v>0</v>
      </c>
      <c r="BK182" s="73">
        <f t="shared" si="354"/>
        <v>0</v>
      </c>
      <c r="BL182" s="73">
        <f t="shared" si="355"/>
        <v>0</v>
      </c>
      <c r="BM182" s="73">
        <f t="shared" si="356"/>
        <v>0</v>
      </c>
      <c r="BN182" s="73">
        <f t="shared" si="357"/>
        <v>0</v>
      </c>
      <c r="BQ182">
        <f t="shared" si="362"/>
        <v>32.994677509184861</v>
      </c>
      <c r="BR182">
        <f t="shared" si="363"/>
        <v>0</v>
      </c>
      <c r="BS182">
        <f t="shared" si="364"/>
        <v>0.54153046322226017</v>
      </c>
      <c r="BT182">
        <f t="shared" si="365"/>
        <v>0</v>
      </c>
      <c r="BU182">
        <f t="shared" si="366"/>
        <v>9.5734849748221027</v>
      </c>
      <c r="BV182">
        <f t="shared" si="367"/>
        <v>0</v>
      </c>
      <c r="BW182">
        <f t="shared" si="368"/>
        <v>0</v>
      </c>
      <c r="BX182">
        <f t="shared" si="369"/>
        <v>4.8286466303984872</v>
      </c>
      <c r="BY182">
        <f t="shared" si="370"/>
        <v>7.7361494746037193E-2</v>
      </c>
      <c r="BZ182">
        <f t="shared" si="371"/>
        <v>5.9955158428178823</v>
      </c>
      <c r="CA182">
        <f t="shared" si="372"/>
        <v>5.2283476865863454</v>
      </c>
      <c r="CB182">
        <f t="shared" si="373"/>
        <v>0</v>
      </c>
      <c r="CC182">
        <f t="shared" si="374"/>
        <v>0</v>
      </c>
      <c r="CD182">
        <f t="shared" si="375"/>
        <v>0</v>
      </c>
      <c r="CE182">
        <f t="shared" si="376"/>
        <v>0</v>
      </c>
      <c r="CF182">
        <f t="shared" si="377"/>
        <v>1.4118472791151788</v>
      </c>
      <c r="CG182">
        <f t="shared" si="378"/>
        <v>1.6116978072091082</v>
      </c>
      <c r="CH182">
        <f t="shared" si="379"/>
        <v>0</v>
      </c>
      <c r="CI182">
        <f t="shared" si="380"/>
        <v>0</v>
      </c>
      <c r="CJ182">
        <f t="shared" si="381"/>
        <v>0</v>
      </c>
      <c r="CK182">
        <f t="shared" si="382"/>
        <v>0</v>
      </c>
      <c r="CL182">
        <f t="shared" si="383"/>
        <v>0</v>
      </c>
      <c r="CN182">
        <f t="shared" si="361"/>
        <v>62.263109688102261</v>
      </c>
      <c r="CP182">
        <f t="shared" si="305"/>
        <v>1.6475371592469139</v>
      </c>
      <c r="CQ182">
        <f t="shared" si="306"/>
        <v>0</v>
      </c>
      <c r="CR182">
        <f t="shared" si="307"/>
        <v>2.0332808381311393E-2</v>
      </c>
      <c r="CS182">
        <f t="shared" si="308"/>
        <v>0</v>
      </c>
      <c r="CT182">
        <f t="shared" si="309"/>
        <v>0.4694725860544382</v>
      </c>
      <c r="CU182">
        <f t="shared" si="310"/>
        <v>0</v>
      </c>
      <c r="CV182">
        <f t="shared" si="311"/>
        <v>0</v>
      </c>
      <c r="CW182">
        <f t="shared" si="312"/>
        <v>0.13440909200830864</v>
      </c>
      <c r="CX182">
        <f t="shared" si="313"/>
        <v>2.1810401676356696E-3</v>
      </c>
      <c r="CY182">
        <f t="shared" si="314"/>
        <v>0.29747039656749602</v>
      </c>
      <c r="CZ182">
        <f t="shared" si="315"/>
        <v>0.18646033119066854</v>
      </c>
      <c r="DA182">
        <f t="shared" si="316"/>
        <v>0</v>
      </c>
      <c r="DB182">
        <f t="shared" si="317"/>
        <v>0</v>
      </c>
      <c r="DC182">
        <f t="shared" si="318"/>
        <v>0</v>
      </c>
      <c r="DD182">
        <f t="shared" si="319"/>
        <v>0</v>
      </c>
      <c r="DE182">
        <f t="shared" si="320"/>
        <v>6.8337235194345536E-2</v>
      </c>
      <c r="DF182">
        <f t="shared" si="321"/>
        <v>5.1327955643602166E-2</v>
      </c>
      <c r="DG182">
        <f t="shared" si="322"/>
        <v>0</v>
      </c>
      <c r="DH182">
        <f t="shared" si="323"/>
        <v>0</v>
      </c>
      <c r="DI182">
        <f t="shared" si="324"/>
        <v>0</v>
      </c>
      <c r="DJ182">
        <f t="shared" si="325"/>
        <v>0</v>
      </c>
      <c r="DK182">
        <f t="shared" si="326"/>
        <v>0</v>
      </c>
      <c r="DM182">
        <f t="shared" si="327"/>
        <v>2.8775286044547199</v>
      </c>
    </row>
    <row r="183" spans="1:117">
      <c r="A183" s="117" t="s">
        <v>334</v>
      </c>
      <c r="B183" s="117" t="s">
        <v>319</v>
      </c>
      <c r="C183" s="117">
        <v>3.0169999999999999</v>
      </c>
      <c r="F183" s="117">
        <v>6904</v>
      </c>
      <c r="G183" s="117">
        <v>3863</v>
      </c>
      <c r="H183" s="43">
        <f t="shared" si="329"/>
        <v>2.9176438736062813E+22</v>
      </c>
      <c r="I183" s="43">
        <f t="shared" si="330"/>
        <v>8.4086743103278256E+22</v>
      </c>
      <c r="J183" s="42">
        <f t="shared" si="331"/>
        <v>143.80595667199998</v>
      </c>
      <c r="K183" s="42">
        <f t="shared" si="358"/>
        <v>45.021994073000002</v>
      </c>
      <c r="L183" s="42">
        <f t="shared" si="359"/>
        <v>132.68932138209414</v>
      </c>
      <c r="M183" s="79">
        <f t="shared" si="332"/>
        <v>128.21642183005093</v>
      </c>
      <c r="O183" s="52" t="str">
        <f t="shared" si="333"/>
        <v>Basalt</v>
      </c>
      <c r="P183" s="117">
        <v>51.377161238439875</v>
      </c>
      <c r="R183" s="117">
        <v>0.8142340168878166</v>
      </c>
      <c r="T183" s="117">
        <v>15.229191797346198</v>
      </c>
      <c r="V183" s="117">
        <v>0</v>
      </c>
      <c r="W183" s="117">
        <v>7.2476879774829097</v>
      </c>
      <c r="X183" s="117">
        <v>0.15078407720144751</v>
      </c>
      <c r="Y183" s="117">
        <v>9.4390832328106153</v>
      </c>
      <c r="Z183" s="117">
        <v>8.1021310816244458</v>
      </c>
      <c r="AE183" s="117">
        <v>1.7289907519099312</v>
      </c>
      <c r="AF183" s="117">
        <v>2.4427020506634496</v>
      </c>
      <c r="AI183" s="117">
        <v>0</v>
      </c>
      <c r="AM183" s="86">
        <f t="shared" si="360"/>
        <v>96.531966224366712</v>
      </c>
      <c r="AO183" s="71">
        <f t="shared" si="328"/>
        <v>1.55016267435153</v>
      </c>
      <c r="AQ183" s="97" t="str">
        <f t="shared" si="334"/>
        <v>Basalt</v>
      </c>
      <c r="AR183" s="73">
        <f t="shared" si="335"/>
        <v>55.16490884180601</v>
      </c>
      <c r="AS183" s="73">
        <f t="shared" si="336"/>
        <v>0</v>
      </c>
      <c r="AT183" s="73">
        <f t="shared" si="337"/>
        <v>0.6573931697062928</v>
      </c>
      <c r="AU183" s="73">
        <f t="shared" si="338"/>
        <v>0</v>
      </c>
      <c r="AV183" s="73">
        <f t="shared" si="339"/>
        <v>9.6354001209857394</v>
      </c>
      <c r="AW183" s="73">
        <f t="shared" si="340"/>
        <v>0</v>
      </c>
      <c r="AX183" s="73">
        <f t="shared" si="341"/>
        <v>0</v>
      </c>
      <c r="AY183" s="73">
        <f t="shared" si="342"/>
        <v>6.5072192549847756</v>
      </c>
      <c r="AZ183" s="73">
        <f t="shared" si="343"/>
        <v>0.13711564874733159</v>
      </c>
      <c r="BA183" s="73">
        <f t="shared" si="344"/>
        <v>15.105661276251428</v>
      </c>
      <c r="BB183" s="73">
        <f t="shared" si="345"/>
        <v>9.3199586334300708</v>
      </c>
      <c r="BC183" s="73">
        <f t="shared" si="346"/>
        <v>0</v>
      </c>
      <c r="BD183" s="73">
        <f t="shared" si="347"/>
        <v>0</v>
      </c>
      <c r="BE183" s="73">
        <f t="shared" si="348"/>
        <v>0</v>
      </c>
      <c r="BF183" s="73">
        <f t="shared" si="349"/>
        <v>0</v>
      </c>
      <c r="BG183" s="73">
        <f t="shared" si="350"/>
        <v>1.7995496063325167</v>
      </c>
      <c r="BH183" s="73">
        <f t="shared" si="351"/>
        <v>1.6727934477558217</v>
      </c>
      <c r="BI183" s="73">
        <f t="shared" si="352"/>
        <v>0</v>
      </c>
      <c r="BJ183" s="73">
        <f t="shared" si="353"/>
        <v>0</v>
      </c>
      <c r="BK183" s="73">
        <f t="shared" si="354"/>
        <v>0</v>
      </c>
      <c r="BL183" s="73">
        <f t="shared" si="355"/>
        <v>0</v>
      </c>
      <c r="BM183" s="73">
        <f t="shared" si="356"/>
        <v>0</v>
      </c>
      <c r="BN183" s="73">
        <f t="shared" si="357"/>
        <v>0</v>
      </c>
      <c r="BQ183">
        <f t="shared" si="362"/>
        <v>33.143077232157054</v>
      </c>
      <c r="BR183">
        <f t="shared" si="363"/>
        <v>0</v>
      </c>
      <c r="BS183">
        <f t="shared" si="364"/>
        <v>0.52525714259532796</v>
      </c>
      <c r="BT183">
        <f t="shared" si="365"/>
        <v>0</v>
      </c>
      <c r="BU183">
        <f t="shared" si="366"/>
        <v>9.8242539633570587</v>
      </c>
      <c r="BV183">
        <f t="shared" si="367"/>
        <v>0</v>
      </c>
      <c r="BW183">
        <f t="shared" si="368"/>
        <v>0</v>
      </c>
      <c r="BX183">
        <f t="shared" si="369"/>
        <v>4.6754370347065608</v>
      </c>
      <c r="BY183">
        <f t="shared" si="370"/>
        <v>9.7269841221357026E-2</v>
      </c>
      <c r="BZ183">
        <f t="shared" si="371"/>
        <v>6.0890920604569514</v>
      </c>
      <c r="CA183">
        <f t="shared" si="372"/>
        <v>5.2266328016275843</v>
      </c>
      <c r="CB183">
        <f t="shared" si="373"/>
        <v>0</v>
      </c>
      <c r="CC183">
        <f t="shared" si="374"/>
        <v>0</v>
      </c>
      <c r="CD183">
        <f t="shared" si="375"/>
        <v>0</v>
      </c>
      <c r="CE183">
        <f t="shared" si="376"/>
        <v>0</v>
      </c>
      <c r="CF183">
        <f t="shared" si="377"/>
        <v>1.1153608460048938</v>
      </c>
      <c r="CG183">
        <f t="shared" si="378"/>
        <v>1.5757714277859842</v>
      </c>
      <c r="CH183">
        <f t="shared" si="379"/>
        <v>0</v>
      </c>
      <c r="CI183">
        <f t="shared" si="380"/>
        <v>0</v>
      </c>
      <c r="CJ183">
        <f t="shared" si="381"/>
        <v>0</v>
      </c>
      <c r="CK183">
        <f t="shared" si="382"/>
        <v>0</v>
      </c>
      <c r="CL183">
        <f t="shared" si="383"/>
        <v>0</v>
      </c>
      <c r="CN183">
        <f t="shared" si="361"/>
        <v>62.272152349912773</v>
      </c>
      <c r="CP183">
        <f t="shared" si="305"/>
        <v>1.6549472652541803</v>
      </c>
      <c r="CQ183">
        <f t="shared" si="306"/>
        <v>0</v>
      </c>
      <c r="CR183">
        <f t="shared" si="307"/>
        <v>1.9721795091188786E-2</v>
      </c>
      <c r="CS183">
        <f t="shared" si="308"/>
        <v>0</v>
      </c>
      <c r="CT183">
        <f t="shared" si="309"/>
        <v>0.48177000604928694</v>
      </c>
      <c r="CU183">
        <f t="shared" si="310"/>
        <v>0</v>
      </c>
      <c r="CV183">
        <f t="shared" si="311"/>
        <v>0</v>
      </c>
      <c r="CW183">
        <f t="shared" si="312"/>
        <v>0.1301443850996955</v>
      </c>
      <c r="CX183">
        <f t="shared" si="313"/>
        <v>2.7423129749466319E-3</v>
      </c>
      <c r="CY183">
        <f t="shared" si="314"/>
        <v>0.30211322552502856</v>
      </c>
      <c r="CZ183">
        <f t="shared" si="315"/>
        <v>0.18639917266860143</v>
      </c>
      <c r="DA183">
        <f t="shared" si="316"/>
        <v>0</v>
      </c>
      <c r="DB183">
        <f t="shared" si="317"/>
        <v>0</v>
      </c>
      <c r="DC183">
        <f t="shared" si="318"/>
        <v>0</v>
      </c>
      <c r="DD183">
        <f t="shared" si="319"/>
        <v>0</v>
      </c>
      <c r="DE183">
        <f t="shared" si="320"/>
        <v>5.3986488189975507E-2</v>
      </c>
      <c r="DF183">
        <f t="shared" si="321"/>
        <v>5.0183803432674659E-2</v>
      </c>
      <c r="DG183">
        <f t="shared" si="322"/>
        <v>0</v>
      </c>
      <c r="DH183">
        <f t="shared" si="323"/>
        <v>0</v>
      </c>
      <c r="DI183">
        <f t="shared" si="324"/>
        <v>0</v>
      </c>
      <c r="DJ183">
        <f t="shared" si="325"/>
        <v>0</v>
      </c>
      <c r="DK183">
        <f t="shared" si="326"/>
        <v>0</v>
      </c>
      <c r="DM183">
        <f t="shared" si="327"/>
        <v>2.8820084542855784</v>
      </c>
    </row>
    <row r="184" spans="1:117">
      <c r="A184" s="117" t="s">
        <v>334</v>
      </c>
      <c r="B184" s="117" t="s">
        <v>319</v>
      </c>
      <c r="C184" s="117">
        <v>3.1629999999999998</v>
      </c>
      <c r="F184" s="117">
        <v>7040</v>
      </c>
      <c r="G184" s="117">
        <v>3969</v>
      </c>
      <c r="H184" s="43">
        <f t="shared" si="329"/>
        <v>3.057283167593837E+22</v>
      </c>
      <c r="I184" s="43">
        <f t="shared" si="330"/>
        <v>8.812865551382474E+22</v>
      </c>
      <c r="J184" s="42">
        <f t="shared" si="331"/>
        <v>156.76334079999998</v>
      </c>
      <c r="K184" s="42">
        <f t="shared" si="358"/>
        <v>49.826615642999997</v>
      </c>
      <c r="L184" s="42">
        <f t="shared" si="359"/>
        <v>146.9894383096474</v>
      </c>
      <c r="M184" s="79">
        <f t="shared" si="332"/>
        <v>142.3010392627161</v>
      </c>
      <c r="O184" s="52" t="str">
        <f t="shared" si="333"/>
        <v>Basalt</v>
      </c>
      <c r="P184" s="117">
        <v>50.864983098031416</v>
      </c>
      <c r="R184" s="117">
        <v>0.81527142573076161</v>
      </c>
      <c r="T184" s="117">
        <v>15.002982700338038</v>
      </c>
      <c r="V184" s="117">
        <v>0</v>
      </c>
      <c r="W184" s="117">
        <v>7.1783654802147545</v>
      </c>
      <c r="X184" s="117">
        <v>0.1789620202823623</v>
      </c>
      <c r="Y184" s="117">
        <v>9.1966593756213975</v>
      </c>
      <c r="Z184" s="117">
        <v>8.0632332471664352</v>
      </c>
      <c r="AE184" s="117">
        <v>1.8393318751242793</v>
      </c>
      <c r="AF184" s="117">
        <v>2.40604493935176</v>
      </c>
      <c r="AI184" s="117">
        <v>0</v>
      </c>
      <c r="AM184" s="86">
        <f t="shared" si="360"/>
        <v>95.545834161861194</v>
      </c>
      <c r="AO184" s="71">
        <f t="shared" si="328"/>
        <v>1.5335480289176215</v>
      </c>
      <c r="AQ184" s="97" t="str">
        <f t="shared" si="334"/>
        <v>Basalt</v>
      </c>
      <c r="AR184" s="73">
        <f t="shared" si="335"/>
        <v>55.206675922901482</v>
      </c>
      <c r="AS184" s="73">
        <f t="shared" si="336"/>
        <v>0</v>
      </c>
      <c r="AT184" s="73">
        <f t="shared" si="337"/>
        <v>0.66536210072679169</v>
      </c>
      <c r="AU184" s="73">
        <f t="shared" si="338"/>
        <v>0</v>
      </c>
      <c r="AV184" s="73">
        <f t="shared" si="339"/>
        <v>9.5951197574776614</v>
      </c>
      <c r="AW184" s="73">
        <f t="shared" si="340"/>
        <v>0</v>
      </c>
      <c r="AX184" s="73">
        <f t="shared" si="341"/>
        <v>0</v>
      </c>
      <c r="AY184" s="73">
        <f t="shared" si="342"/>
        <v>6.5148048601094803</v>
      </c>
      <c r="AZ184" s="73">
        <f t="shared" si="343"/>
        <v>0.16450242617692593</v>
      </c>
      <c r="BA184" s="73">
        <f t="shared" si="344"/>
        <v>14.877156143384312</v>
      </c>
      <c r="BB184" s="73">
        <f t="shared" si="345"/>
        <v>9.3757028784631089</v>
      </c>
      <c r="BC184" s="73">
        <f t="shared" si="346"/>
        <v>0</v>
      </c>
      <c r="BD184" s="73">
        <f t="shared" si="347"/>
        <v>0</v>
      </c>
      <c r="BE184" s="73">
        <f t="shared" si="348"/>
        <v>0</v>
      </c>
      <c r="BF184" s="73">
        <f t="shared" si="349"/>
        <v>0</v>
      </c>
      <c r="BG184" s="73">
        <f t="shared" si="350"/>
        <v>1.9351344438200115</v>
      </c>
      <c r="BH184" s="73">
        <f t="shared" si="351"/>
        <v>1.6655414669402286</v>
      </c>
      <c r="BI184" s="73">
        <f t="shared" si="352"/>
        <v>0</v>
      </c>
      <c r="BJ184" s="73">
        <f t="shared" si="353"/>
        <v>0</v>
      </c>
      <c r="BK184" s="73">
        <f t="shared" si="354"/>
        <v>0</v>
      </c>
      <c r="BL184" s="73">
        <f t="shared" si="355"/>
        <v>0</v>
      </c>
      <c r="BM184" s="73">
        <f t="shared" si="356"/>
        <v>0</v>
      </c>
      <c r="BN184" s="73">
        <f t="shared" si="357"/>
        <v>0</v>
      </c>
      <c r="BQ184">
        <f t="shared" si="362"/>
        <v>33.168170894479211</v>
      </c>
      <c r="BR184">
        <f t="shared" si="363"/>
        <v>0</v>
      </c>
      <c r="BS184">
        <f t="shared" si="364"/>
        <v>0.53162431848070668</v>
      </c>
      <c r="BT184">
        <f t="shared" si="365"/>
        <v>0</v>
      </c>
      <c r="BU184">
        <f t="shared" si="366"/>
        <v>9.7831841047242225</v>
      </c>
      <c r="BV184">
        <f t="shared" si="367"/>
        <v>0</v>
      </c>
      <c r="BW184">
        <f t="shared" si="368"/>
        <v>0</v>
      </c>
      <c r="BX184">
        <f t="shared" si="369"/>
        <v>4.680887291988661</v>
      </c>
      <c r="BY184">
        <f t="shared" si="370"/>
        <v>0.11669802112991125</v>
      </c>
      <c r="BZ184">
        <f t="shared" si="371"/>
        <v>5.9969816413982171</v>
      </c>
      <c r="CA184">
        <f t="shared" si="372"/>
        <v>5.2578941742421117</v>
      </c>
      <c r="CB184">
        <f t="shared" si="373"/>
        <v>0</v>
      </c>
      <c r="CC184">
        <f t="shared" si="374"/>
        <v>0</v>
      </c>
      <c r="CD184">
        <f t="shared" si="375"/>
        <v>0</v>
      </c>
      <c r="CE184">
        <f t="shared" si="376"/>
        <v>0</v>
      </c>
      <c r="CF184">
        <f t="shared" si="377"/>
        <v>1.1993963282796429</v>
      </c>
      <c r="CG184">
        <f t="shared" si="378"/>
        <v>1.5689400618576954</v>
      </c>
      <c r="CH184">
        <f t="shared" si="379"/>
        <v>0</v>
      </c>
      <c r="CI184">
        <f t="shared" si="380"/>
        <v>0</v>
      </c>
      <c r="CJ184">
        <f t="shared" si="381"/>
        <v>0</v>
      </c>
      <c r="CK184">
        <f t="shared" si="382"/>
        <v>0</v>
      </c>
      <c r="CL184">
        <f t="shared" si="383"/>
        <v>0</v>
      </c>
      <c r="CN184">
        <f t="shared" si="361"/>
        <v>62.303776836580376</v>
      </c>
      <c r="CP184">
        <f t="shared" si="305"/>
        <v>1.6562002776870446</v>
      </c>
      <c r="CQ184">
        <f t="shared" si="306"/>
        <v>0</v>
      </c>
      <c r="CR184">
        <f t="shared" si="307"/>
        <v>1.9960863021803752E-2</v>
      </c>
      <c r="CS184">
        <f t="shared" si="308"/>
        <v>0</v>
      </c>
      <c r="CT184">
        <f t="shared" si="309"/>
        <v>0.47975598787388307</v>
      </c>
      <c r="CU184">
        <f t="shared" si="310"/>
        <v>0</v>
      </c>
      <c r="CV184">
        <f t="shared" si="311"/>
        <v>0</v>
      </c>
      <c r="CW184">
        <f t="shared" si="312"/>
        <v>0.1302960972021896</v>
      </c>
      <c r="CX184">
        <f t="shared" si="313"/>
        <v>3.2900485235385184E-3</v>
      </c>
      <c r="CY184">
        <f t="shared" si="314"/>
        <v>0.29754312286768625</v>
      </c>
      <c r="CZ184">
        <f t="shared" si="315"/>
        <v>0.18751405756926218</v>
      </c>
      <c r="DA184">
        <f t="shared" si="316"/>
        <v>0</v>
      </c>
      <c r="DB184">
        <f t="shared" si="317"/>
        <v>0</v>
      </c>
      <c r="DC184">
        <f t="shared" si="318"/>
        <v>0</v>
      </c>
      <c r="DD184">
        <f t="shared" si="319"/>
        <v>0</v>
      </c>
      <c r="DE184">
        <f t="shared" si="320"/>
        <v>5.8054033314600344E-2</v>
      </c>
      <c r="DF184">
        <f t="shared" si="321"/>
        <v>4.9966244008206859E-2</v>
      </c>
      <c r="DG184">
        <f t="shared" si="322"/>
        <v>0</v>
      </c>
      <c r="DH184">
        <f t="shared" si="323"/>
        <v>0</v>
      </c>
      <c r="DI184">
        <f t="shared" si="324"/>
        <v>0</v>
      </c>
      <c r="DJ184">
        <f t="shared" si="325"/>
        <v>0</v>
      </c>
      <c r="DK184">
        <f t="shared" si="326"/>
        <v>0</v>
      </c>
      <c r="DM184">
        <f t="shared" si="327"/>
        <v>2.8825807320682153</v>
      </c>
    </row>
    <row r="185" spans="1:117">
      <c r="A185" s="117" t="s">
        <v>335</v>
      </c>
      <c r="B185" s="117" t="s">
        <v>323</v>
      </c>
      <c r="C185" s="117">
        <v>2.3530000000000002</v>
      </c>
      <c r="F185" s="117">
        <v>5870</v>
      </c>
      <c r="G185" s="117">
        <v>3630</v>
      </c>
      <c r="H185" s="43">
        <f t="shared" si="329"/>
        <v>2.1858813923549814E+22</v>
      </c>
      <c r="I185" s="43">
        <f t="shared" si="330"/>
        <v>6.900647753789914E+22</v>
      </c>
      <c r="J185" s="42">
        <f t="shared" si="331"/>
        <v>81.077085699999998</v>
      </c>
      <c r="K185" s="42">
        <f t="shared" si="358"/>
        <v>31.005245700000003</v>
      </c>
      <c r="L185" s="42">
        <f t="shared" si="359"/>
        <v>91.235157474500639</v>
      </c>
      <c r="M185" s="79">
        <f t="shared" si="332"/>
        <v>87.394589371832865</v>
      </c>
      <c r="O185" s="52" t="str">
        <f t="shared" si="333"/>
        <v>Rhyolite</v>
      </c>
      <c r="P185" s="117">
        <v>76.707670767076721</v>
      </c>
      <c r="R185" s="117">
        <v>4.0004000400040006E-2</v>
      </c>
      <c r="T185" s="117">
        <v>13.301330133013304</v>
      </c>
      <c r="V185" s="117">
        <v>0</v>
      </c>
      <c r="W185" s="117">
        <v>0.23002300230023004</v>
      </c>
      <c r="X185" s="117">
        <v>2.0002000200020003E-2</v>
      </c>
      <c r="Y185" s="117">
        <v>3.0003000300030006E-2</v>
      </c>
      <c r="Z185" s="117">
        <v>0.82008200820082011</v>
      </c>
      <c r="AE185" s="117">
        <v>4.000400040004001</v>
      </c>
      <c r="AF185" s="117">
        <v>4.8504850485048507</v>
      </c>
      <c r="AI185" s="117">
        <v>0</v>
      </c>
      <c r="AM185" s="86">
        <f t="shared" si="360"/>
        <v>100.00000000000001</v>
      </c>
      <c r="AO185" s="71">
        <f t="shared" si="328"/>
        <v>1.542601745129943</v>
      </c>
      <c r="AQ185" s="97" t="str">
        <f t="shared" si="334"/>
        <v>Rhyolite</v>
      </c>
      <c r="AR185" s="73">
        <f t="shared" si="335"/>
        <v>82.766588224705899</v>
      </c>
      <c r="AS185" s="73">
        <f t="shared" si="336"/>
        <v>0</v>
      </c>
      <c r="AT185" s="73">
        <f t="shared" si="337"/>
        <v>3.2456585206999816E-2</v>
      </c>
      <c r="AU185" s="73">
        <f t="shared" si="338"/>
        <v>0</v>
      </c>
      <c r="AV185" s="73">
        <f t="shared" si="339"/>
        <v>8.4569045218523193</v>
      </c>
      <c r="AW185" s="73">
        <f t="shared" si="340"/>
        <v>0</v>
      </c>
      <c r="AX185" s="73">
        <f t="shared" si="341"/>
        <v>0</v>
      </c>
      <c r="AY185" s="73">
        <f t="shared" si="342"/>
        <v>0.2075346786183144</v>
      </c>
      <c r="AZ185" s="73">
        <f t="shared" si="343"/>
        <v>1.8277989554830038E-2</v>
      </c>
      <c r="BA185" s="73">
        <f t="shared" si="344"/>
        <v>4.8250083565603175E-2</v>
      </c>
      <c r="BB185" s="73">
        <f t="shared" si="345"/>
        <v>0.94797189264988135</v>
      </c>
      <c r="BC185" s="73">
        <f t="shared" si="346"/>
        <v>0</v>
      </c>
      <c r="BD185" s="73">
        <f t="shared" si="347"/>
        <v>0</v>
      </c>
      <c r="BE185" s="73">
        <f t="shared" si="348"/>
        <v>0</v>
      </c>
      <c r="BF185" s="73">
        <f t="shared" si="349"/>
        <v>0</v>
      </c>
      <c r="BG185" s="73">
        <f t="shared" si="350"/>
        <v>4.1840612423996211</v>
      </c>
      <c r="BH185" s="73">
        <f t="shared" si="351"/>
        <v>3.3379547814465318</v>
      </c>
      <c r="BI185" s="73">
        <f t="shared" si="352"/>
        <v>0</v>
      </c>
      <c r="BJ185" s="73">
        <f t="shared" si="353"/>
        <v>0</v>
      </c>
      <c r="BK185" s="73">
        <f t="shared" si="354"/>
        <v>0</v>
      </c>
      <c r="BL185" s="73">
        <f t="shared" si="355"/>
        <v>0</v>
      </c>
      <c r="BM185" s="73">
        <f t="shared" si="356"/>
        <v>0</v>
      </c>
      <c r="BN185" s="73">
        <f t="shared" si="357"/>
        <v>0</v>
      </c>
      <c r="BQ185">
        <f t="shared" si="362"/>
        <v>49.726166205403302</v>
      </c>
      <c r="BR185">
        <f t="shared" si="363"/>
        <v>0</v>
      </c>
      <c r="BS185">
        <f t="shared" si="364"/>
        <v>2.5932811580392855E-2</v>
      </c>
      <c r="BT185">
        <f t="shared" si="365"/>
        <v>0</v>
      </c>
      <c r="BU185">
        <f t="shared" si="366"/>
        <v>8.6226598504806251</v>
      </c>
      <c r="BV185">
        <f t="shared" si="367"/>
        <v>0</v>
      </c>
      <c r="BW185">
        <f t="shared" si="368"/>
        <v>0</v>
      </c>
      <c r="BX185">
        <f t="shared" si="369"/>
        <v>0.14911366658725886</v>
      </c>
      <c r="BY185">
        <f t="shared" si="370"/>
        <v>1.2966405790196429E-2</v>
      </c>
      <c r="BZ185">
        <f t="shared" si="371"/>
        <v>1.9449608685294641E-2</v>
      </c>
      <c r="CA185">
        <f t="shared" si="372"/>
        <v>0.53162263739805338</v>
      </c>
      <c r="CB185">
        <f t="shared" si="373"/>
        <v>0</v>
      </c>
      <c r="CC185">
        <f t="shared" si="374"/>
        <v>0</v>
      </c>
      <c r="CD185">
        <f t="shared" si="375"/>
        <v>0</v>
      </c>
      <c r="CE185">
        <f t="shared" si="376"/>
        <v>0</v>
      </c>
      <c r="CF185">
        <f t="shared" si="377"/>
        <v>2.5932811580392849</v>
      </c>
      <c r="CG185">
        <f t="shared" si="378"/>
        <v>3.1443534041226329</v>
      </c>
      <c r="CH185">
        <f t="shared" si="379"/>
        <v>0</v>
      </c>
      <c r="CI185">
        <f t="shared" si="380"/>
        <v>0</v>
      </c>
      <c r="CJ185">
        <f t="shared" si="381"/>
        <v>0</v>
      </c>
      <c r="CK185">
        <f t="shared" si="382"/>
        <v>0</v>
      </c>
      <c r="CL185">
        <f t="shared" si="383"/>
        <v>0</v>
      </c>
      <c r="CN185">
        <f t="shared" si="361"/>
        <v>64.825545748087023</v>
      </c>
      <c r="CP185">
        <f t="shared" si="305"/>
        <v>2.4829976467411767</v>
      </c>
      <c r="CQ185">
        <f t="shared" si="306"/>
        <v>0</v>
      </c>
      <c r="CR185">
        <f t="shared" si="307"/>
        <v>9.7369755620999455E-4</v>
      </c>
      <c r="CS185">
        <f t="shared" si="308"/>
        <v>0</v>
      </c>
      <c r="CT185">
        <f t="shared" si="309"/>
        <v>0.42284522609261599</v>
      </c>
      <c r="CU185">
        <f t="shared" si="310"/>
        <v>0</v>
      </c>
      <c r="CV185">
        <f t="shared" si="311"/>
        <v>0</v>
      </c>
      <c r="CW185">
        <f t="shared" si="312"/>
        <v>4.1506935723662876E-3</v>
      </c>
      <c r="CX185">
        <f t="shared" si="313"/>
        <v>3.6555979109660077E-4</v>
      </c>
      <c r="CY185">
        <f t="shared" si="314"/>
        <v>9.650016713120635E-4</v>
      </c>
      <c r="CZ185">
        <f t="shared" si="315"/>
        <v>1.8959437852997627E-2</v>
      </c>
      <c r="DA185">
        <f t="shared" si="316"/>
        <v>0</v>
      </c>
      <c r="DB185">
        <f t="shared" si="317"/>
        <v>0</v>
      </c>
      <c r="DC185">
        <f t="shared" si="318"/>
        <v>0</v>
      </c>
      <c r="DD185">
        <f t="shared" si="319"/>
        <v>0</v>
      </c>
      <c r="DE185">
        <f t="shared" si="320"/>
        <v>0.12552183727198862</v>
      </c>
      <c r="DF185">
        <f t="shared" si="321"/>
        <v>0.10013864344339596</v>
      </c>
      <c r="DG185">
        <f t="shared" si="322"/>
        <v>0</v>
      </c>
      <c r="DH185">
        <f t="shared" si="323"/>
        <v>0</v>
      </c>
      <c r="DI185">
        <f t="shared" si="324"/>
        <v>0</v>
      </c>
      <c r="DJ185">
        <f t="shared" si="325"/>
        <v>0</v>
      </c>
      <c r="DK185">
        <f t="shared" si="326"/>
        <v>0</v>
      </c>
      <c r="DM185">
        <f t="shared" si="327"/>
        <v>3.1569177439931595</v>
      </c>
    </row>
    <row r="186" spans="1:117">
      <c r="A186" s="117" t="s">
        <v>335</v>
      </c>
      <c r="B186" s="117" t="s">
        <v>323</v>
      </c>
      <c r="C186" s="117">
        <v>2.3180000000000001</v>
      </c>
      <c r="F186" s="117">
        <v>5590</v>
      </c>
      <c r="G186" s="117">
        <v>3380</v>
      </c>
      <c r="H186" s="43">
        <f t="shared" si="329"/>
        <v>2.1490720030609795E+22</v>
      </c>
      <c r="I186" s="43">
        <f t="shared" si="330"/>
        <v>6.7762007153287895E+22</v>
      </c>
      <c r="J186" s="42">
        <f t="shared" si="331"/>
        <v>72.433095800000004</v>
      </c>
      <c r="K186" s="42">
        <f t="shared" si="358"/>
        <v>26.481759199999999</v>
      </c>
      <c r="L186" s="42">
        <f t="shared" si="359"/>
        <v>77.694682273947052</v>
      </c>
      <c r="M186" s="79">
        <f t="shared" si="332"/>
        <v>73.925502302563388</v>
      </c>
      <c r="O186" s="52" t="str">
        <f t="shared" si="333"/>
        <v>Rhyolite</v>
      </c>
      <c r="P186" s="117">
        <v>73.813000000000002</v>
      </c>
      <c r="R186" s="117">
        <v>4.8000000000000001E-2</v>
      </c>
      <c r="T186" s="117">
        <v>12.946</v>
      </c>
      <c r="V186" s="117">
        <v>0</v>
      </c>
      <c r="W186" s="117">
        <v>0.81299999999999994</v>
      </c>
      <c r="X186" s="117">
        <v>4.8000000000000001E-2</v>
      </c>
      <c r="Y186" s="117">
        <v>1.9E-2</v>
      </c>
      <c r="Z186" s="117">
        <v>0.746</v>
      </c>
      <c r="AE186" s="117">
        <v>3.5539999999999998</v>
      </c>
      <c r="AF186" s="117">
        <v>4.8319999999999999</v>
      </c>
      <c r="AI186" s="117">
        <v>0</v>
      </c>
      <c r="AM186" s="86">
        <f t="shared" si="360"/>
        <v>96.819000000000003</v>
      </c>
      <c r="AO186" s="71">
        <f t="shared" si="328"/>
        <v>1.4905525091013596</v>
      </c>
      <c r="AQ186" s="97" t="str">
        <f t="shared" si="334"/>
        <v>Rhyolite</v>
      </c>
      <c r="AR186" s="73">
        <f t="shared" si="335"/>
        <v>82.424373137860286</v>
      </c>
      <c r="AS186" s="73">
        <f t="shared" si="336"/>
        <v>0</v>
      </c>
      <c r="AT186" s="73">
        <f t="shared" si="337"/>
        <v>4.0303909792183623E-2</v>
      </c>
      <c r="AU186" s="73">
        <f t="shared" si="338"/>
        <v>0</v>
      </c>
      <c r="AV186" s="73">
        <f t="shared" si="339"/>
        <v>8.5184091498201457</v>
      </c>
      <c r="AW186" s="73">
        <f t="shared" si="340"/>
        <v>0</v>
      </c>
      <c r="AX186" s="73">
        <f t="shared" si="341"/>
        <v>0</v>
      </c>
      <c r="AY186" s="73">
        <f t="shared" si="342"/>
        <v>0.7591305918051261</v>
      </c>
      <c r="AZ186" s="73">
        <f t="shared" si="343"/>
        <v>4.5394451542084463E-2</v>
      </c>
      <c r="BA186" s="73">
        <f t="shared" si="344"/>
        <v>3.1622304977835303E-2</v>
      </c>
      <c r="BB186" s="73">
        <f t="shared" si="345"/>
        <v>0.89244927808748742</v>
      </c>
      <c r="BC186" s="73">
        <f t="shared" si="346"/>
        <v>0</v>
      </c>
      <c r="BD186" s="73">
        <f t="shared" si="347"/>
        <v>0</v>
      </c>
      <c r="BE186" s="73">
        <f t="shared" si="348"/>
        <v>0</v>
      </c>
      <c r="BF186" s="73">
        <f t="shared" si="349"/>
        <v>0</v>
      </c>
      <c r="BG186" s="73">
        <f t="shared" si="350"/>
        <v>3.8469679811274831</v>
      </c>
      <c r="BH186" s="73">
        <f t="shared" si="351"/>
        <v>3.4413491949873762</v>
      </c>
      <c r="BI186" s="73">
        <f t="shared" si="352"/>
        <v>0</v>
      </c>
      <c r="BJ186" s="73">
        <f t="shared" si="353"/>
        <v>0</v>
      </c>
      <c r="BK186" s="73">
        <f t="shared" si="354"/>
        <v>0</v>
      </c>
      <c r="BL186" s="73">
        <f t="shared" si="355"/>
        <v>0</v>
      </c>
      <c r="BM186" s="73">
        <f t="shared" si="356"/>
        <v>0</v>
      </c>
      <c r="BN186" s="73">
        <f t="shared" si="357"/>
        <v>0</v>
      </c>
      <c r="BQ186">
        <f t="shared" si="362"/>
        <v>49.520563381226459</v>
      </c>
      <c r="BR186">
        <f t="shared" si="363"/>
        <v>0</v>
      </c>
      <c r="BS186">
        <f t="shared" si="364"/>
        <v>3.2202823923954717E-2</v>
      </c>
      <c r="BT186">
        <f t="shared" si="365"/>
        <v>0</v>
      </c>
      <c r="BU186">
        <f t="shared" si="366"/>
        <v>8.6853699691566195</v>
      </c>
      <c r="BV186">
        <f t="shared" si="367"/>
        <v>0</v>
      </c>
      <c r="BW186">
        <f t="shared" si="368"/>
        <v>0</v>
      </c>
      <c r="BX186">
        <f t="shared" si="369"/>
        <v>0.54543533021198309</v>
      </c>
      <c r="BY186">
        <f t="shared" si="370"/>
        <v>3.2202823923954717E-2</v>
      </c>
      <c r="BZ186">
        <f t="shared" si="371"/>
        <v>1.2746951136565411E-2</v>
      </c>
      <c r="CA186">
        <f t="shared" si="372"/>
        <v>0.50048555515146298</v>
      </c>
      <c r="CB186">
        <f t="shared" si="373"/>
        <v>0</v>
      </c>
      <c r="CC186">
        <f t="shared" si="374"/>
        <v>0</v>
      </c>
      <c r="CD186">
        <f t="shared" si="375"/>
        <v>0</v>
      </c>
      <c r="CE186">
        <f t="shared" si="376"/>
        <v>0</v>
      </c>
      <c r="CF186">
        <f t="shared" si="377"/>
        <v>2.384350754702814</v>
      </c>
      <c r="CG186">
        <f t="shared" si="378"/>
        <v>3.2417509416781085</v>
      </c>
      <c r="CH186">
        <f t="shared" si="379"/>
        <v>0</v>
      </c>
      <c r="CI186">
        <f t="shared" si="380"/>
        <v>0</v>
      </c>
      <c r="CJ186">
        <f t="shared" si="381"/>
        <v>0</v>
      </c>
      <c r="CK186">
        <f t="shared" si="382"/>
        <v>0</v>
      </c>
      <c r="CL186">
        <f t="shared" si="383"/>
        <v>0</v>
      </c>
      <c r="CN186">
        <f t="shared" si="361"/>
        <v>64.955108531111918</v>
      </c>
      <c r="CP186">
        <f t="shared" si="305"/>
        <v>2.4727311941358083</v>
      </c>
      <c r="CQ186">
        <f t="shared" si="306"/>
        <v>0</v>
      </c>
      <c r="CR186">
        <f t="shared" si="307"/>
        <v>1.2091172937655087E-3</v>
      </c>
      <c r="CS186">
        <f t="shared" si="308"/>
        <v>0</v>
      </c>
      <c r="CT186">
        <f t="shared" si="309"/>
        <v>0.42592045749100726</v>
      </c>
      <c r="CU186">
        <f t="shared" si="310"/>
        <v>0</v>
      </c>
      <c r="CV186">
        <f t="shared" si="311"/>
        <v>0</v>
      </c>
      <c r="CW186">
        <f t="shared" si="312"/>
        <v>1.5182611836102523E-2</v>
      </c>
      <c r="CX186">
        <f t="shared" si="313"/>
        <v>9.0788903084168928E-4</v>
      </c>
      <c r="CY186">
        <f t="shared" si="314"/>
        <v>6.3244609955670603E-4</v>
      </c>
      <c r="CZ186">
        <f t="shared" si="315"/>
        <v>1.7848985561749749E-2</v>
      </c>
      <c r="DA186">
        <f t="shared" si="316"/>
        <v>0</v>
      </c>
      <c r="DB186">
        <f t="shared" si="317"/>
        <v>0</v>
      </c>
      <c r="DC186">
        <f t="shared" si="318"/>
        <v>0</v>
      </c>
      <c r="DD186">
        <f t="shared" si="319"/>
        <v>0</v>
      </c>
      <c r="DE186">
        <f t="shared" si="320"/>
        <v>0.1154090394338245</v>
      </c>
      <c r="DF186">
        <f t="shared" si="321"/>
        <v>0.10324047584962129</v>
      </c>
      <c r="DG186">
        <f t="shared" si="322"/>
        <v>0</v>
      </c>
      <c r="DH186">
        <f t="shared" si="323"/>
        <v>0</v>
      </c>
      <c r="DI186">
        <f t="shared" si="324"/>
        <v>0</v>
      </c>
      <c r="DJ186">
        <f t="shared" si="325"/>
        <v>0</v>
      </c>
      <c r="DK186">
        <f t="shared" si="326"/>
        <v>0</v>
      </c>
      <c r="DM186">
        <f t="shared" si="327"/>
        <v>3.1530822167322778</v>
      </c>
    </row>
    <row r="187" spans="1:117">
      <c r="A187" s="117" t="s">
        <v>335</v>
      </c>
      <c r="B187" s="117" t="s">
        <v>323</v>
      </c>
      <c r="C187" s="117">
        <v>2.27</v>
      </c>
      <c r="F187" s="117">
        <v>5570</v>
      </c>
      <c r="G187" s="117">
        <v>3320</v>
      </c>
      <c r="H187" s="43">
        <f t="shared" si="329"/>
        <v>2.1069963736936088E+22</v>
      </c>
      <c r="I187" s="43">
        <f t="shared" si="330"/>
        <v>6.6428865916871421E+22</v>
      </c>
      <c r="J187" s="42">
        <f t="shared" si="331"/>
        <v>70.426523000000003</v>
      </c>
      <c r="K187" s="42">
        <f t="shared" si="358"/>
        <v>25.020848000000001</v>
      </c>
      <c r="L187" s="42">
        <f t="shared" si="359"/>
        <v>73.346222762557218</v>
      </c>
      <c r="M187" s="79">
        <f t="shared" si="332"/>
        <v>69.651364109343504</v>
      </c>
      <c r="O187" s="52" t="str">
        <f t="shared" si="333"/>
        <v>Rhyolite</v>
      </c>
      <c r="P187" s="117">
        <v>71.948859999999996</v>
      </c>
      <c r="R187" s="117">
        <v>4.7050000000000008E-2</v>
      </c>
      <c r="T187" s="117">
        <v>12.449430000000001</v>
      </c>
      <c r="V187" s="117">
        <v>0</v>
      </c>
      <c r="W187" s="117">
        <v>0.63047000000000009</v>
      </c>
      <c r="X187" s="117">
        <v>5.6459999999999996E-2</v>
      </c>
      <c r="Y187" s="117">
        <v>1.882E-2</v>
      </c>
      <c r="Z187" s="117">
        <v>0.70574999999999999</v>
      </c>
      <c r="AE187" s="117">
        <v>3.6228500000000001</v>
      </c>
      <c r="AF187" s="117">
        <v>4.6203100000000008</v>
      </c>
      <c r="AI187" s="117">
        <v>0</v>
      </c>
      <c r="AM187" s="86">
        <f t="shared" si="360"/>
        <v>94.100000000000009</v>
      </c>
      <c r="AO187" s="71">
        <f t="shared" si="328"/>
        <v>1.4503629826539819</v>
      </c>
      <c r="AQ187" s="97" t="str">
        <f t="shared" si="334"/>
        <v>Rhyolite</v>
      </c>
      <c r="AR187" s="73">
        <f t="shared" si="335"/>
        <v>82.569049707762005</v>
      </c>
      <c r="AS187" s="73">
        <f t="shared" si="336"/>
        <v>0</v>
      </c>
      <c r="AT187" s="73">
        <f t="shared" si="337"/>
        <v>4.0600944962611372E-2</v>
      </c>
      <c r="AU187" s="73">
        <f t="shared" si="338"/>
        <v>0</v>
      </c>
      <c r="AV187" s="73">
        <f t="shared" si="339"/>
        <v>8.4186592974190546</v>
      </c>
      <c r="AW187" s="73">
        <f t="shared" si="340"/>
        <v>0</v>
      </c>
      <c r="AX187" s="73">
        <f t="shared" si="341"/>
        <v>0</v>
      </c>
      <c r="AY187" s="73">
        <f t="shared" si="342"/>
        <v>0.60500776247278354</v>
      </c>
      <c r="AZ187" s="73">
        <f t="shared" si="343"/>
        <v>5.4874804102272023E-2</v>
      </c>
      <c r="BA187" s="73">
        <f t="shared" si="344"/>
        <v>3.2190677276235646E-2</v>
      </c>
      <c r="BB187" s="73">
        <f t="shared" si="345"/>
        <v>0.86769316222699222</v>
      </c>
      <c r="BC187" s="73">
        <f t="shared" si="346"/>
        <v>0</v>
      </c>
      <c r="BD187" s="73">
        <f t="shared" si="347"/>
        <v>0</v>
      </c>
      <c r="BE187" s="73">
        <f t="shared" si="348"/>
        <v>0</v>
      </c>
      <c r="BF187" s="73">
        <f t="shared" si="349"/>
        <v>0</v>
      </c>
      <c r="BG187" s="73">
        <f t="shared" si="350"/>
        <v>4.0301580137701505</v>
      </c>
      <c r="BH187" s="73">
        <f t="shared" si="351"/>
        <v>3.3817656300078776</v>
      </c>
      <c r="BI187" s="73">
        <f t="shared" si="352"/>
        <v>0</v>
      </c>
      <c r="BJ187" s="73">
        <f t="shared" si="353"/>
        <v>0</v>
      </c>
      <c r="BK187" s="73">
        <f t="shared" si="354"/>
        <v>0</v>
      </c>
      <c r="BL187" s="73">
        <f t="shared" si="355"/>
        <v>0</v>
      </c>
      <c r="BM187" s="73">
        <f t="shared" si="356"/>
        <v>0</v>
      </c>
      <c r="BN187" s="73">
        <f t="shared" si="357"/>
        <v>0</v>
      </c>
      <c r="BQ187">
        <f t="shared" si="362"/>
        <v>49.607485064423415</v>
      </c>
      <c r="BR187">
        <f t="shared" si="363"/>
        <v>0</v>
      </c>
      <c r="BS187">
        <f t="shared" si="364"/>
        <v>3.2440155025126489E-2</v>
      </c>
      <c r="BT187">
        <f t="shared" si="365"/>
        <v>0</v>
      </c>
      <c r="BU187">
        <f t="shared" si="366"/>
        <v>8.5836650196484676</v>
      </c>
      <c r="BV187">
        <f t="shared" si="367"/>
        <v>0</v>
      </c>
      <c r="BW187">
        <f t="shared" si="368"/>
        <v>0</v>
      </c>
      <c r="BX187">
        <f t="shared" si="369"/>
        <v>0.43469807733669497</v>
      </c>
      <c r="BY187">
        <f t="shared" si="370"/>
        <v>3.8928186030151773E-2</v>
      </c>
      <c r="BZ187">
        <f t="shared" si="371"/>
        <v>1.2976062010050589E-2</v>
      </c>
      <c r="CA187">
        <f t="shared" si="372"/>
        <v>0.48660232537689718</v>
      </c>
      <c r="CB187">
        <f t="shared" si="373"/>
        <v>0</v>
      </c>
      <c r="CC187">
        <f t="shared" si="374"/>
        <v>0</v>
      </c>
      <c r="CD187">
        <f t="shared" si="375"/>
        <v>0</v>
      </c>
      <c r="CE187">
        <f t="shared" si="376"/>
        <v>0</v>
      </c>
      <c r="CF187">
        <f t="shared" si="377"/>
        <v>2.4978919369347392</v>
      </c>
      <c r="CG187">
        <f t="shared" si="378"/>
        <v>3.1856232234674207</v>
      </c>
      <c r="CH187">
        <f t="shared" si="379"/>
        <v>0</v>
      </c>
      <c r="CI187">
        <f t="shared" si="380"/>
        <v>0</v>
      </c>
      <c r="CJ187">
        <f t="shared" si="381"/>
        <v>0</v>
      </c>
      <c r="CK187">
        <f t="shared" si="382"/>
        <v>0</v>
      </c>
      <c r="CL187">
        <f t="shared" si="383"/>
        <v>0</v>
      </c>
      <c r="CN187">
        <f t="shared" si="361"/>
        <v>64.880310050252973</v>
      </c>
      <c r="CP187">
        <f t="shared" si="305"/>
        <v>2.4770714912328602</v>
      </c>
      <c r="CQ187">
        <f t="shared" si="306"/>
        <v>0</v>
      </c>
      <c r="CR187">
        <f t="shared" si="307"/>
        <v>1.2180283488783411E-3</v>
      </c>
      <c r="CS187">
        <f t="shared" si="308"/>
        <v>0</v>
      </c>
      <c r="CT187">
        <f t="shared" si="309"/>
        <v>0.42093296487095277</v>
      </c>
      <c r="CU187">
        <f t="shared" si="310"/>
        <v>0</v>
      </c>
      <c r="CV187">
        <f t="shared" si="311"/>
        <v>0</v>
      </c>
      <c r="CW187">
        <f t="shared" si="312"/>
        <v>1.2100155249455671E-2</v>
      </c>
      <c r="CX187">
        <f t="shared" si="313"/>
        <v>1.0974960820454404E-3</v>
      </c>
      <c r="CY187">
        <f t="shared" si="314"/>
        <v>6.4381354552471288E-4</v>
      </c>
      <c r="CZ187">
        <f t="shared" si="315"/>
        <v>1.7353863244539844E-2</v>
      </c>
      <c r="DA187">
        <f t="shared" si="316"/>
        <v>0</v>
      </c>
      <c r="DB187">
        <f t="shared" si="317"/>
        <v>0</v>
      </c>
      <c r="DC187">
        <f t="shared" si="318"/>
        <v>0</v>
      </c>
      <c r="DD187">
        <f t="shared" si="319"/>
        <v>0</v>
      </c>
      <c r="DE187">
        <f t="shared" si="320"/>
        <v>0.12090474041310452</v>
      </c>
      <c r="DF187">
        <f t="shared" si="321"/>
        <v>0.10145296890023633</v>
      </c>
      <c r="DG187">
        <f t="shared" si="322"/>
        <v>0</v>
      </c>
      <c r="DH187">
        <f t="shared" si="323"/>
        <v>0</v>
      </c>
      <c r="DI187">
        <f t="shared" si="324"/>
        <v>0</v>
      </c>
      <c r="DJ187">
        <f t="shared" si="325"/>
        <v>0</v>
      </c>
      <c r="DK187">
        <f t="shared" si="326"/>
        <v>0</v>
      </c>
      <c r="DM187">
        <f t="shared" si="327"/>
        <v>3.1527755218875977</v>
      </c>
    </row>
    <row r="188" spans="1:117" ht="31">
      <c r="A188" s="118" t="s">
        <v>336</v>
      </c>
      <c r="B188" s="118" t="s">
        <v>337</v>
      </c>
      <c r="C188" s="118">
        <v>3.06</v>
      </c>
      <c r="F188" s="118">
        <v>6039.88</v>
      </c>
      <c r="G188" s="118">
        <v>3502.75</v>
      </c>
      <c r="H188" s="43">
        <f t="shared" si="329"/>
        <v>2.799714093930227E+22</v>
      </c>
      <c r="I188" s="43">
        <f t="shared" si="330"/>
        <v>8.3868148292570761E+22</v>
      </c>
      <c r="J188" s="42">
        <f t="shared" si="331"/>
        <v>111.629260268064</v>
      </c>
      <c r="K188" s="42">
        <f t="shared" si="358"/>
        <v>37.543928141249999</v>
      </c>
      <c r="L188" s="42">
        <f t="shared" si="359"/>
        <v>110.35118716994829</v>
      </c>
      <c r="M188" s="79">
        <f t="shared" si="332"/>
        <v>105.80003039450261</v>
      </c>
      <c r="O188" s="52" t="str">
        <f t="shared" si="333"/>
        <v>Phonotephrite</v>
      </c>
      <c r="P188" s="118">
        <v>50.76</v>
      </c>
      <c r="R188" s="118">
        <v>0.84</v>
      </c>
      <c r="T188" s="118">
        <v>17.47</v>
      </c>
      <c r="V188" s="118">
        <v>0</v>
      </c>
      <c r="W188" s="118">
        <v>6.03</v>
      </c>
      <c r="X188" s="118">
        <v>0.14000000000000001</v>
      </c>
      <c r="Y188" s="118">
        <v>4</v>
      </c>
      <c r="Z188" s="118">
        <v>10.08</v>
      </c>
      <c r="AE188" s="118">
        <v>2.95</v>
      </c>
      <c r="AF188" s="118">
        <v>7.18</v>
      </c>
      <c r="AI188" s="118">
        <v>0.55000000000000004</v>
      </c>
      <c r="AM188" s="86">
        <f t="shared" si="360"/>
        <v>99.999999999999986</v>
      </c>
      <c r="AO188" s="71">
        <f t="shared" si="328"/>
        <v>1.5192925544448108</v>
      </c>
      <c r="AQ188" s="97" t="str">
        <f t="shared" si="334"/>
        <v>Phonotephrite</v>
      </c>
      <c r="AR188" s="73">
        <f t="shared" si="335"/>
        <v>55.609665138264027</v>
      </c>
      <c r="AS188" s="73">
        <f t="shared" si="336"/>
        <v>0</v>
      </c>
      <c r="AT188" s="73">
        <f t="shared" si="337"/>
        <v>0.6919761040114657</v>
      </c>
      <c r="AU188" s="73">
        <f t="shared" si="338"/>
        <v>0</v>
      </c>
      <c r="AV188" s="73">
        <f t="shared" si="339"/>
        <v>11.277729369976047</v>
      </c>
      <c r="AW188" s="73">
        <f t="shared" si="340"/>
        <v>0</v>
      </c>
      <c r="AX188" s="73">
        <f t="shared" si="341"/>
        <v>0</v>
      </c>
      <c r="AY188" s="73">
        <f t="shared" si="342"/>
        <v>5.5239422570900389</v>
      </c>
      <c r="AZ188" s="73">
        <f t="shared" si="343"/>
        <v>0.12989589961121165</v>
      </c>
      <c r="BA188" s="73">
        <f t="shared" si="344"/>
        <v>6.5313925069421641</v>
      </c>
      <c r="BB188" s="73">
        <f t="shared" si="345"/>
        <v>11.830718411665361</v>
      </c>
      <c r="BC188" s="73">
        <f t="shared" si="346"/>
        <v>0</v>
      </c>
      <c r="BD188" s="73">
        <f t="shared" si="347"/>
        <v>0</v>
      </c>
      <c r="BE188" s="73">
        <f t="shared" si="348"/>
        <v>0</v>
      </c>
      <c r="BF188" s="73">
        <f t="shared" si="349"/>
        <v>0</v>
      </c>
      <c r="BG188" s="73">
        <f t="shared" si="350"/>
        <v>3.1327737748740478</v>
      </c>
      <c r="BH188" s="73">
        <f t="shared" si="351"/>
        <v>5.0168617341712878</v>
      </c>
      <c r="BI188" s="73">
        <f t="shared" si="352"/>
        <v>0</v>
      </c>
      <c r="BJ188" s="73">
        <f t="shared" si="353"/>
        <v>0</v>
      </c>
      <c r="BK188" s="73">
        <f t="shared" si="354"/>
        <v>0.25504480339432378</v>
      </c>
      <c r="BL188" s="73">
        <f t="shared" si="355"/>
        <v>0</v>
      </c>
      <c r="BM188" s="73">
        <f t="shared" si="356"/>
        <v>0</v>
      </c>
      <c r="BN188" s="73">
        <f t="shared" si="357"/>
        <v>0</v>
      </c>
      <c r="BQ188">
        <f t="shared" si="362"/>
        <v>33.410286815069028</v>
      </c>
      <c r="BR188">
        <f t="shared" si="363"/>
        <v>0</v>
      </c>
      <c r="BS188">
        <f t="shared" si="364"/>
        <v>0.55288890710516114</v>
      </c>
      <c r="BT188">
        <f t="shared" si="365"/>
        <v>0</v>
      </c>
      <c r="BU188">
        <f t="shared" si="366"/>
        <v>11.498772865627577</v>
      </c>
      <c r="BV188">
        <f t="shared" si="367"/>
        <v>0</v>
      </c>
      <c r="BW188">
        <f t="shared" si="368"/>
        <v>0</v>
      </c>
      <c r="BX188">
        <f t="shared" si="369"/>
        <v>3.9689525117191931</v>
      </c>
      <c r="BY188">
        <f t="shared" si="370"/>
        <v>9.2148151184193533E-2</v>
      </c>
      <c r="BZ188">
        <f t="shared" si="371"/>
        <v>2.6328043195483866</v>
      </c>
      <c r="CA188">
        <f t="shared" si="372"/>
        <v>6.6346668852619333</v>
      </c>
      <c r="CB188">
        <f t="shared" si="373"/>
        <v>0</v>
      </c>
      <c r="CC188">
        <f t="shared" si="374"/>
        <v>0</v>
      </c>
      <c r="CD188">
        <f t="shared" si="375"/>
        <v>0</v>
      </c>
      <c r="CE188">
        <f t="shared" si="376"/>
        <v>0</v>
      </c>
      <c r="CF188">
        <f t="shared" si="377"/>
        <v>1.9416931856669348</v>
      </c>
      <c r="CG188">
        <f t="shared" si="378"/>
        <v>4.7258837535893532</v>
      </c>
      <c r="CH188">
        <f t="shared" si="379"/>
        <v>0</v>
      </c>
      <c r="CI188">
        <f t="shared" si="380"/>
        <v>0</v>
      </c>
      <c r="CJ188">
        <f t="shared" si="381"/>
        <v>0.36201059393790319</v>
      </c>
      <c r="CK188">
        <f t="shared" si="382"/>
        <v>0</v>
      </c>
      <c r="CL188">
        <f t="shared" si="383"/>
        <v>0</v>
      </c>
      <c r="CN188">
        <f t="shared" si="361"/>
        <v>65.82010798870968</v>
      </c>
      <c r="CP188">
        <f t="shared" si="305"/>
        <v>1.6682899541479208</v>
      </c>
      <c r="CQ188">
        <f t="shared" si="306"/>
        <v>0</v>
      </c>
      <c r="CR188">
        <f t="shared" si="307"/>
        <v>2.0759283120343971E-2</v>
      </c>
      <c r="CS188">
        <f t="shared" si="308"/>
        <v>0</v>
      </c>
      <c r="CT188">
        <f t="shared" si="309"/>
        <v>0.56388646849880231</v>
      </c>
      <c r="CU188">
        <f t="shared" si="310"/>
        <v>0</v>
      </c>
      <c r="CV188">
        <f t="shared" si="311"/>
        <v>0</v>
      </c>
      <c r="CW188">
        <f t="shared" si="312"/>
        <v>0.11047884514180079</v>
      </c>
      <c r="CX188">
        <f t="shared" si="313"/>
        <v>2.5979179922242328E-3</v>
      </c>
      <c r="CY188">
        <f t="shared" si="314"/>
        <v>0.13062785013884329</v>
      </c>
      <c r="CZ188">
        <f t="shared" si="315"/>
        <v>0.2366143682333072</v>
      </c>
      <c r="DA188">
        <f t="shared" si="316"/>
        <v>0</v>
      </c>
      <c r="DB188">
        <f t="shared" si="317"/>
        <v>0</v>
      </c>
      <c r="DC188">
        <f t="shared" si="318"/>
        <v>0</v>
      </c>
      <c r="DD188">
        <f t="shared" si="319"/>
        <v>0</v>
      </c>
      <c r="DE188">
        <f t="shared" si="320"/>
        <v>9.3983213246221442E-2</v>
      </c>
      <c r="DF188">
        <f t="shared" si="321"/>
        <v>0.15050585202513864</v>
      </c>
      <c r="DG188">
        <f t="shared" si="322"/>
        <v>0</v>
      </c>
      <c r="DH188">
        <f t="shared" si="323"/>
        <v>0</v>
      </c>
      <c r="DI188">
        <f t="shared" si="324"/>
        <v>1.7853136237602665E-2</v>
      </c>
      <c r="DJ188">
        <f t="shared" si="325"/>
        <v>0</v>
      </c>
      <c r="DK188">
        <f t="shared" si="326"/>
        <v>0</v>
      </c>
      <c r="DM188">
        <f t="shared" si="327"/>
        <v>2.9955968887822051</v>
      </c>
    </row>
    <row r="189" spans="1:117">
      <c r="A189" s="117" t="s">
        <v>339</v>
      </c>
      <c r="B189" s="117" t="s">
        <v>319</v>
      </c>
      <c r="C189" s="117">
        <v>2.7170000000000001</v>
      </c>
      <c r="F189" s="117">
        <v>6704</v>
      </c>
      <c r="G189" s="117">
        <v>3796</v>
      </c>
      <c r="H189" s="43">
        <f t="shared" si="329"/>
        <v>2.6697612874489721E+22</v>
      </c>
      <c r="I189" s="43">
        <f t="shared" si="330"/>
        <v>7.8094429488896595E+22</v>
      </c>
      <c r="J189" s="42">
        <f t="shared" si="331"/>
        <v>122.11180467200001</v>
      </c>
      <c r="K189" s="42">
        <f t="shared" si="358"/>
        <v>39.150926671999997</v>
      </c>
      <c r="L189" s="42">
        <f t="shared" si="359"/>
        <v>115.27804009746446</v>
      </c>
      <c r="M189" s="79">
        <f t="shared" si="332"/>
        <v>111.09134325321448</v>
      </c>
      <c r="O189" s="52" t="str">
        <f t="shared" si="333"/>
        <v>Basalt</v>
      </c>
      <c r="P189" s="117">
        <v>52.12</v>
      </c>
      <c r="R189" s="117">
        <v>0.64</v>
      </c>
      <c r="T189" s="117">
        <v>20.21</v>
      </c>
      <c r="V189" s="117">
        <v>0</v>
      </c>
      <c r="W189" s="117">
        <v>0</v>
      </c>
      <c r="X189" s="117">
        <v>0</v>
      </c>
      <c r="Y189" s="117">
        <v>11.48</v>
      </c>
      <c r="Z189" s="117">
        <v>13.11</v>
      </c>
      <c r="AE189" s="117">
        <v>2.44</v>
      </c>
      <c r="AF189" s="117">
        <v>0</v>
      </c>
      <c r="AI189" s="117">
        <v>0</v>
      </c>
      <c r="AM189" s="86">
        <f t="shared" si="360"/>
        <v>100</v>
      </c>
      <c r="AO189" s="71">
        <f t="shared" si="328"/>
        <v>1.6316685599252805</v>
      </c>
      <c r="AQ189" s="97" t="str">
        <f t="shared" si="334"/>
        <v>Basalt</v>
      </c>
      <c r="AR189" s="73">
        <f t="shared" ref="AR189:AR202" si="384">100*P189/$AR$3/$AO189</f>
        <v>53.167046788236632</v>
      </c>
      <c r="AS189" s="73">
        <f t="shared" ref="AS189:AS202" si="385">100*Q189/$AS$3/$AO189</f>
        <v>0</v>
      </c>
      <c r="AT189" s="73">
        <f t="shared" ref="AT189:AT202" si="386">100*R189/$AT$3/$AO189</f>
        <v>0.49090928834293163</v>
      </c>
      <c r="AU189" s="73">
        <f t="shared" ref="AU189:AU202" si="387">100*S189/$AU$3/$AO189</f>
        <v>0</v>
      </c>
      <c r="AV189" s="73">
        <f t="shared" ref="AV189:AV202" si="388">100*T189/$AV$3/$AO189</f>
        <v>12.14799323449623</v>
      </c>
      <c r="AW189" s="73">
        <f t="shared" ref="AW189:AW202" si="389">100*U189/$AW$3/$AO189</f>
        <v>0</v>
      </c>
      <c r="AX189" s="73">
        <f t="shared" ref="AX189:AX202" si="390">100*V189/$AX$3/$AO189</f>
        <v>0</v>
      </c>
      <c r="AY189" s="73">
        <f t="shared" ref="AY189:AY202" si="391">100*W189/$AY$3/$AO189</f>
        <v>0</v>
      </c>
      <c r="AZ189" s="73">
        <f t="shared" ref="AZ189:AZ202" si="392">100*X189/$AZ$3/$AO189</f>
        <v>0</v>
      </c>
      <c r="BA189" s="73">
        <f t="shared" ref="BA189:BA202" si="393">100*Y189/$BA$3/$AO189</f>
        <v>17.454087329102997</v>
      </c>
      <c r="BB189" s="73">
        <f t="shared" ref="BB189:BB202" si="394">100*Z189/$BB$3/$AO189</f>
        <v>14.327246777400845</v>
      </c>
      <c r="BC189" s="73">
        <f t="shared" ref="BC189:BC202" si="395">100*AA189/$BC$3/$AO189</f>
        <v>0</v>
      </c>
      <c r="BD189" s="73">
        <f t="shared" ref="BD189:BD202" si="396">100*AB189/$BD$3/$AO189</f>
        <v>0</v>
      </c>
      <c r="BE189" s="73">
        <f t="shared" ref="BE189:BE202" si="397">100*AC189/$BE$3/$AO189</f>
        <v>0</v>
      </c>
      <c r="BF189" s="73">
        <f t="shared" ref="BF189:BF202" si="398">100*AD189/$BF$3/$AO189</f>
        <v>0</v>
      </c>
      <c r="BG189" s="73">
        <f t="shared" ref="BG189:BG202" si="399">100*AE189/$BG$3/$AO189</f>
        <v>2.412716582420352</v>
      </c>
      <c r="BH189" s="73">
        <f t="shared" ref="BH189:BH202" si="400">100*AF189/$BH$3/$AO189</f>
        <v>0</v>
      </c>
      <c r="BI189" s="73">
        <f t="shared" ref="BI189:BI202" si="401">100*AG189/$BI$3/$AO189</f>
        <v>0</v>
      </c>
      <c r="BJ189" s="73">
        <f t="shared" ref="BJ189:BJ202" si="402">100*AH189/$BJ$3/$AO189</f>
        <v>0</v>
      </c>
      <c r="BK189" s="73">
        <f t="shared" ref="BK189:BK202" si="403">100*AI189/$BK$3/$AO189</f>
        <v>0</v>
      </c>
      <c r="BL189" s="73">
        <f t="shared" ref="BL189:BL202" si="404">100*AJ189/$BL$3/$AO189</f>
        <v>0</v>
      </c>
      <c r="BM189" s="73">
        <f t="shared" ref="BM189:BM202" si="405">100*AK189/$BM$3/$AO189</f>
        <v>0</v>
      </c>
      <c r="BN189" s="73">
        <f t="shared" ref="BN189:BN202" si="406">100*AL189/$BN$3/$AO189</f>
        <v>0</v>
      </c>
      <c r="BQ189">
        <f t="shared" ref="BQ189:BQ202" si="407">(AR189/100)*$AR$3</f>
        <v>31.942761710372565</v>
      </c>
      <c r="BR189">
        <f t="shared" ref="BR189:BR202" si="408">(AS189/100)*$AS$3</f>
        <v>0</v>
      </c>
      <c r="BS189">
        <f t="shared" ref="BS189:BS202" si="409">(AT189/100)*$AT$3</f>
        <v>0.3922365213860024</v>
      </c>
      <c r="BT189">
        <f t="shared" ref="BT189:BT202" si="410">(AU189/100)*$AU$3</f>
        <v>0</v>
      </c>
      <c r="BU189">
        <f t="shared" ref="BU189:BU202" si="411">(AV189/100)*$AV$3</f>
        <v>12.386093901892355</v>
      </c>
      <c r="BV189">
        <f t="shared" ref="BV189:BV202" si="412">(AW189/100)*$AW$3</f>
        <v>0</v>
      </c>
      <c r="BW189">
        <f t="shared" ref="BW189:BW202" si="413">(AX189/100)*$AX$3</f>
        <v>0</v>
      </c>
      <c r="BX189">
        <f t="shared" ref="BX189:BX202" si="414">(AY189/100)*$AY$3</f>
        <v>0</v>
      </c>
      <c r="BY189">
        <f t="shared" ref="BY189:BY202" si="415">(AZ189/100)*$AZ$3</f>
        <v>0</v>
      </c>
      <c r="BZ189">
        <f t="shared" ref="BZ189:BZ202" si="416">(BA189/100)*$BA$3</f>
        <v>7.0357426023614185</v>
      </c>
      <c r="CA189">
        <f t="shared" ref="CA189:CA202" si="417">(BB189/100)*$BB$3</f>
        <v>8.0347199927663944</v>
      </c>
      <c r="CB189">
        <f t="shared" ref="CB189:CB202" si="418">(BC189/100)*$BC$3</f>
        <v>0</v>
      </c>
      <c r="CC189">
        <f t="shared" ref="CC189:CC202" si="419">(BD189/100)*$BD$3</f>
        <v>0</v>
      </c>
      <c r="CD189">
        <f t="shared" ref="CD189:CD202" si="420">(BE189/100)*$BE$3</f>
        <v>0</v>
      </c>
      <c r="CE189">
        <f t="shared" ref="CE189:CE202" si="421">(BF189/100)*$BF$3</f>
        <v>0</v>
      </c>
      <c r="CF189">
        <f t="shared" ref="CF189:CF202" si="422">(BG189/100)*$BG$3</f>
        <v>1.4954017377841342</v>
      </c>
      <c r="CG189">
        <f t="shared" ref="CG189:CG202" si="423">(BH189/100)*$BH$3</f>
        <v>0</v>
      </c>
      <c r="CH189">
        <f t="shared" ref="CH189:CH202" si="424">(BI189/100)*$BI$3</f>
        <v>0</v>
      </c>
      <c r="CI189">
        <f t="shared" ref="CI189:CI202" si="425">(BJ189/100)*$BJ$3</f>
        <v>0</v>
      </c>
      <c r="CJ189">
        <f t="shared" ref="CJ189:CJ202" si="426">(BK189/100)*$BK$3</f>
        <v>0</v>
      </c>
      <c r="CK189">
        <f t="shared" ref="CK189:CK202" si="427">(BL189/100)*$BL$3</f>
        <v>0</v>
      </c>
      <c r="CL189">
        <f t="shared" ref="CL189:CL202" si="428">(BN189/100)*$BN$3</f>
        <v>0</v>
      </c>
      <c r="CN189">
        <f t="shared" ref="CN189:CN202" si="429">SUM(BQ189:CL189)</f>
        <v>61.28695646656287</v>
      </c>
      <c r="CP189">
        <f t="shared" si="305"/>
        <v>1.5950114036470988</v>
      </c>
      <c r="CQ189">
        <f t="shared" si="306"/>
        <v>0</v>
      </c>
      <c r="CR189">
        <f t="shared" si="307"/>
        <v>1.4727278650287948E-2</v>
      </c>
      <c r="CS189">
        <f t="shared" si="308"/>
        <v>0</v>
      </c>
      <c r="CT189">
        <f t="shared" si="309"/>
        <v>0.60739966172481141</v>
      </c>
      <c r="CU189">
        <f t="shared" si="310"/>
        <v>0</v>
      </c>
      <c r="CV189">
        <f t="shared" si="311"/>
        <v>0</v>
      </c>
      <c r="CW189">
        <f t="shared" si="312"/>
        <v>0</v>
      </c>
      <c r="CX189">
        <f t="shared" si="313"/>
        <v>0</v>
      </c>
      <c r="CY189">
        <f t="shared" si="314"/>
        <v>0.34908174658205993</v>
      </c>
      <c r="CZ189">
        <f t="shared" si="315"/>
        <v>0.28654493554801691</v>
      </c>
      <c r="DA189">
        <f t="shared" si="316"/>
        <v>0</v>
      </c>
      <c r="DB189">
        <f t="shared" si="317"/>
        <v>0</v>
      </c>
      <c r="DC189">
        <f t="shared" si="318"/>
        <v>0</v>
      </c>
      <c r="DD189">
        <f t="shared" si="319"/>
        <v>0</v>
      </c>
      <c r="DE189">
        <f t="shared" si="320"/>
        <v>7.2381497472610565E-2</v>
      </c>
      <c r="DF189">
        <f t="shared" si="321"/>
        <v>0</v>
      </c>
      <c r="DG189">
        <f t="shared" si="322"/>
        <v>0</v>
      </c>
      <c r="DH189">
        <f t="shared" si="323"/>
        <v>0</v>
      </c>
      <c r="DI189">
        <f t="shared" si="324"/>
        <v>0</v>
      </c>
      <c r="DJ189">
        <f t="shared" si="325"/>
        <v>0</v>
      </c>
      <c r="DK189">
        <f t="shared" si="326"/>
        <v>0</v>
      </c>
      <c r="DM189">
        <f t="shared" si="327"/>
        <v>2.9251465236248855</v>
      </c>
    </row>
    <row r="190" spans="1:117">
      <c r="A190" s="117" t="s">
        <v>339</v>
      </c>
      <c r="B190" s="117" t="s">
        <v>330</v>
      </c>
      <c r="C190" s="117">
        <v>2.4820000000000002</v>
      </c>
      <c r="F190" s="117">
        <v>6040</v>
      </c>
      <c r="G190" s="117">
        <v>3594</v>
      </c>
      <c r="H190" s="43">
        <f t="shared" si="329"/>
        <v>2.2369497251319151E+22</v>
      </c>
      <c r="I190" s="43">
        <f t="shared" si="330"/>
        <v>7.2033676749130988E+22</v>
      </c>
      <c r="J190" s="42">
        <f t="shared" si="331"/>
        <v>90.547331200000002</v>
      </c>
      <c r="K190" s="42">
        <f t="shared" si="358"/>
        <v>32.059586952000004</v>
      </c>
      <c r="L190" s="42">
        <f t="shared" si="359"/>
        <v>94.35658183937835</v>
      </c>
      <c r="M190" s="79">
        <f t="shared" si="332"/>
        <v>90.311022653569367</v>
      </c>
      <c r="O190" s="52" t="str">
        <f t="shared" si="333"/>
        <v>Phonolite</v>
      </c>
      <c r="P190" s="117">
        <v>56.539577704393082</v>
      </c>
      <c r="R190" s="117">
        <v>0.53037125988191736</v>
      </c>
      <c r="T190" s="117">
        <v>23.316321424997501</v>
      </c>
      <c r="V190" s="117">
        <v>0</v>
      </c>
      <c r="W190" s="117">
        <v>0</v>
      </c>
      <c r="X190" s="117">
        <v>0</v>
      </c>
      <c r="Y190" s="117">
        <v>4.0028019613729615</v>
      </c>
      <c r="Z190" s="117">
        <v>1.6011207845491846</v>
      </c>
      <c r="AE190" s="117">
        <v>7.9055338737115983</v>
      </c>
      <c r="AF190" s="117">
        <v>6.1042729910937661</v>
      </c>
      <c r="AI190" s="117">
        <v>0</v>
      </c>
      <c r="AM190" s="86">
        <f t="shared" si="360"/>
        <v>100.00000000000001</v>
      </c>
      <c r="AO190" s="71">
        <f t="shared" si="328"/>
        <v>1.4965926183175882</v>
      </c>
      <c r="AQ190" s="97" t="str">
        <f t="shared" si="334"/>
        <v>Phonolite</v>
      </c>
      <c r="AR190" s="73">
        <f t="shared" si="384"/>
        <v>62.880941781411138</v>
      </c>
      <c r="AS190" s="73">
        <f t="shared" si="385"/>
        <v>0</v>
      </c>
      <c r="AT190" s="73">
        <f t="shared" si="386"/>
        <v>0.443536744067342</v>
      </c>
      <c r="AU190" s="73">
        <f t="shared" si="387"/>
        <v>0</v>
      </c>
      <c r="AV190" s="73">
        <f t="shared" si="388"/>
        <v>15.28011447937128</v>
      </c>
      <c r="AW190" s="73">
        <f t="shared" si="389"/>
        <v>0</v>
      </c>
      <c r="AX190" s="73">
        <f t="shared" si="390"/>
        <v>0</v>
      </c>
      <c r="AY190" s="73">
        <f t="shared" si="391"/>
        <v>0</v>
      </c>
      <c r="AZ190" s="73">
        <f t="shared" si="392"/>
        <v>0</v>
      </c>
      <c r="BA190" s="73">
        <f t="shared" si="393"/>
        <v>6.6351035795192237</v>
      </c>
      <c r="BB190" s="73">
        <f t="shared" si="394"/>
        <v>1.9077105940828805</v>
      </c>
      <c r="BC190" s="73">
        <f t="shared" si="395"/>
        <v>0</v>
      </c>
      <c r="BD190" s="73">
        <f t="shared" si="396"/>
        <v>0</v>
      </c>
      <c r="BE190" s="73">
        <f t="shared" si="397"/>
        <v>0</v>
      </c>
      <c r="BF190" s="73">
        <f t="shared" si="398"/>
        <v>0</v>
      </c>
      <c r="BG190" s="73">
        <f t="shared" si="399"/>
        <v>8.5226770724198015</v>
      </c>
      <c r="BH190" s="73">
        <f t="shared" si="400"/>
        <v>4.3299157491283466</v>
      </c>
      <c r="BI190" s="73">
        <f t="shared" si="401"/>
        <v>0</v>
      </c>
      <c r="BJ190" s="73">
        <f t="shared" si="402"/>
        <v>0</v>
      </c>
      <c r="BK190" s="73">
        <f t="shared" si="403"/>
        <v>0</v>
      </c>
      <c r="BL190" s="73">
        <f t="shared" si="404"/>
        <v>0</v>
      </c>
      <c r="BM190" s="73">
        <f t="shared" si="405"/>
        <v>0</v>
      </c>
      <c r="BN190" s="73">
        <f t="shared" si="406"/>
        <v>0</v>
      </c>
      <c r="BQ190">
        <f t="shared" si="407"/>
        <v>37.778869822271808</v>
      </c>
      <c r="BR190">
        <f t="shared" si="408"/>
        <v>0</v>
      </c>
      <c r="BS190">
        <f t="shared" si="409"/>
        <v>0.35438585850980631</v>
      </c>
      <c r="BT190">
        <f t="shared" si="410"/>
        <v>0</v>
      </c>
      <c r="BU190">
        <f t="shared" si="411"/>
        <v>15.579604723166955</v>
      </c>
      <c r="BV190">
        <f t="shared" si="412"/>
        <v>0</v>
      </c>
      <c r="BW190">
        <f t="shared" si="413"/>
        <v>0</v>
      </c>
      <c r="BX190">
        <f t="shared" si="414"/>
        <v>0</v>
      </c>
      <c r="BY190">
        <f t="shared" si="415"/>
        <v>0</v>
      </c>
      <c r="BZ190">
        <f t="shared" si="416"/>
        <v>2.6746102529041993</v>
      </c>
      <c r="CA190">
        <f t="shared" si="417"/>
        <v>1.0698441011616793</v>
      </c>
      <c r="CB190">
        <f t="shared" si="418"/>
        <v>0</v>
      </c>
      <c r="CC190">
        <f t="shared" si="419"/>
        <v>0</v>
      </c>
      <c r="CD190">
        <f t="shared" si="420"/>
        <v>0</v>
      </c>
      <c r="CE190">
        <f t="shared" si="421"/>
        <v>0</v>
      </c>
      <c r="CF190">
        <f t="shared" si="422"/>
        <v>5.2823552494857928</v>
      </c>
      <c r="CG190">
        <f t="shared" si="423"/>
        <v>4.0787806356789025</v>
      </c>
      <c r="CH190">
        <f t="shared" si="424"/>
        <v>0</v>
      </c>
      <c r="CI190">
        <f t="shared" si="425"/>
        <v>0</v>
      </c>
      <c r="CJ190">
        <f t="shared" si="426"/>
        <v>0</v>
      </c>
      <c r="CK190">
        <f t="shared" si="427"/>
        <v>0</v>
      </c>
      <c r="CL190">
        <f t="shared" si="428"/>
        <v>0</v>
      </c>
      <c r="CN190">
        <f t="shared" si="429"/>
        <v>66.818450643179133</v>
      </c>
      <c r="CP190">
        <f t="shared" si="305"/>
        <v>1.8864282534423342</v>
      </c>
      <c r="CQ190">
        <f t="shared" si="306"/>
        <v>0</v>
      </c>
      <c r="CR190">
        <f t="shared" si="307"/>
        <v>1.3306102322020261E-2</v>
      </c>
      <c r="CS190">
        <f t="shared" si="308"/>
        <v>0</v>
      </c>
      <c r="CT190">
        <f t="shared" si="309"/>
        <v>0.76400572396856392</v>
      </c>
      <c r="CU190">
        <f t="shared" si="310"/>
        <v>0</v>
      </c>
      <c r="CV190">
        <f t="shared" si="311"/>
        <v>0</v>
      </c>
      <c r="CW190">
        <f t="shared" si="312"/>
        <v>0</v>
      </c>
      <c r="CX190">
        <f t="shared" si="313"/>
        <v>0</v>
      </c>
      <c r="CY190">
        <f t="shared" si="314"/>
        <v>0.13270207159038447</v>
      </c>
      <c r="CZ190">
        <f t="shared" si="315"/>
        <v>3.8154211881657608E-2</v>
      </c>
      <c r="DA190">
        <f t="shared" si="316"/>
        <v>0</v>
      </c>
      <c r="DB190">
        <f t="shared" si="317"/>
        <v>0</v>
      </c>
      <c r="DC190">
        <f t="shared" si="318"/>
        <v>0</v>
      </c>
      <c r="DD190">
        <f t="shared" si="319"/>
        <v>0</v>
      </c>
      <c r="DE190">
        <f t="shared" si="320"/>
        <v>0.25568031217259402</v>
      </c>
      <c r="DF190">
        <f t="shared" si="321"/>
        <v>0.12989747247385039</v>
      </c>
      <c r="DG190">
        <f t="shared" si="322"/>
        <v>0</v>
      </c>
      <c r="DH190">
        <f t="shared" si="323"/>
        <v>0</v>
      </c>
      <c r="DI190">
        <f t="shared" si="324"/>
        <v>0</v>
      </c>
      <c r="DJ190">
        <f t="shared" si="325"/>
        <v>0</v>
      </c>
      <c r="DK190">
        <f t="shared" si="326"/>
        <v>0</v>
      </c>
      <c r="DM190">
        <f t="shared" si="327"/>
        <v>3.2201741478514045</v>
      </c>
    </row>
    <row r="191" spans="1:117">
      <c r="A191" s="117" t="s">
        <v>339</v>
      </c>
      <c r="B191" s="117" t="s">
        <v>323</v>
      </c>
      <c r="C191" s="117">
        <v>2.3180000000000001</v>
      </c>
      <c r="F191" s="117">
        <v>5773</v>
      </c>
      <c r="G191" s="117">
        <v>3606</v>
      </c>
      <c r="H191" s="43">
        <f t="shared" si="329"/>
        <v>2.1657868402567397E+22</v>
      </c>
      <c r="I191" s="43">
        <f t="shared" si="330"/>
        <v>6.8266024613795647E+22</v>
      </c>
      <c r="J191" s="42">
        <f t="shared" si="331"/>
        <v>77.253212222000002</v>
      </c>
      <c r="K191" s="42">
        <f t="shared" si="358"/>
        <v>30.141501048000002</v>
      </c>
      <c r="L191" s="42">
        <f t="shared" si="359"/>
        <v>88.660292197223953</v>
      </c>
      <c r="M191" s="79">
        <f t="shared" si="332"/>
        <v>84.863671445596268</v>
      </c>
      <c r="O191" s="52" t="str">
        <f t="shared" si="333"/>
        <v>Rhyolite</v>
      </c>
      <c r="P191" s="117">
        <v>78.657314629258522</v>
      </c>
      <c r="R191" s="117">
        <v>0</v>
      </c>
      <c r="T191" s="117">
        <v>12.024048096192384</v>
      </c>
      <c r="V191" s="117">
        <v>0</v>
      </c>
      <c r="W191" s="117">
        <v>0</v>
      </c>
      <c r="X191" s="117">
        <v>0</v>
      </c>
      <c r="Y191" s="117">
        <v>0</v>
      </c>
      <c r="Z191" s="117">
        <v>0</v>
      </c>
      <c r="AE191" s="117">
        <v>4.6092184368737472</v>
      </c>
      <c r="AF191" s="117">
        <v>4.7094188376753507</v>
      </c>
      <c r="AI191" s="117">
        <v>0</v>
      </c>
      <c r="AM191" s="86">
        <f t="shared" si="360"/>
        <v>100</v>
      </c>
      <c r="AO191" s="71">
        <f t="shared" si="328"/>
        <v>1.551498754651949</v>
      </c>
      <c r="AQ191" s="97" t="str">
        <f t="shared" si="334"/>
        <v>Rhyolite</v>
      </c>
      <c r="AR191" s="73">
        <f t="shared" si="384"/>
        <v>84.383543786560566</v>
      </c>
      <c r="AS191" s="73">
        <f t="shared" si="385"/>
        <v>0</v>
      </c>
      <c r="AT191" s="73">
        <f t="shared" si="386"/>
        <v>0</v>
      </c>
      <c r="AU191" s="73">
        <f t="shared" si="387"/>
        <v>0</v>
      </c>
      <c r="AV191" s="73">
        <f t="shared" si="388"/>
        <v>7.6009774944037867</v>
      </c>
      <c r="AW191" s="73">
        <f t="shared" si="389"/>
        <v>0</v>
      </c>
      <c r="AX191" s="73">
        <f t="shared" si="390"/>
        <v>0</v>
      </c>
      <c r="AY191" s="73">
        <f t="shared" si="391"/>
        <v>0</v>
      </c>
      <c r="AZ191" s="73">
        <f t="shared" si="392"/>
        <v>0</v>
      </c>
      <c r="BA191" s="73">
        <f t="shared" si="393"/>
        <v>0</v>
      </c>
      <c r="BB191" s="73">
        <f t="shared" si="394"/>
        <v>0</v>
      </c>
      <c r="BC191" s="73">
        <f t="shared" si="395"/>
        <v>0</v>
      </c>
      <c r="BD191" s="73">
        <f t="shared" si="396"/>
        <v>0</v>
      </c>
      <c r="BE191" s="73">
        <f t="shared" si="397"/>
        <v>0</v>
      </c>
      <c r="BF191" s="73">
        <f t="shared" si="398"/>
        <v>0</v>
      </c>
      <c r="BG191" s="73">
        <f t="shared" si="399"/>
        <v>4.793186055334095</v>
      </c>
      <c r="BH191" s="73">
        <f t="shared" si="400"/>
        <v>3.2222926637015461</v>
      </c>
      <c r="BI191" s="73">
        <f t="shared" si="401"/>
        <v>0</v>
      </c>
      <c r="BJ191" s="73">
        <f t="shared" si="402"/>
        <v>0</v>
      </c>
      <c r="BK191" s="73">
        <f t="shared" si="403"/>
        <v>0</v>
      </c>
      <c r="BL191" s="73">
        <f t="shared" si="404"/>
        <v>0</v>
      </c>
      <c r="BM191" s="73">
        <f t="shared" si="405"/>
        <v>0</v>
      </c>
      <c r="BN191" s="73">
        <f t="shared" si="406"/>
        <v>0</v>
      </c>
      <c r="BQ191">
        <f t="shared" si="407"/>
        <v>50.69763310696559</v>
      </c>
      <c r="BR191">
        <f t="shared" si="408"/>
        <v>0</v>
      </c>
      <c r="BS191">
        <f t="shared" si="409"/>
        <v>0</v>
      </c>
      <c r="BT191">
        <f t="shared" si="410"/>
        <v>0</v>
      </c>
      <c r="BU191">
        <f t="shared" si="411"/>
        <v>7.7499566532940998</v>
      </c>
      <c r="BV191">
        <f t="shared" si="412"/>
        <v>0</v>
      </c>
      <c r="BW191">
        <f t="shared" si="413"/>
        <v>0</v>
      </c>
      <c r="BX191">
        <f t="shared" si="414"/>
        <v>0</v>
      </c>
      <c r="BY191">
        <f t="shared" si="415"/>
        <v>0</v>
      </c>
      <c r="BZ191">
        <f t="shared" si="416"/>
        <v>0</v>
      </c>
      <c r="CA191">
        <f t="shared" si="417"/>
        <v>0</v>
      </c>
      <c r="CB191">
        <f t="shared" si="418"/>
        <v>0</v>
      </c>
      <c r="CC191">
        <f t="shared" si="419"/>
        <v>0</v>
      </c>
      <c r="CD191">
        <f t="shared" si="420"/>
        <v>0</v>
      </c>
      <c r="CE191">
        <f t="shared" si="421"/>
        <v>0</v>
      </c>
      <c r="CF191">
        <f t="shared" si="422"/>
        <v>2.970816717096072</v>
      </c>
      <c r="CG191">
        <f t="shared" si="423"/>
        <v>3.0353996892068564</v>
      </c>
      <c r="CH191">
        <f t="shared" si="424"/>
        <v>0</v>
      </c>
      <c r="CI191">
        <f t="shared" si="425"/>
        <v>0</v>
      </c>
      <c r="CJ191">
        <f t="shared" si="426"/>
        <v>0</v>
      </c>
      <c r="CK191">
        <f t="shared" si="427"/>
        <v>0</v>
      </c>
      <c r="CL191">
        <f t="shared" si="428"/>
        <v>0</v>
      </c>
      <c r="CN191">
        <f t="shared" si="429"/>
        <v>64.453806166562615</v>
      </c>
      <c r="CP191">
        <f t="shared" si="305"/>
        <v>2.5315063135968172</v>
      </c>
      <c r="CQ191">
        <f t="shared" si="306"/>
        <v>0</v>
      </c>
      <c r="CR191">
        <f t="shared" si="307"/>
        <v>0</v>
      </c>
      <c r="CS191">
        <f t="shared" si="308"/>
        <v>0</v>
      </c>
      <c r="CT191">
        <f t="shared" si="309"/>
        <v>0.38004887472018933</v>
      </c>
      <c r="CU191">
        <f t="shared" si="310"/>
        <v>0</v>
      </c>
      <c r="CV191">
        <f t="shared" si="311"/>
        <v>0</v>
      </c>
      <c r="CW191">
        <f t="shared" si="312"/>
        <v>0</v>
      </c>
      <c r="CX191">
        <f t="shared" si="313"/>
        <v>0</v>
      </c>
      <c r="CY191">
        <f t="shared" si="314"/>
        <v>0</v>
      </c>
      <c r="CZ191">
        <f t="shared" si="315"/>
        <v>0</v>
      </c>
      <c r="DA191">
        <f t="shared" si="316"/>
        <v>0</v>
      </c>
      <c r="DB191">
        <f t="shared" si="317"/>
        <v>0</v>
      </c>
      <c r="DC191">
        <f t="shared" si="318"/>
        <v>0</v>
      </c>
      <c r="DD191">
        <f t="shared" si="319"/>
        <v>0</v>
      </c>
      <c r="DE191">
        <f t="shared" si="320"/>
        <v>0.14379558166002285</v>
      </c>
      <c r="DF191">
        <f t="shared" si="321"/>
        <v>9.6668779911046387E-2</v>
      </c>
      <c r="DG191">
        <f t="shared" si="322"/>
        <v>0</v>
      </c>
      <c r="DH191">
        <f t="shared" si="323"/>
        <v>0</v>
      </c>
      <c r="DI191">
        <f t="shared" si="324"/>
        <v>0</v>
      </c>
      <c r="DJ191">
        <f t="shared" si="325"/>
        <v>0</v>
      </c>
      <c r="DK191">
        <f t="shared" si="326"/>
        <v>0</v>
      </c>
      <c r="DM191">
        <f t="shared" si="327"/>
        <v>3.1520195498880756</v>
      </c>
    </row>
    <row r="192" spans="1:117">
      <c r="A192" s="120" t="s">
        <v>340</v>
      </c>
      <c r="B192" s="120" t="s">
        <v>341</v>
      </c>
      <c r="C192" s="121">
        <v>2.8039999999999998</v>
      </c>
      <c r="F192" s="121">
        <v>6502</v>
      </c>
      <c r="G192" s="121">
        <v>3629</v>
      </c>
      <c r="H192" s="43">
        <f t="shared" si="329"/>
        <v>2.6369384408146264E+22</v>
      </c>
      <c r="I192" s="43">
        <f t="shared" si="330"/>
        <v>7.6868676166967143E+22</v>
      </c>
      <c r="J192" s="42">
        <f t="shared" si="331"/>
        <v>118.54191521599999</v>
      </c>
      <c r="K192" s="42">
        <f t="shared" si="358"/>
        <v>36.927673364</v>
      </c>
      <c r="L192" s="42">
        <f t="shared" si="359"/>
        <v>108.63501710339035</v>
      </c>
      <c r="M192" s="79">
        <f t="shared" si="332"/>
        <v>104.52143110000642</v>
      </c>
      <c r="O192" s="52" t="str">
        <f t="shared" si="333"/>
        <v>B100</v>
      </c>
      <c r="P192" s="120">
        <v>48.02</v>
      </c>
      <c r="R192" s="120">
        <v>0.98</v>
      </c>
      <c r="T192" s="120">
        <v>15.59</v>
      </c>
      <c r="V192" s="120">
        <v>6.9267330000000014</v>
      </c>
      <c r="W192" s="120">
        <v>3.9897000000000005</v>
      </c>
      <c r="X192" s="120">
        <v>0.18</v>
      </c>
      <c r="Y192" s="120">
        <v>9.42</v>
      </c>
      <c r="Z192" s="120">
        <v>13.2</v>
      </c>
      <c r="AE192" s="120">
        <v>1.79</v>
      </c>
      <c r="AF192" s="120">
        <v>0.04</v>
      </c>
      <c r="AI192" s="120">
        <v>0.06</v>
      </c>
      <c r="AM192" s="86">
        <f t="shared" si="360"/>
        <v>100.19643300000003</v>
      </c>
      <c r="AO192" s="71">
        <f t="shared" si="328"/>
        <v>1.5646723043361292</v>
      </c>
      <c r="AQ192" s="97" t="str">
        <f t="shared" si="334"/>
        <v>B100</v>
      </c>
      <c r="AR192" s="73">
        <f t="shared" si="384"/>
        <v>51.082110990748056</v>
      </c>
      <c r="AS192" s="73">
        <f t="shared" si="385"/>
        <v>0</v>
      </c>
      <c r="AT192" s="73">
        <f t="shared" si="386"/>
        <v>0.78389140209040453</v>
      </c>
      <c r="AU192" s="73">
        <f t="shared" si="387"/>
        <v>0</v>
      </c>
      <c r="AV192" s="73">
        <f t="shared" si="388"/>
        <v>9.7722122920482395</v>
      </c>
      <c r="AW192" s="73">
        <f t="shared" si="389"/>
        <v>0</v>
      </c>
      <c r="AX192" s="73">
        <f t="shared" si="390"/>
        <v>2.772217694856121</v>
      </c>
      <c r="AY192" s="73">
        <f t="shared" si="391"/>
        <v>3.5488698535911691</v>
      </c>
      <c r="AZ192" s="73">
        <f t="shared" si="392"/>
        <v>0.1621652984250013</v>
      </c>
      <c r="BA192" s="73">
        <f t="shared" si="393"/>
        <v>14.935326093048255</v>
      </c>
      <c r="BB192" s="73">
        <f t="shared" si="394"/>
        <v>15.043279716234606</v>
      </c>
      <c r="BC192" s="73">
        <f t="shared" si="395"/>
        <v>0</v>
      </c>
      <c r="BD192" s="73">
        <f t="shared" si="396"/>
        <v>0</v>
      </c>
      <c r="BE192" s="73">
        <f t="shared" si="397"/>
        <v>0</v>
      </c>
      <c r="BF192" s="73">
        <f t="shared" si="398"/>
        <v>0</v>
      </c>
      <c r="BG192" s="73">
        <f t="shared" si="399"/>
        <v>1.8457720432919731</v>
      </c>
      <c r="BH192" s="73">
        <f t="shared" si="400"/>
        <v>2.7138490847533829E-2</v>
      </c>
      <c r="BI192" s="73">
        <f t="shared" si="401"/>
        <v>0</v>
      </c>
      <c r="BJ192" s="73">
        <f t="shared" si="402"/>
        <v>0</v>
      </c>
      <c r="BK192" s="73">
        <f t="shared" si="403"/>
        <v>2.7016124818631325E-2</v>
      </c>
      <c r="BL192" s="73">
        <f t="shared" si="404"/>
        <v>0</v>
      </c>
      <c r="BM192" s="73">
        <f t="shared" si="405"/>
        <v>0</v>
      </c>
      <c r="BN192" s="73">
        <f t="shared" si="406"/>
        <v>0</v>
      </c>
      <c r="BQ192">
        <f t="shared" si="407"/>
        <v>30.690132283241429</v>
      </c>
      <c r="BR192">
        <f t="shared" si="408"/>
        <v>0</v>
      </c>
      <c r="BS192">
        <f t="shared" si="409"/>
        <v>0.62632923027023324</v>
      </c>
      <c r="BT192">
        <f t="shared" si="410"/>
        <v>0</v>
      </c>
      <c r="BU192">
        <f t="shared" si="411"/>
        <v>9.9637476529723834</v>
      </c>
      <c r="BV192">
        <f t="shared" si="412"/>
        <v>0</v>
      </c>
      <c r="BW192">
        <f t="shared" si="413"/>
        <v>4.4269544369157394</v>
      </c>
      <c r="BX192">
        <f t="shared" si="414"/>
        <v>2.5498629898052547</v>
      </c>
      <c r="BY192">
        <f t="shared" si="415"/>
        <v>0.11504006270269591</v>
      </c>
      <c r="BZ192">
        <f t="shared" si="416"/>
        <v>6.0204299481077514</v>
      </c>
      <c r="CA192">
        <f t="shared" si="417"/>
        <v>8.4362712648643665</v>
      </c>
      <c r="CB192">
        <f t="shared" si="418"/>
        <v>0</v>
      </c>
      <c r="CC192">
        <f t="shared" si="419"/>
        <v>0</v>
      </c>
      <c r="CD192">
        <f t="shared" si="420"/>
        <v>0</v>
      </c>
      <c r="CE192">
        <f t="shared" si="421"/>
        <v>0</v>
      </c>
      <c r="CF192">
        <f t="shared" si="422"/>
        <v>1.1440095124323648</v>
      </c>
      <c r="CG192">
        <f t="shared" si="423"/>
        <v>2.556445837837687E-2</v>
      </c>
      <c r="CH192">
        <f t="shared" si="424"/>
        <v>0</v>
      </c>
      <c r="CI192">
        <f t="shared" si="425"/>
        <v>0</v>
      </c>
      <c r="CJ192">
        <f t="shared" si="426"/>
        <v>3.8346687567565298E-2</v>
      </c>
      <c r="CK192">
        <f t="shared" si="427"/>
        <v>0</v>
      </c>
      <c r="CL192">
        <f t="shared" si="428"/>
        <v>0</v>
      </c>
      <c r="CN192">
        <f t="shared" si="429"/>
        <v>64.03668852725815</v>
      </c>
      <c r="CP192">
        <f t="shared" ref="CP192:CP202" si="430">(AR192/100)*$BQ$3</f>
        <v>1.5324633297224417</v>
      </c>
      <c r="CQ192">
        <f t="shared" ref="CQ192:CQ202" si="431">(AS192/100)*$BR$3</f>
        <v>0</v>
      </c>
      <c r="CR192">
        <f t="shared" ref="CR192:CR202" si="432">(AT192/100)*$BS$3</f>
        <v>2.3516742062712134E-2</v>
      </c>
      <c r="CS192">
        <f t="shared" ref="CS192:CS202" si="433">(AU192/100)*$BT$3</f>
        <v>0</v>
      </c>
      <c r="CT192">
        <f t="shared" ref="CT192:CT202" si="434">(AV192/100)*$BU$3</f>
        <v>0.48861061460241195</v>
      </c>
      <c r="CU192">
        <f t="shared" ref="CU192:CU202" si="435">(AW192/100)*$BV$3</f>
        <v>0</v>
      </c>
      <c r="CV192">
        <f t="shared" ref="CV192:CV202" si="436">(AX192/100)*$BW$3</f>
        <v>0.13861088474280606</v>
      </c>
      <c r="CW192">
        <f t="shared" ref="CW192:CW202" si="437">(AY192/100)*$BX$3</f>
        <v>7.0977397071823378E-2</v>
      </c>
      <c r="CX192">
        <f t="shared" ref="CX192:CX202" si="438">(AZ192/100)*$BY$3</f>
        <v>3.243305968500026E-3</v>
      </c>
      <c r="CY192">
        <f t="shared" ref="CY192:CY202" si="439">(BA192/100)*$BZ$3</f>
        <v>0.29870652186096508</v>
      </c>
      <c r="CZ192">
        <f t="shared" ref="CZ192:CZ202" si="440">(BB192/100)*$CA$3</f>
        <v>0.30086559432469212</v>
      </c>
      <c r="DA192">
        <f t="shared" ref="DA192:DA202" si="441">(BC192/100)*$CB$3</f>
        <v>0</v>
      </c>
      <c r="DB192">
        <f t="shared" ref="DB192:DB202" si="442">(BD192/100)*$CC$3</f>
        <v>0</v>
      </c>
      <c r="DC192">
        <f t="shared" ref="DC192:DC202" si="443">(BE192/100)*$CD$3</f>
        <v>0</v>
      </c>
      <c r="DD192">
        <f t="shared" ref="DD192:DD202" si="444">(BF192/100)*$CE$3</f>
        <v>0</v>
      </c>
      <c r="DE192">
        <f t="shared" ref="DE192:DE202" si="445">(BG192/100)*$CF$3</f>
        <v>5.5373161298759195E-2</v>
      </c>
      <c r="DF192">
        <f t="shared" ref="DF192:DF202" si="446">(BH192/100)*$CG$3</f>
        <v>8.1415472542601492E-4</v>
      </c>
      <c r="DG192">
        <f t="shared" ref="DG192:DG202" si="447">(BI192/100)*$CH$3</f>
        <v>0</v>
      </c>
      <c r="DH192">
        <f t="shared" ref="DH192:DH202" si="448">(BJ192/100)*$CI$3</f>
        <v>0</v>
      </c>
      <c r="DI192">
        <f t="shared" ref="DI192:DI202" si="449">(BK192/100)*$CJ$3</f>
        <v>1.8911287373041927E-3</v>
      </c>
      <c r="DJ192">
        <f t="shared" ref="DJ192:DJ202" si="450">(BL192/100)*$CK$3</f>
        <v>0</v>
      </c>
      <c r="DK192">
        <f t="shared" ref="DK192:DK202" si="451">(BN192/100)*$CL$3</f>
        <v>0</v>
      </c>
      <c r="DM192">
        <f t="shared" ref="DM192:DM202" si="452">SUM(CP192:DK192)</f>
        <v>2.9150728351178419</v>
      </c>
    </row>
    <row r="193" spans="1:117">
      <c r="A193" s="120" t="s">
        <v>340</v>
      </c>
      <c r="B193" s="120" t="s">
        <v>342</v>
      </c>
      <c r="C193" s="121">
        <v>2.6480000000000001</v>
      </c>
      <c r="F193" s="121">
        <v>6315</v>
      </c>
      <c r="G193" s="121">
        <v>3592</v>
      </c>
      <c r="H193" s="43">
        <f t="shared" si="329"/>
        <v>2.4884487152346102E+22</v>
      </c>
      <c r="I193" s="43">
        <f t="shared" si="330"/>
        <v>7.3434218033709106E+22</v>
      </c>
      <c r="J193" s="42">
        <f t="shared" si="331"/>
        <v>105.60018780000001</v>
      </c>
      <c r="K193" s="42">
        <f t="shared" si="358"/>
        <v>34.165724671999996</v>
      </c>
      <c r="L193" s="42">
        <f t="shared" si="359"/>
        <v>100.47012822015841</v>
      </c>
      <c r="M193" s="79">
        <f t="shared" si="332"/>
        <v>96.515350114052666</v>
      </c>
      <c r="O193" s="52" t="str">
        <f t="shared" si="333"/>
        <v>B80R20</v>
      </c>
      <c r="P193" s="120">
        <v>53.01</v>
      </c>
      <c r="R193" s="120">
        <v>0.8</v>
      </c>
      <c r="T193" s="120">
        <v>14.99</v>
      </c>
      <c r="V193" s="120">
        <v>5.2136700000000005</v>
      </c>
      <c r="W193" s="120">
        <v>3.8429999999999995</v>
      </c>
      <c r="X193" s="120">
        <v>0.15</v>
      </c>
      <c r="Y193" s="120">
        <v>7.58</v>
      </c>
      <c r="Z193" s="120">
        <v>10.79</v>
      </c>
      <c r="AE193" s="120">
        <v>2.1800000000000002</v>
      </c>
      <c r="AF193" s="120">
        <v>1.02</v>
      </c>
      <c r="AI193" s="120">
        <v>0.02</v>
      </c>
      <c r="AM193" s="86">
        <f t="shared" si="360"/>
        <v>99.596669999999989</v>
      </c>
      <c r="AO193" s="71">
        <f t="shared" si="328"/>
        <v>1.55419205487708</v>
      </c>
      <c r="AQ193" s="97" t="str">
        <f t="shared" si="334"/>
        <v>B80R20</v>
      </c>
      <c r="AR193" s="73">
        <f t="shared" si="384"/>
        <v>56.770562287105207</v>
      </c>
      <c r="AS193" s="73">
        <f t="shared" si="385"/>
        <v>0</v>
      </c>
      <c r="AT193" s="73">
        <f t="shared" si="386"/>
        <v>0.64422640774261175</v>
      </c>
      <c r="AU193" s="73">
        <f t="shared" si="387"/>
        <v>0</v>
      </c>
      <c r="AV193" s="73">
        <f t="shared" si="388"/>
        <v>9.4594769122662559</v>
      </c>
      <c r="AW193" s="73">
        <f t="shared" si="389"/>
        <v>0</v>
      </c>
      <c r="AX193" s="73">
        <f t="shared" si="390"/>
        <v>2.1006859636710842</v>
      </c>
      <c r="AY193" s="73">
        <f t="shared" si="391"/>
        <v>3.4414298988847092</v>
      </c>
      <c r="AZ193" s="73">
        <f t="shared" si="392"/>
        <v>0.13604901143211171</v>
      </c>
      <c r="BA193" s="73">
        <f t="shared" si="393"/>
        <v>12.099062578704133</v>
      </c>
      <c r="BB193" s="73">
        <f t="shared" si="394"/>
        <v>12.37966108393073</v>
      </c>
      <c r="BC193" s="73">
        <f t="shared" si="395"/>
        <v>0</v>
      </c>
      <c r="BD193" s="73">
        <f t="shared" si="396"/>
        <v>0</v>
      </c>
      <c r="BE193" s="73">
        <f t="shared" si="397"/>
        <v>0</v>
      </c>
      <c r="BF193" s="73">
        <f t="shared" si="398"/>
        <v>0</v>
      </c>
      <c r="BG193" s="73">
        <f t="shared" si="399"/>
        <v>2.2630817230038649</v>
      </c>
      <c r="BH193" s="73">
        <f t="shared" si="400"/>
        <v>0.6966980331503102</v>
      </c>
      <c r="BI193" s="73">
        <f t="shared" si="401"/>
        <v>0</v>
      </c>
      <c r="BJ193" s="73">
        <f t="shared" si="402"/>
        <v>0</v>
      </c>
      <c r="BK193" s="73">
        <f t="shared" si="403"/>
        <v>9.0661001089605963E-3</v>
      </c>
      <c r="BL193" s="73">
        <f t="shared" si="404"/>
        <v>0</v>
      </c>
      <c r="BM193" s="73">
        <f t="shared" si="405"/>
        <v>0</v>
      </c>
      <c r="BN193" s="73">
        <f t="shared" si="406"/>
        <v>0</v>
      </c>
      <c r="BQ193">
        <f t="shared" si="407"/>
        <v>34.10775382209281</v>
      </c>
      <c r="BR193">
        <f t="shared" si="408"/>
        <v>0</v>
      </c>
      <c r="BS193">
        <f t="shared" si="409"/>
        <v>0.51473689978634685</v>
      </c>
      <c r="BT193">
        <f t="shared" si="410"/>
        <v>0</v>
      </c>
      <c r="BU193">
        <f t="shared" si="411"/>
        <v>9.6448826597466741</v>
      </c>
      <c r="BV193">
        <f t="shared" si="412"/>
        <v>0</v>
      </c>
      <c r="BW193">
        <f t="shared" si="413"/>
        <v>3.3545854153863544</v>
      </c>
      <c r="BX193">
        <f t="shared" si="414"/>
        <v>2.4726673823486633</v>
      </c>
      <c r="BY193">
        <f t="shared" si="415"/>
        <v>9.6513168709940034E-2</v>
      </c>
      <c r="BZ193">
        <f t="shared" si="416"/>
        <v>4.8771321254756366</v>
      </c>
      <c r="CA193">
        <f t="shared" si="417"/>
        <v>6.9425139358683525</v>
      </c>
      <c r="CB193">
        <f t="shared" si="418"/>
        <v>0</v>
      </c>
      <c r="CC193">
        <f t="shared" si="419"/>
        <v>0</v>
      </c>
      <c r="CD193">
        <f t="shared" si="420"/>
        <v>0</v>
      </c>
      <c r="CE193">
        <f t="shared" si="421"/>
        <v>0</v>
      </c>
      <c r="CF193">
        <f t="shared" si="422"/>
        <v>1.4026580519177954</v>
      </c>
      <c r="CG193">
        <f t="shared" si="423"/>
        <v>0.65628954722759225</v>
      </c>
      <c r="CH193">
        <f t="shared" si="424"/>
        <v>0</v>
      </c>
      <c r="CI193">
        <f t="shared" si="425"/>
        <v>0</v>
      </c>
      <c r="CJ193">
        <f t="shared" si="426"/>
        <v>1.2868422494658671E-2</v>
      </c>
      <c r="CK193">
        <f t="shared" si="427"/>
        <v>0</v>
      </c>
      <c r="CL193">
        <f t="shared" si="428"/>
        <v>0</v>
      </c>
      <c r="CN193">
        <f t="shared" si="429"/>
        <v>64.082601431054826</v>
      </c>
      <c r="CP193">
        <f t="shared" si="430"/>
        <v>1.7031168686131561</v>
      </c>
      <c r="CQ193">
        <f t="shared" si="431"/>
        <v>0</v>
      </c>
      <c r="CR193">
        <f t="shared" si="432"/>
        <v>1.9326792232278352E-2</v>
      </c>
      <c r="CS193">
        <f t="shared" si="433"/>
        <v>0</v>
      </c>
      <c r="CT193">
        <f t="shared" si="434"/>
        <v>0.47297384561331279</v>
      </c>
      <c r="CU193">
        <f t="shared" si="435"/>
        <v>0</v>
      </c>
      <c r="CV193">
        <f t="shared" si="436"/>
        <v>0.10503429818355421</v>
      </c>
      <c r="CW193">
        <f t="shared" si="437"/>
        <v>6.8828597977694181E-2</v>
      </c>
      <c r="CX193">
        <f t="shared" si="438"/>
        <v>2.7209802286422341E-3</v>
      </c>
      <c r="CY193">
        <f t="shared" si="439"/>
        <v>0.24198125157408268</v>
      </c>
      <c r="CZ193">
        <f t="shared" si="440"/>
        <v>0.24759322167861458</v>
      </c>
      <c r="DA193">
        <f t="shared" si="441"/>
        <v>0</v>
      </c>
      <c r="DB193">
        <f t="shared" si="442"/>
        <v>0</v>
      </c>
      <c r="DC193">
        <f t="shared" si="443"/>
        <v>0</v>
      </c>
      <c r="DD193">
        <f t="shared" si="444"/>
        <v>0</v>
      </c>
      <c r="DE193">
        <f t="shared" si="445"/>
        <v>6.7892451690115943E-2</v>
      </c>
      <c r="DF193">
        <f t="shared" si="446"/>
        <v>2.0900940994509308E-2</v>
      </c>
      <c r="DG193">
        <f t="shared" si="447"/>
        <v>0</v>
      </c>
      <c r="DH193">
        <f t="shared" si="448"/>
        <v>0</v>
      </c>
      <c r="DI193">
        <f t="shared" si="449"/>
        <v>6.3462700762724174E-4</v>
      </c>
      <c r="DJ193">
        <f t="shared" si="450"/>
        <v>0</v>
      </c>
      <c r="DK193">
        <f t="shared" si="451"/>
        <v>0</v>
      </c>
      <c r="DM193">
        <f t="shared" si="452"/>
        <v>2.9510038757935879</v>
      </c>
    </row>
    <row r="194" spans="1:117">
      <c r="A194" s="120" t="s">
        <v>340</v>
      </c>
      <c r="B194" s="120" t="s">
        <v>343</v>
      </c>
      <c r="C194" s="121">
        <v>2.5990000000000002</v>
      </c>
      <c r="F194" s="121">
        <v>6188</v>
      </c>
      <c r="G194" s="121">
        <v>3587</v>
      </c>
      <c r="H194" s="43">
        <f t="shared" si="329"/>
        <v>2.4276249910563742E+22</v>
      </c>
      <c r="I194" s="43">
        <f t="shared" si="330"/>
        <v>7.2900435104687683E+22</v>
      </c>
      <c r="J194" s="42">
        <f t="shared" si="331"/>
        <v>99.519203056000009</v>
      </c>
      <c r="K194" s="42">
        <f t="shared" si="358"/>
        <v>33.440212831000004</v>
      </c>
      <c r="L194" s="42">
        <f t="shared" si="359"/>
        <v>98.343138663396587</v>
      </c>
      <c r="M194" s="79">
        <f t="shared" si="332"/>
        <v>94.382295636215758</v>
      </c>
      <c r="O194" s="52" t="str">
        <f t="shared" si="333"/>
        <v>B60R40</v>
      </c>
      <c r="P194" s="120">
        <v>57.97</v>
      </c>
      <c r="R194" s="120">
        <v>0.65</v>
      </c>
      <c r="T194" s="120">
        <v>14.62</v>
      </c>
      <c r="V194" s="120">
        <v>4.3972650000000009</v>
      </c>
      <c r="W194" s="120">
        <v>2.9885000000000002</v>
      </c>
      <c r="X194" s="120">
        <v>0.13</v>
      </c>
      <c r="Y194" s="120">
        <v>5.81</v>
      </c>
      <c r="Z194" s="120">
        <v>8.4600000000000009</v>
      </c>
      <c r="AE194" s="120">
        <v>2.59</v>
      </c>
      <c r="AF194" s="120">
        <v>1.99</v>
      </c>
      <c r="AI194" s="120">
        <v>0.04</v>
      </c>
      <c r="AM194" s="86">
        <f t="shared" si="360"/>
        <v>99.645765000000011</v>
      </c>
      <c r="AO194" s="71">
        <f t="shared" si="328"/>
        <v>1.5455509209936109</v>
      </c>
      <c r="AQ194" s="97" t="str">
        <f t="shared" si="334"/>
        <v>B60R40</v>
      </c>
      <c r="AR194" s="73">
        <f t="shared" si="384"/>
        <v>62.429528958298192</v>
      </c>
      <c r="AS194" s="73">
        <f t="shared" si="385"/>
        <v>0</v>
      </c>
      <c r="AT194" s="73">
        <f t="shared" si="386"/>
        <v>0.52636046154801075</v>
      </c>
      <c r="AU194" s="73">
        <f t="shared" si="387"/>
        <v>0</v>
      </c>
      <c r="AV194" s="73">
        <f t="shared" si="388"/>
        <v>9.2775697382347566</v>
      </c>
      <c r="AW194" s="73">
        <f t="shared" si="389"/>
        <v>0</v>
      </c>
      <c r="AX194" s="73">
        <f t="shared" si="390"/>
        <v>1.7816467497354802</v>
      </c>
      <c r="AY194" s="73">
        <f t="shared" si="391"/>
        <v>2.6911826202658276</v>
      </c>
      <c r="AZ194" s="73">
        <f t="shared" si="392"/>
        <v>0.11856837010906698</v>
      </c>
      <c r="BA194" s="73">
        <f t="shared" si="393"/>
        <v>9.3256694120319832</v>
      </c>
      <c r="BB194" s="73">
        <f t="shared" si="394"/>
        <v>9.7606567383195468</v>
      </c>
      <c r="BC194" s="73">
        <f t="shared" si="395"/>
        <v>0</v>
      </c>
      <c r="BD194" s="73">
        <f t="shared" si="396"/>
        <v>0</v>
      </c>
      <c r="BE194" s="73">
        <f t="shared" si="397"/>
        <v>0</v>
      </c>
      <c r="BF194" s="73">
        <f t="shared" si="398"/>
        <v>0</v>
      </c>
      <c r="BG194" s="73">
        <f t="shared" si="399"/>
        <v>2.7037396746644551</v>
      </c>
      <c r="BH194" s="73">
        <f t="shared" si="400"/>
        <v>1.3668436999280622</v>
      </c>
      <c r="BI194" s="73">
        <f t="shared" si="401"/>
        <v>0</v>
      </c>
      <c r="BJ194" s="73">
        <f t="shared" si="402"/>
        <v>0</v>
      </c>
      <c r="BK194" s="73">
        <f t="shared" si="403"/>
        <v>1.8233576864627985E-2</v>
      </c>
      <c r="BL194" s="73">
        <f t="shared" si="404"/>
        <v>0</v>
      </c>
      <c r="BM194" s="73">
        <f t="shared" si="405"/>
        <v>0</v>
      </c>
      <c r="BN194" s="73">
        <f t="shared" si="406"/>
        <v>0</v>
      </c>
      <c r="BQ194">
        <f t="shared" si="407"/>
        <v>37.507660998145553</v>
      </c>
      <c r="BR194">
        <f t="shared" si="408"/>
        <v>0</v>
      </c>
      <c r="BS194">
        <f t="shared" si="409"/>
        <v>0.42056200877686062</v>
      </c>
      <c r="BT194">
        <f t="shared" si="410"/>
        <v>0</v>
      </c>
      <c r="BU194">
        <f t="shared" si="411"/>
        <v>9.4594101051041566</v>
      </c>
      <c r="BV194">
        <f t="shared" si="412"/>
        <v>0</v>
      </c>
      <c r="BW194">
        <f t="shared" si="413"/>
        <v>2.8451116946525885</v>
      </c>
      <c r="BX194">
        <f t="shared" si="414"/>
        <v>1.9336147126609968</v>
      </c>
      <c r="BY194">
        <f t="shared" si="415"/>
        <v>8.4112401755372115E-2</v>
      </c>
      <c r="BZ194">
        <f t="shared" si="416"/>
        <v>3.7591773399900927</v>
      </c>
      <c r="CA194">
        <f t="shared" si="417"/>
        <v>5.4737762988496019</v>
      </c>
      <c r="CB194">
        <f t="shared" si="418"/>
        <v>0</v>
      </c>
      <c r="CC194">
        <f t="shared" si="419"/>
        <v>0</v>
      </c>
      <c r="CD194">
        <f t="shared" si="420"/>
        <v>0</v>
      </c>
      <c r="CE194">
        <f t="shared" si="421"/>
        <v>0</v>
      </c>
      <c r="CF194">
        <f t="shared" si="422"/>
        <v>1.6757778503570291</v>
      </c>
      <c r="CG194">
        <f t="shared" si="423"/>
        <v>1.2875667653322347</v>
      </c>
      <c r="CH194">
        <f t="shared" si="424"/>
        <v>0</v>
      </c>
      <c r="CI194">
        <f t="shared" si="425"/>
        <v>0</v>
      </c>
      <c r="CJ194">
        <f t="shared" si="426"/>
        <v>2.5880739001652959E-2</v>
      </c>
      <c r="CK194">
        <f t="shared" si="427"/>
        <v>0</v>
      </c>
      <c r="CL194">
        <f t="shared" si="428"/>
        <v>0</v>
      </c>
      <c r="CN194">
        <f t="shared" si="429"/>
        <v>64.472650914626129</v>
      </c>
      <c r="CP194">
        <f t="shared" si="430"/>
        <v>1.8728858687489458</v>
      </c>
      <c r="CQ194">
        <f t="shared" si="431"/>
        <v>0</v>
      </c>
      <c r="CR194">
        <f t="shared" si="432"/>
        <v>1.5790813846440321E-2</v>
      </c>
      <c r="CS194">
        <f t="shared" si="433"/>
        <v>0</v>
      </c>
      <c r="CT194">
        <f t="shared" si="434"/>
        <v>0.46387848691173783</v>
      </c>
      <c r="CU194">
        <f t="shared" si="435"/>
        <v>0</v>
      </c>
      <c r="CV194">
        <f t="shared" si="436"/>
        <v>8.9082337486774008E-2</v>
      </c>
      <c r="CW194">
        <f t="shared" si="437"/>
        <v>5.3823652405316551E-2</v>
      </c>
      <c r="CX194">
        <f t="shared" si="438"/>
        <v>2.3713674021813395E-3</v>
      </c>
      <c r="CY194">
        <f t="shared" si="439"/>
        <v>0.18651338824063968</v>
      </c>
      <c r="CZ194">
        <f t="shared" si="440"/>
        <v>0.19521313476639093</v>
      </c>
      <c r="DA194">
        <f t="shared" si="441"/>
        <v>0</v>
      </c>
      <c r="DB194">
        <f t="shared" si="442"/>
        <v>0</v>
      </c>
      <c r="DC194">
        <f t="shared" si="443"/>
        <v>0</v>
      </c>
      <c r="DD194">
        <f t="shared" si="444"/>
        <v>0</v>
      </c>
      <c r="DE194">
        <f t="shared" si="445"/>
        <v>8.1112190239933657E-2</v>
      </c>
      <c r="DF194">
        <f t="shared" si="446"/>
        <v>4.1005310997841868E-2</v>
      </c>
      <c r="DG194">
        <f t="shared" si="447"/>
        <v>0</v>
      </c>
      <c r="DH194">
        <f t="shared" si="448"/>
        <v>0</v>
      </c>
      <c r="DI194">
        <f t="shared" si="449"/>
        <v>1.2763503805239588E-3</v>
      </c>
      <c r="DJ194">
        <f t="shared" si="450"/>
        <v>0</v>
      </c>
      <c r="DK194">
        <f t="shared" si="451"/>
        <v>0</v>
      </c>
      <c r="DM194">
        <f t="shared" si="452"/>
        <v>3.0029529014267258</v>
      </c>
    </row>
    <row r="195" spans="1:117">
      <c r="A195" s="120" t="s">
        <v>340</v>
      </c>
      <c r="B195" s="120" t="s">
        <v>344</v>
      </c>
      <c r="C195" s="121">
        <v>2.46</v>
      </c>
      <c r="F195" s="121">
        <v>6041</v>
      </c>
      <c r="G195" s="121">
        <v>3574</v>
      </c>
      <c r="H195" s="43">
        <f t="shared" si="329"/>
        <v>2.2848897897697599E+22</v>
      </c>
      <c r="I195" s="43">
        <f t="shared" si="330"/>
        <v>6.9745573870617001E+22</v>
      </c>
      <c r="J195" s="42">
        <f t="shared" si="331"/>
        <v>89.774455260000011</v>
      </c>
      <c r="K195" s="42">
        <f t="shared" si="358"/>
        <v>31.422750960000002</v>
      </c>
      <c r="L195" s="42">
        <f t="shared" si="359"/>
        <v>92.407022706020072</v>
      </c>
      <c r="M195" s="79">
        <f t="shared" si="332"/>
        <v>88.586899627685284</v>
      </c>
      <c r="O195" s="52" t="str">
        <f t="shared" si="333"/>
        <v>B40R60</v>
      </c>
      <c r="P195" s="120">
        <v>62.73</v>
      </c>
      <c r="R195" s="120">
        <v>0.46</v>
      </c>
      <c r="T195" s="120">
        <v>14.05</v>
      </c>
      <c r="V195" s="120">
        <v>3.5495580000000007</v>
      </c>
      <c r="W195" s="120">
        <v>2.2222</v>
      </c>
      <c r="X195" s="120">
        <v>0.12</v>
      </c>
      <c r="Y195" s="120">
        <v>4.01</v>
      </c>
      <c r="Z195" s="120">
        <v>6.07</v>
      </c>
      <c r="AE195" s="120">
        <v>2.95</v>
      </c>
      <c r="AF195" s="120">
        <v>3.02</v>
      </c>
      <c r="AI195" s="120">
        <v>0.02</v>
      </c>
      <c r="AM195" s="86">
        <f t="shared" si="360"/>
        <v>99.201757999999998</v>
      </c>
      <c r="AO195" s="71">
        <f t="shared" si="328"/>
        <v>1.5300255065678281</v>
      </c>
      <c r="AQ195" s="97" t="str">
        <f t="shared" si="334"/>
        <v>B40R60</v>
      </c>
      <c r="AR195" s="73">
        <f t="shared" si="384"/>
        <v>68.241205895573586</v>
      </c>
      <c r="AS195" s="73">
        <f t="shared" si="385"/>
        <v>0</v>
      </c>
      <c r="AT195" s="73">
        <f t="shared" si="386"/>
        <v>0.37628107968828167</v>
      </c>
      <c r="AU195" s="73">
        <f t="shared" si="387"/>
        <v>0</v>
      </c>
      <c r="AV195" s="73">
        <f t="shared" si="388"/>
        <v>9.0063293928707466</v>
      </c>
      <c r="AW195" s="73">
        <f t="shared" si="389"/>
        <v>0</v>
      </c>
      <c r="AX195" s="73">
        <f t="shared" si="390"/>
        <v>1.4527734194353272</v>
      </c>
      <c r="AY195" s="73">
        <f t="shared" si="391"/>
        <v>2.0214253136406048</v>
      </c>
      <c r="AZ195" s="73">
        <f t="shared" si="392"/>
        <v>0.11055830990215995</v>
      </c>
      <c r="BA195" s="73">
        <f t="shared" si="393"/>
        <v>6.5017894821139288</v>
      </c>
      <c r="BB195" s="73">
        <f t="shared" si="394"/>
        <v>7.0742762544679492</v>
      </c>
      <c r="BC195" s="73">
        <f t="shared" si="395"/>
        <v>0</v>
      </c>
      <c r="BD195" s="73">
        <f t="shared" si="396"/>
        <v>0</v>
      </c>
      <c r="BE195" s="73">
        <f t="shared" si="397"/>
        <v>0</v>
      </c>
      <c r="BF195" s="73">
        <f t="shared" si="398"/>
        <v>0</v>
      </c>
      <c r="BG195" s="73">
        <f t="shared" si="399"/>
        <v>3.1107977288580617</v>
      </c>
      <c r="BH195" s="73">
        <f t="shared" si="400"/>
        <v>2.0953538255013151</v>
      </c>
      <c r="BI195" s="73">
        <f t="shared" si="401"/>
        <v>0</v>
      </c>
      <c r="BJ195" s="73">
        <f t="shared" si="402"/>
        <v>0</v>
      </c>
      <c r="BK195" s="73">
        <f t="shared" si="403"/>
        <v>9.209297948028777E-3</v>
      </c>
      <c r="BL195" s="73">
        <f t="shared" si="404"/>
        <v>0</v>
      </c>
      <c r="BM195" s="73">
        <f t="shared" si="405"/>
        <v>0</v>
      </c>
      <c r="BN195" s="73">
        <f t="shared" si="406"/>
        <v>0</v>
      </c>
      <c r="BQ195">
        <f t="shared" si="407"/>
        <v>40.999316502060609</v>
      </c>
      <c r="BR195">
        <f t="shared" si="408"/>
        <v>0</v>
      </c>
      <c r="BS195">
        <f t="shared" si="409"/>
        <v>0.30064858267093708</v>
      </c>
      <c r="BT195">
        <f t="shared" si="410"/>
        <v>0</v>
      </c>
      <c r="BU195">
        <f t="shared" si="411"/>
        <v>9.182853448971013</v>
      </c>
      <c r="BV195">
        <f t="shared" si="412"/>
        <v>0</v>
      </c>
      <c r="BW195">
        <f t="shared" si="413"/>
        <v>2.3199338734962738</v>
      </c>
      <c r="BX195">
        <f t="shared" si="414"/>
        <v>1.4523940878507744</v>
      </c>
      <c r="BY195">
        <f t="shared" si="415"/>
        <v>7.8430065044592268E-2</v>
      </c>
      <c r="BZ195">
        <f t="shared" si="416"/>
        <v>2.6208713402401247</v>
      </c>
      <c r="CA195">
        <f t="shared" si="417"/>
        <v>3.9672541235056262</v>
      </c>
      <c r="CB195">
        <f t="shared" si="418"/>
        <v>0</v>
      </c>
      <c r="CC195">
        <f t="shared" si="419"/>
        <v>0</v>
      </c>
      <c r="CD195">
        <f t="shared" si="420"/>
        <v>0</v>
      </c>
      <c r="CE195">
        <f t="shared" si="421"/>
        <v>0</v>
      </c>
      <c r="CF195">
        <f t="shared" si="422"/>
        <v>1.9280724323462266</v>
      </c>
      <c r="CG195">
        <f t="shared" si="423"/>
        <v>1.9738233036222388</v>
      </c>
      <c r="CH195">
        <f t="shared" si="424"/>
        <v>0</v>
      </c>
      <c r="CI195">
        <f t="shared" si="425"/>
        <v>0</v>
      </c>
      <c r="CJ195">
        <f t="shared" si="426"/>
        <v>1.3071677507432046E-2</v>
      </c>
      <c r="CK195">
        <f t="shared" si="427"/>
        <v>0</v>
      </c>
      <c r="CL195">
        <f t="shared" si="428"/>
        <v>0</v>
      </c>
      <c r="CN195">
        <f t="shared" si="429"/>
        <v>64.836669437315834</v>
      </c>
      <c r="CP195">
        <f t="shared" si="430"/>
        <v>2.0472361768672078</v>
      </c>
      <c r="CQ195">
        <f t="shared" si="431"/>
        <v>0</v>
      </c>
      <c r="CR195">
        <f t="shared" si="432"/>
        <v>1.128843239064845E-2</v>
      </c>
      <c r="CS195">
        <f t="shared" si="433"/>
        <v>0</v>
      </c>
      <c r="CT195">
        <f t="shared" si="434"/>
        <v>0.45031646964353733</v>
      </c>
      <c r="CU195">
        <f t="shared" si="435"/>
        <v>0</v>
      </c>
      <c r="CV195">
        <f t="shared" si="436"/>
        <v>7.2638670971766364E-2</v>
      </c>
      <c r="CW195">
        <f t="shared" si="437"/>
        <v>4.0428506272812095E-2</v>
      </c>
      <c r="CX195">
        <f t="shared" si="438"/>
        <v>2.2111661980431991E-3</v>
      </c>
      <c r="CY195">
        <f t="shared" si="439"/>
        <v>0.13003578964227858</v>
      </c>
      <c r="CZ195">
        <f t="shared" si="440"/>
        <v>0.14148552508935899</v>
      </c>
      <c r="DA195">
        <f t="shared" si="441"/>
        <v>0</v>
      </c>
      <c r="DB195">
        <f t="shared" si="442"/>
        <v>0</v>
      </c>
      <c r="DC195">
        <f t="shared" si="443"/>
        <v>0</v>
      </c>
      <c r="DD195">
        <f t="shared" si="444"/>
        <v>0</v>
      </c>
      <c r="DE195">
        <f t="shared" si="445"/>
        <v>9.3323931865741852E-2</v>
      </c>
      <c r="DF195">
        <f t="shared" si="446"/>
        <v>6.2860614765039458E-2</v>
      </c>
      <c r="DG195">
        <f t="shared" si="447"/>
        <v>0</v>
      </c>
      <c r="DH195">
        <f t="shared" si="448"/>
        <v>0</v>
      </c>
      <c r="DI195">
        <f t="shared" si="449"/>
        <v>6.4465085636201437E-4</v>
      </c>
      <c r="DJ195">
        <f t="shared" si="450"/>
        <v>0</v>
      </c>
      <c r="DK195">
        <f t="shared" si="451"/>
        <v>0</v>
      </c>
      <c r="DM195">
        <f t="shared" si="452"/>
        <v>3.0524699345627964</v>
      </c>
    </row>
    <row r="196" spans="1:117">
      <c r="A196" s="120" t="s">
        <v>340</v>
      </c>
      <c r="B196" s="120" t="s">
        <v>345</v>
      </c>
      <c r="C196" s="121">
        <v>2.3660000000000001</v>
      </c>
      <c r="F196" s="121">
        <v>5888</v>
      </c>
      <c r="G196" s="121">
        <v>3550</v>
      </c>
      <c r="H196" s="43">
        <f t="shared" si="329"/>
        <v>2.188524760706372E+22</v>
      </c>
      <c r="I196" s="43">
        <f t="shared" si="330"/>
        <v>6.7887448947102134E+22</v>
      </c>
      <c r="J196" s="42">
        <f t="shared" si="331"/>
        <v>82.025775104000004</v>
      </c>
      <c r="K196" s="42">
        <f t="shared" si="358"/>
        <v>29.817515</v>
      </c>
      <c r="L196" s="42">
        <f t="shared" si="359"/>
        <v>87.669812131816755</v>
      </c>
      <c r="M196" s="79">
        <f t="shared" si="332"/>
        <v>83.922551428419311</v>
      </c>
      <c r="O196" s="52" t="str">
        <f t="shared" si="333"/>
        <v>B20R80</v>
      </c>
      <c r="P196" s="120">
        <v>67.91</v>
      </c>
      <c r="R196" s="120">
        <v>0.28999999999999998</v>
      </c>
      <c r="T196" s="120">
        <v>13.59</v>
      </c>
      <c r="V196" s="120">
        <v>2.3756220000000003</v>
      </c>
      <c r="W196" s="120">
        <v>1.5497999999999998</v>
      </c>
      <c r="X196" s="120">
        <v>0.11</v>
      </c>
      <c r="Y196" s="120">
        <v>2.1800000000000002</v>
      </c>
      <c r="Z196" s="120">
        <v>3.63</v>
      </c>
      <c r="AE196" s="120">
        <v>3.29</v>
      </c>
      <c r="AF196" s="120">
        <v>3.99</v>
      </c>
      <c r="AI196" s="120">
        <v>0.02</v>
      </c>
      <c r="AM196" s="86">
        <f t="shared" si="360"/>
        <v>98.935422000000017</v>
      </c>
      <c r="AO196" s="71">
        <f t="shared" si="328"/>
        <v>1.5196294001278841</v>
      </c>
      <c r="AQ196" s="97" t="str">
        <f t="shared" si="334"/>
        <v>B20R80</v>
      </c>
      <c r="AR196" s="73">
        <f t="shared" si="384"/>
        <v>74.381703301867958</v>
      </c>
      <c r="AS196" s="73">
        <f t="shared" si="385"/>
        <v>0</v>
      </c>
      <c r="AT196" s="73">
        <f t="shared" si="386"/>
        <v>0.23884355757041786</v>
      </c>
      <c r="AU196" s="73">
        <f t="shared" si="387"/>
        <v>0</v>
      </c>
      <c r="AV196" s="73">
        <f t="shared" si="388"/>
        <v>8.7710571892906</v>
      </c>
      <c r="AW196" s="73">
        <f t="shared" si="389"/>
        <v>0</v>
      </c>
      <c r="AX196" s="73">
        <f t="shared" si="390"/>
        <v>0.978953200118589</v>
      </c>
      <c r="AY196" s="73">
        <f t="shared" si="391"/>
        <v>1.4194209040509891</v>
      </c>
      <c r="AZ196" s="73">
        <f t="shared" si="392"/>
        <v>0.10203844081382048</v>
      </c>
      <c r="BA196" s="73">
        <f t="shared" si="393"/>
        <v>3.5588198825251318</v>
      </c>
      <c r="BB196" s="73">
        <f t="shared" si="394"/>
        <v>4.2595226589509627</v>
      </c>
      <c r="BC196" s="73">
        <f t="shared" si="395"/>
        <v>0</v>
      </c>
      <c r="BD196" s="73">
        <f t="shared" si="396"/>
        <v>0</v>
      </c>
      <c r="BE196" s="73">
        <f t="shared" si="397"/>
        <v>0</v>
      </c>
      <c r="BF196" s="73">
        <f t="shared" si="398"/>
        <v>0</v>
      </c>
      <c r="BG196" s="73">
        <f t="shared" si="399"/>
        <v>3.4930647718448293</v>
      </c>
      <c r="BH196" s="73">
        <f t="shared" si="400"/>
        <v>2.7873037922617616</v>
      </c>
      <c r="BI196" s="73">
        <f t="shared" si="401"/>
        <v>0</v>
      </c>
      <c r="BJ196" s="73">
        <f t="shared" si="402"/>
        <v>0</v>
      </c>
      <c r="BK196" s="73">
        <f t="shared" si="403"/>
        <v>9.2723007049488569E-3</v>
      </c>
      <c r="BL196" s="73">
        <f t="shared" si="404"/>
        <v>0</v>
      </c>
      <c r="BM196" s="73">
        <f t="shared" si="405"/>
        <v>0</v>
      </c>
      <c r="BN196" s="73">
        <f t="shared" si="406"/>
        <v>0</v>
      </c>
      <c r="BQ196">
        <f t="shared" si="407"/>
        <v>44.688527343762274</v>
      </c>
      <c r="BR196">
        <f t="shared" si="408"/>
        <v>0</v>
      </c>
      <c r="BS196">
        <f t="shared" si="409"/>
        <v>0.1908360024987639</v>
      </c>
      <c r="BT196">
        <f t="shared" si="410"/>
        <v>0</v>
      </c>
      <c r="BU196">
        <f t="shared" si="411"/>
        <v>8.942969910200695</v>
      </c>
      <c r="BV196">
        <f t="shared" si="412"/>
        <v>0</v>
      </c>
      <c r="BW196">
        <f t="shared" si="413"/>
        <v>1.5632903652693748</v>
      </c>
      <c r="BX196">
        <f t="shared" si="414"/>
        <v>1.0198539195606355</v>
      </c>
      <c r="BY196">
        <f t="shared" si="415"/>
        <v>7.2386069913324233E-2</v>
      </c>
      <c r="BZ196">
        <f t="shared" si="416"/>
        <v>1.4345602946458809</v>
      </c>
      <c r="CA196">
        <f t="shared" si="417"/>
        <v>2.3887403071396998</v>
      </c>
      <c r="CB196">
        <f t="shared" si="418"/>
        <v>0</v>
      </c>
      <c r="CC196">
        <f t="shared" si="419"/>
        <v>0</v>
      </c>
      <c r="CD196">
        <f t="shared" si="420"/>
        <v>0</v>
      </c>
      <c r="CE196">
        <f t="shared" si="421"/>
        <v>0</v>
      </c>
      <c r="CF196">
        <f t="shared" si="422"/>
        <v>2.1650015455894254</v>
      </c>
      <c r="CG196">
        <f t="shared" si="423"/>
        <v>2.6256401723105798</v>
      </c>
      <c r="CH196">
        <f t="shared" si="424"/>
        <v>0</v>
      </c>
      <c r="CI196">
        <f t="shared" si="425"/>
        <v>0</v>
      </c>
      <c r="CJ196">
        <f t="shared" si="426"/>
        <v>1.3161103620604407E-2</v>
      </c>
      <c r="CK196">
        <f t="shared" si="427"/>
        <v>0</v>
      </c>
      <c r="CL196">
        <f t="shared" si="428"/>
        <v>0</v>
      </c>
      <c r="CN196">
        <f t="shared" si="429"/>
        <v>65.104967034511262</v>
      </c>
      <c r="CP196">
        <f t="shared" si="430"/>
        <v>2.2314510990560388</v>
      </c>
      <c r="CQ196">
        <f t="shared" si="431"/>
        <v>0</v>
      </c>
      <c r="CR196">
        <f t="shared" si="432"/>
        <v>7.1653067271125366E-3</v>
      </c>
      <c r="CS196">
        <f t="shared" si="433"/>
        <v>0</v>
      </c>
      <c r="CT196">
        <f t="shared" si="434"/>
        <v>0.43855285946452999</v>
      </c>
      <c r="CU196">
        <f t="shared" si="435"/>
        <v>0</v>
      </c>
      <c r="CV196">
        <f t="shared" si="436"/>
        <v>4.8947660005929448E-2</v>
      </c>
      <c r="CW196">
        <f t="shared" si="437"/>
        <v>2.8388418081019783E-2</v>
      </c>
      <c r="CX196">
        <f t="shared" si="438"/>
        <v>2.0407688162764094E-3</v>
      </c>
      <c r="CY196">
        <f t="shared" si="439"/>
        <v>7.117639765050264E-2</v>
      </c>
      <c r="CZ196">
        <f t="shared" si="440"/>
        <v>8.5190453179019257E-2</v>
      </c>
      <c r="DA196">
        <f t="shared" si="441"/>
        <v>0</v>
      </c>
      <c r="DB196">
        <f t="shared" si="442"/>
        <v>0</v>
      </c>
      <c r="DC196">
        <f t="shared" si="443"/>
        <v>0</v>
      </c>
      <c r="DD196">
        <f t="shared" si="444"/>
        <v>0</v>
      </c>
      <c r="DE196">
        <f t="shared" si="445"/>
        <v>0.10479194315534489</v>
      </c>
      <c r="DF196">
        <f t="shared" si="446"/>
        <v>8.361911376785286E-2</v>
      </c>
      <c r="DG196">
        <f t="shared" si="447"/>
        <v>0</v>
      </c>
      <c r="DH196">
        <f t="shared" si="448"/>
        <v>0</v>
      </c>
      <c r="DI196">
        <f t="shared" si="449"/>
        <v>6.4906104934642E-4</v>
      </c>
      <c r="DJ196">
        <f t="shared" si="450"/>
        <v>0</v>
      </c>
      <c r="DK196">
        <f t="shared" si="451"/>
        <v>0</v>
      </c>
      <c r="DM196">
        <f t="shared" si="452"/>
        <v>3.1019730809529733</v>
      </c>
    </row>
    <row r="197" spans="1:117">
      <c r="A197" s="120" t="s">
        <v>340</v>
      </c>
      <c r="B197" s="120" t="s">
        <v>346</v>
      </c>
      <c r="C197" s="121">
        <v>2.238</v>
      </c>
      <c r="F197" s="121">
        <v>5744</v>
      </c>
      <c r="G197" s="121">
        <v>3535</v>
      </c>
      <c r="H197" s="43">
        <f t="shared" si="329"/>
        <v>2.0593495194389151E+22</v>
      </c>
      <c r="I197" s="43">
        <f t="shared" si="330"/>
        <v>6.4979240066114528E+22</v>
      </c>
      <c r="J197" s="42">
        <f t="shared" si="331"/>
        <v>73.839533568000007</v>
      </c>
      <c r="K197" s="42">
        <f t="shared" si="358"/>
        <v>27.966551550000002</v>
      </c>
      <c r="L197" s="42">
        <f t="shared" si="359"/>
        <v>82.222145725748348</v>
      </c>
      <c r="M197" s="79">
        <f t="shared" si="332"/>
        <v>78.606558803735581</v>
      </c>
      <c r="O197" s="52" t="str">
        <f t="shared" si="333"/>
        <v>R100</v>
      </c>
      <c r="P197" s="120">
        <v>73.97</v>
      </c>
      <c r="R197" s="120">
        <v>0.12</v>
      </c>
      <c r="T197" s="120">
        <v>13.48</v>
      </c>
      <c r="V197" s="120">
        <v>1.5091559999999999</v>
      </c>
      <c r="W197" s="120">
        <v>0.70040000000000002</v>
      </c>
      <c r="X197" s="120">
        <v>0.08</v>
      </c>
      <c r="Y197" s="120">
        <v>0.44</v>
      </c>
      <c r="Z197" s="120">
        <v>1.36</v>
      </c>
      <c r="AE197" s="120">
        <v>3.75</v>
      </c>
      <c r="AF197" s="120">
        <v>4.8899999999999997</v>
      </c>
      <c r="AI197" s="120">
        <v>0.03</v>
      </c>
      <c r="AM197" s="86">
        <f t="shared" si="360"/>
        <v>100.32955600000001</v>
      </c>
      <c r="AO197" s="71">
        <f t="shared" si="328"/>
        <v>1.5330207148826061</v>
      </c>
      <c r="AQ197" s="97" t="str">
        <f t="shared" si="334"/>
        <v>R100</v>
      </c>
      <c r="AR197" s="73">
        <f t="shared" si="384"/>
        <v>80.311487795855371</v>
      </c>
      <c r="AS197" s="73">
        <f t="shared" si="385"/>
        <v>0</v>
      </c>
      <c r="AT197" s="73">
        <f t="shared" si="386"/>
        <v>9.7968496583450485E-2</v>
      </c>
      <c r="AU197" s="73">
        <f t="shared" si="387"/>
        <v>0</v>
      </c>
      <c r="AV197" s="73">
        <f t="shared" si="388"/>
        <v>8.6240654163559665</v>
      </c>
      <c r="AW197" s="73">
        <f t="shared" si="389"/>
        <v>0</v>
      </c>
      <c r="AX197" s="73">
        <f t="shared" si="390"/>
        <v>0.61646495188325889</v>
      </c>
      <c r="AY197" s="73">
        <f t="shared" si="391"/>
        <v>0.63587440119034955</v>
      </c>
      <c r="AZ197" s="73">
        <f t="shared" si="392"/>
        <v>7.356153441422511E-2</v>
      </c>
      <c r="BA197" s="73">
        <f t="shared" si="393"/>
        <v>0.712019446350737</v>
      </c>
      <c r="BB197" s="73">
        <f t="shared" si="394"/>
        <v>1.5819140383892154</v>
      </c>
      <c r="BC197" s="73">
        <f t="shared" si="395"/>
        <v>0</v>
      </c>
      <c r="BD197" s="73">
        <f t="shared" si="396"/>
        <v>0</v>
      </c>
      <c r="BE197" s="73">
        <f t="shared" si="397"/>
        <v>0</v>
      </c>
      <c r="BF197" s="73">
        <f t="shared" si="398"/>
        <v>0</v>
      </c>
      <c r="BG197" s="73">
        <f t="shared" si="399"/>
        <v>3.9466777977864305</v>
      </c>
      <c r="BH197" s="73">
        <f t="shared" si="400"/>
        <v>3.3861791638903505</v>
      </c>
      <c r="BI197" s="73">
        <f t="shared" si="401"/>
        <v>0</v>
      </c>
      <c r="BJ197" s="73">
        <f t="shared" si="402"/>
        <v>0</v>
      </c>
      <c r="BK197" s="73">
        <f t="shared" si="403"/>
        <v>1.3786957300651145E-2</v>
      </c>
      <c r="BL197" s="73">
        <f t="shared" si="404"/>
        <v>0</v>
      </c>
      <c r="BM197" s="73">
        <f t="shared" si="405"/>
        <v>0</v>
      </c>
      <c r="BN197" s="73">
        <f t="shared" si="406"/>
        <v>0</v>
      </c>
      <c r="BQ197">
        <f t="shared" si="407"/>
        <v>48.251141867749908</v>
      </c>
      <c r="BR197">
        <f t="shared" si="408"/>
        <v>0</v>
      </c>
      <c r="BS197">
        <f t="shared" si="409"/>
        <v>7.8276828770176943E-2</v>
      </c>
      <c r="BT197">
        <f t="shared" si="410"/>
        <v>0</v>
      </c>
      <c r="BU197">
        <f t="shared" si="411"/>
        <v>8.7930970985165438</v>
      </c>
      <c r="BV197">
        <f t="shared" si="412"/>
        <v>0</v>
      </c>
      <c r="BW197">
        <f t="shared" si="413"/>
        <v>0.98443288166237619</v>
      </c>
      <c r="BX197">
        <f t="shared" si="414"/>
        <v>0.45687575725526608</v>
      </c>
      <c r="BY197">
        <f t="shared" si="415"/>
        <v>5.2184552513451291E-2</v>
      </c>
      <c r="BZ197">
        <f t="shared" si="416"/>
        <v>0.2870150388239821</v>
      </c>
      <c r="CA197">
        <f t="shared" si="417"/>
        <v>0.88713739272867187</v>
      </c>
      <c r="CB197">
        <f t="shared" si="418"/>
        <v>0</v>
      </c>
      <c r="CC197">
        <f t="shared" si="419"/>
        <v>0</v>
      </c>
      <c r="CD197">
        <f t="shared" si="420"/>
        <v>0</v>
      </c>
      <c r="CE197">
        <f t="shared" si="421"/>
        <v>0</v>
      </c>
      <c r="CF197">
        <f t="shared" si="422"/>
        <v>2.4461508990680296</v>
      </c>
      <c r="CG197">
        <f t="shared" si="423"/>
        <v>3.1897807723847098</v>
      </c>
      <c r="CH197">
        <f t="shared" si="424"/>
        <v>0</v>
      </c>
      <c r="CI197">
        <f t="shared" si="425"/>
        <v>0</v>
      </c>
      <c r="CJ197">
        <f t="shared" si="426"/>
        <v>1.9569207192544236E-2</v>
      </c>
      <c r="CK197">
        <f t="shared" si="427"/>
        <v>0</v>
      </c>
      <c r="CL197">
        <f t="shared" si="428"/>
        <v>0</v>
      </c>
      <c r="CN197">
        <f t="shared" si="429"/>
        <v>65.445662296665674</v>
      </c>
      <c r="CP197">
        <f t="shared" si="430"/>
        <v>2.4093446338756612</v>
      </c>
      <c r="CQ197">
        <f t="shared" si="431"/>
        <v>0</v>
      </c>
      <c r="CR197">
        <f t="shared" si="432"/>
        <v>2.9390548975035142E-3</v>
      </c>
      <c r="CS197">
        <f t="shared" si="433"/>
        <v>0</v>
      </c>
      <c r="CT197">
        <f t="shared" si="434"/>
        <v>0.4312032708177983</v>
      </c>
      <c r="CU197">
        <f t="shared" si="435"/>
        <v>0</v>
      </c>
      <c r="CV197">
        <f t="shared" si="436"/>
        <v>3.0823247594162946E-2</v>
      </c>
      <c r="CW197">
        <f t="shared" si="437"/>
        <v>1.271748802380699E-2</v>
      </c>
      <c r="CX197">
        <f t="shared" si="438"/>
        <v>1.4712306882845021E-3</v>
      </c>
      <c r="CY197">
        <f t="shared" si="439"/>
        <v>1.4240388927014741E-2</v>
      </c>
      <c r="CZ197">
        <f t="shared" si="440"/>
        <v>3.1638280767784306E-2</v>
      </c>
      <c r="DA197">
        <f t="shared" si="441"/>
        <v>0</v>
      </c>
      <c r="DB197">
        <f t="shared" si="442"/>
        <v>0</v>
      </c>
      <c r="DC197">
        <f t="shared" si="443"/>
        <v>0</v>
      </c>
      <c r="DD197">
        <f t="shared" si="444"/>
        <v>0</v>
      </c>
      <c r="DE197">
        <f t="shared" si="445"/>
        <v>0.11840033393359292</v>
      </c>
      <c r="DF197">
        <f t="shared" si="446"/>
        <v>0.10158537491671051</v>
      </c>
      <c r="DG197">
        <f t="shared" si="447"/>
        <v>0</v>
      </c>
      <c r="DH197">
        <f t="shared" si="448"/>
        <v>0</v>
      </c>
      <c r="DI197">
        <f t="shared" si="449"/>
        <v>9.6508701104558014E-4</v>
      </c>
      <c r="DJ197">
        <f t="shared" si="450"/>
        <v>0</v>
      </c>
      <c r="DK197">
        <f t="shared" si="451"/>
        <v>0</v>
      </c>
      <c r="DM197">
        <f t="shared" si="452"/>
        <v>3.1553283914533652</v>
      </c>
    </row>
    <row r="198" spans="1:117">
      <c r="A198" s="120" t="s">
        <v>340</v>
      </c>
      <c r="B198" s="120" t="s">
        <v>347</v>
      </c>
      <c r="C198" s="121">
        <v>2.7250000000000001</v>
      </c>
      <c r="F198" s="121">
        <v>6341</v>
      </c>
      <c r="G198" s="121">
        <v>3609</v>
      </c>
      <c r="H198" s="43">
        <f t="shared" si="329"/>
        <v>2.6186842164164324E+22</v>
      </c>
      <c r="I198" s="43">
        <f t="shared" si="330"/>
        <v>7.5452688279064587E+22</v>
      </c>
      <c r="J198" s="42">
        <f t="shared" si="331"/>
        <v>109.56756572500001</v>
      </c>
      <c r="K198" s="42">
        <f t="shared" si="358"/>
        <v>35.492800725000002</v>
      </c>
      <c r="L198" s="42">
        <f t="shared" si="359"/>
        <v>104.34526876562045</v>
      </c>
      <c r="M198" s="79">
        <f t="shared" si="332"/>
        <v>100.33215713643168</v>
      </c>
      <c r="O198" s="52" t="str">
        <f t="shared" si="333"/>
        <v>B80-n</v>
      </c>
      <c r="P198" s="120">
        <v>52.98</v>
      </c>
      <c r="R198" s="120">
        <v>0.81</v>
      </c>
      <c r="T198" s="120">
        <v>15.13</v>
      </c>
      <c r="V198" s="120">
        <v>0</v>
      </c>
      <c r="W198" s="120">
        <v>8.2899999999999991</v>
      </c>
      <c r="X198" s="120">
        <v>0.18</v>
      </c>
      <c r="Y198" s="120">
        <v>6.92</v>
      </c>
      <c r="Z198" s="120">
        <v>10.89</v>
      </c>
      <c r="AE198" s="120">
        <v>2.11</v>
      </c>
      <c r="AF198" s="120">
        <v>0.95</v>
      </c>
      <c r="AI198" s="120">
        <v>0.03</v>
      </c>
      <c r="AM198" s="86">
        <f t="shared" si="360"/>
        <v>98.29000000000002</v>
      </c>
      <c r="AO198" s="71">
        <f t="shared" ref="AO198:AO203" si="453">(P198/$AR$3+Q198/$AS$3+R198/$AT$3+S198/$AU$3+T198/$AV$3+U198/$AW$3+V198/$AX$3+W198/$AY$3+X198/$AZ$3+Y198/$BA$3+Z198/$BB$3+AA198/$BC$3+AB198/$BD$3+AC198/$BE$3+AD198/$BF$3+AE198/$BG$3+AF198/$BH$3+AG198/$BI$3+AH198/$BJ$3+AI198/$BK$3+AJ198/$BL$3+AL198/$BN$3+AK198/$BM$3)</f>
        <v>1.5684660095475289</v>
      </c>
      <c r="AQ198" s="97" t="str">
        <f t="shared" si="334"/>
        <v>B80-n</v>
      </c>
      <c r="AR198" s="73">
        <f t="shared" si="384"/>
        <v>56.222081255594631</v>
      </c>
      <c r="AS198" s="73">
        <f t="shared" si="385"/>
        <v>0</v>
      </c>
      <c r="AT198" s="73">
        <f t="shared" si="386"/>
        <v>0.64634311667596511</v>
      </c>
      <c r="AU198" s="73">
        <f t="shared" si="387"/>
        <v>0</v>
      </c>
      <c r="AV198" s="73">
        <f t="shared" si="388"/>
        <v>9.4609334971479697</v>
      </c>
      <c r="AW198" s="73">
        <f t="shared" si="389"/>
        <v>0</v>
      </c>
      <c r="AX198" s="73">
        <f t="shared" si="390"/>
        <v>0</v>
      </c>
      <c r="AY198" s="73">
        <f t="shared" si="391"/>
        <v>7.3561850655218901</v>
      </c>
      <c r="AZ198" s="73">
        <f t="shared" si="392"/>
        <v>0.1617730633787853</v>
      </c>
      <c r="BA198" s="73">
        <f t="shared" si="393"/>
        <v>10.945060961348149</v>
      </c>
      <c r="BB198" s="73">
        <f t="shared" si="394"/>
        <v>12.380687544998345</v>
      </c>
      <c r="BC198" s="73">
        <f t="shared" si="395"/>
        <v>0</v>
      </c>
      <c r="BD198" s="73">
        <f t="shared" si="396"/>
        <v>0</v>
      </c>
      <c r="BE198" s="73">
        <f t="shared" si="397"/>
        <v>0</v>
      </c>
      <c r="BF198" s="73">
        <f t="shared" si="398"/>
        <v>0</v>
      </c>
      <c r="BG198" s="73">
        <f t="shared" si="399"/>
        <v>2.1704799178007304</v>
      </c>
      <c r="BH198" s="73">
        <f t="shared" si="400"/>
        <v>0.6429801875611274</v>
      </c>
      <c r="BI198" s="73">
        <f t="shared" si="401"/>
        <v>0</v>
      </c>
      <c r="BJ198" s="73">
        <f t="shared" si="402"/>
        <v>0</v>
      </c>
      <c r="BK198" s="73">
        <f t="shared" si="403"/>
        <v>1.3475389972395646E-2</v>
      </c>
      <c r="BL198" s="73">
        <f t="shared" si="404"/>
        <v>0</v>
      </c>
      <c r="BM198" s="73">
        <f t="shared" si="405"/>
        <v>0</v>
      </c>
      <c r="BN198" s="73">
        <f t="shared" si="406"/>
        <v>0</v>
      </c>
      <c r="BQ198">
        <f t="shared" si="407"/>
        <v>33.778226418361257</v>
      </c>
      <c r="BR198">
        <f t="shared" si="408"/>
        <v>0</v>
      </c>
      <c r="BS198">
        <f t="shared" si="409"/>
        <v>0.51642815022409616</v>
      </c>
      <c r="BT198">
        <f t="shared" si="410"/>
        <v>0</v>
      </c>
      <c r="BU198">
        <f t="shared" si="411"/>
        <v>9.6463677936920682</v>
      </c>
      <c r="BV198">
        <f t="shared" si="412"/>
        <v>0</v>
      </c>
      <c r="BW198">
        <f t="shared" si="413"/>
        <v>0</v>
      </c>
      <c r="BX198">
        <f t="shared" si="414"/>
        <v>5.2854189695774778</v>
      </c>
      <c r="BY198">
        <f t="shared" si="415"/>
        <v>0.11476181116091029</v>
      </c>
      <c r="BZ198">
        <f t="shared" si="416"/>
        <v>4.4119540735194391</v>
      </c>
      <c r="CA198">
        <f t="shared" si="417"/>
        <v>6.9430895752350716</v>
      </c>
      <c r="CB198">
        <f t="shared" si="418"/>
        <v>0</v>
      </c>
      <c r="CC198">
        <f t="shared" si="419"/>
        <v>0</v>
      </c>
      <c r="CD198">
        <f t="shared" si="420"/>
        <v>0</v>
      </c>
      <c r="CE198">
        <f t="shared" si="421"/>
        <v>0</v>
      </c>
      <c r="CF198">
        <f t="shared" si="422"/>
        <v>1.3452634530528926</v>
      </c>
      <c r="CG198">
        <f t="shared" si="423"/>
        <v>0.60568733668258201</v>
      </c>
      <c r="CH198">
        <f t="shared" si="424"/>
        <v>0</v>
      </c>
      <c r="CI198">
        <f t="shared" si="425"/>
        <v>0</v>
      </c>
      <c r="CJ198">
        <f t="shared" si="426"/>
        <v>1.9126968526818378E-2</v>
      </c>
      <c r="CK198">
        <f t="shared" si="427"/>
        <v>0</v>
      </c>
      <c r="CL198">
        <f t="shared" si="428"/>
        <v>0</v>
      </c>
      <c r="CN198">
        <f t="shared" si="429"/>
        <v>62.66632455003262</v>
      </c>
      <c r="CP198">
        <f t="shared" si="430"/>
        <v>1.686662437667839</v>
      </c>
      <c r="CQ198">
        <f t="shared" si="431"/>
        <v>0</v>
      </c>
      <c r="CR198">
        <f t="shared" si="432"/>
        <v>1.9390293500278953E-2</v>
      </c>
      <c r="CS198">
        <f t="shared" si="433"/>
        <v>0</v>
      </c>
      <c r="CT198">
        <f t="shared" si="434"/>
        <v>0.47304667485739849</v>
      </c>
      <c r="CU198">
        <f t="shared" si="435"/>
        <v>0</v>
      </c>
      <c r="CV198">
        <f t="shared" si="436"/>
        <v>0</v>
      </c>
      <c r="CW198">
        <f t="shared" si="437"/>
        <v>0.14712370131043781</v>
      </c>
      <c r="CX198">
        <f t="shared" si="438"/>
        <v>3.2354612675757062E-3</v>
      </c>
      <c r="CY198">
        <f t="shared" si="439"/>
        <v>0.21890121922696298</v>
      </c>
      <c r="CZ198">
        <f t="shared" si="440"/>
        <v>0.2476137508999669</v>
      </c>
      <c r="DA198">
        <f t="shared" si="441"/>
        <v>0</v>
      </c>
      <c r="DB198">
        <f t="shared" si="442"/>
        <v>0</v>
      </c>
      <c r="DC198">
        <f t="shared" si="443"/>
        <v>0</v>
      </c>
      <c r="DD198">
        <f t="shared" si="444"/>
        <v>0</v>
      </c>
      <c r="DE198">
        <f t="shared" si="445"/>
        <v>6.5114397534021914E-2</v>
      </c>
      <c r="DF198">
        <f t="shared" si="446"/>
        <v>1.9289405626833823E-2</v>
      </c>
      <c r="DG198">
        <f t="shared" si="447"/>
        <v>0</v>
      </c>
      <c r="DH198">
        <f t="shared" si="448"/>
        <v>0</v>
      </c>
      <c r="DI198">
        <f t="shared" si="449"/>
        <v>9.4327729806769527E-4</v>
      </c>
      <c r="DJ198">
        <f t="shared" si="450"/>
        <v>0</v>
      </c>
      <c r="DK198">
        <f t="shared" si="451"/>
        <v>0</v>
      </c>
      <c r="DM198">
        <f t="shared" si="452"/>
        <v>2.8813206191893834</v>
      </c>
    </row>
    <row r="199" spans="1:117">
      <c r="A199" s="120" t="s">
        <v>340</v>
      </c>
      <c r="B199" s="120" t="s">
        <v>348</v>
      </c>
      <c r="C199" s="121">
        <v>2.355</v>
      </c>
      <c r="F199" s="121">
        <v>5775</v>
      </c>
      <c r="G199" s="121">
        <v>3547</v>
      </c>
      <c r="H199" s="43">
        <f t="shared" si="329"/>
        <v>2.1819997292918949E+22</v>
      </c>
      <c r="I199" s="43">
        <f t="shared" si="330"/>
        <v>6.8315122113709408E+22</v>
      </c>
      <c r="J199" s="42">
        <f t="shared" si="331"/>
        <v>78.540721875000003</v>
      </c>
      <c r="K199" s="42">
        <f t="shared" si="358"/>
        <v>29.628747194999999</v>
      </c>
      <c r="L199" s="42">
        <f t="shared" si="359"/>
        <v>87.10882389589419</v>
      </c>
      <c r="M199" s="79">
        <f t="shared" si="332"/>
        <v>83.321410488160922</v>
      </c>
      <c r="O199" s="52" t="str">
        <f t="shared" si="333"/>
        <v>R100-n</v>
      </c>
      <c r="P199" s="120">
        <v>72.34</v>
      </c>
      <c r="R199" s="120">
        <v>0.13</v>
      </c>
      <c r="T199" s="120">
        <v>13.48</v>
      </c>
      <c r="V199" s="120">
        <v>0</v>
      </c>
      <c r="W199" s="120">
        <v>2.1800000000000002</v>
      </c>
      <c r="X199" s="120">
        <v>0.11</v>
      </c>
      <c r="Y199" s="120">
        <v>0.45</v>
      </c>
      <c r="Z199" s="120">
        <v>1.36</v>
      </c>
      <c r="AE199" s="120">
        <v>3.6</v>
      </c>
      <c r="AF199" s="120">
        <v>4.6500000000000004</v>
      </c>
      <c r="AI199" s="120">
        <v>0.03</v>
      </c>
      <c r="AM199" s="86">
        <f t="shared" si="360"/>
        <v>98.330000000000013</v>
      </c>
      <c r="AO199" s="71">
        <f t="shared" si="453"/>
        <v>1.5128608088754905</v>
      </c>
      <c r="AQ199" s="97" t="str">
        <f t="shared" si="334"/>
        <v>R100-n</v>
      </c>
      <c r="AR199" s="73">
        <f t="shared" si="384"/>
        <v>79.588369571119117</v>
      </c>
      <c r="AS199" s="73">
        <f t="shared" si="385"/>
        <v>0</v>
      </c>
      <c r="AT199" s="73">
        <f t="shared" si="386"/>
        <v>0.10754682669383674</v>
      </c>
      <c r="AU199" s="73">
        <f t="shared" si="387"/>
        <v>0</v>
      </c>
      <c r="AV199" s="73">
        <f t="shared" si="388"/>
        <v>8.7389869922028431</v>
      </c>
      <c r="AW199" s="73">
        <f t="shared" si="389"/>
        <v>0</v>
      </c>
      <c r="AX199" s="73">
        <f t="shared" si="390"/>
        <v>0</v>
      </c>
      <c r="AY199" s="73">
        <f t="shared" si="391"/>
        <v>2.0055373231824714</v>
      </c>
      <c r="AZ199" s="73">
        <f t="shared" si="392"/>
        <v>0.10249496430484387</v>
      </c>
      <c r="BA199" s="73">
        <f t="shared" si="393"/>
        <v>0.73790549277272288</v>
      </c>
      <c r="BB199" s="73">
        <f t="shared" si="394"/>
        <v>1.6029941259545533</v>
      </c>
      <c r="BC199" s="73">
        <f t="shared" si="395"/>
        <v>0</v>
      </c>
      <c r="BD199" s="73">
        <f t="shared" si="396"/>
        <v>0</v>
      </c>
      <c r="BE199" s="73">
        <f t="shared" si="397"/>
        <v>0</v>
      </c>
      <c r="BF199" s="73">
        <f t="shared" si="398"/>
        <v>0</v>
      </c>
      <c r="BG199" s="73">
        <f t="shared" si="399"/>
        <v>3.8392991821450098</v>
      </c>
      <c r="BH199" s="73">
        <f t="shared" si="400"/>
        <v>3.2628948436791307</v>
      </c>
      <c r="BI199" s="73">
        <f t="shared" si="401"/>
        <v>0</v>
      </c>
      <c r="BJ199" s="73">
        <f t="shared" si="402"/>
        <v>0</v>
      </c>
      <c r="BK199" s="73">
        <f t="shared" si="403"/>
        <v>1.3970677945455104E-2</v>
      </c>
      <c r="BL199" s="73">
        <f t="shared" si="404"/>
        <v>0</v>
      </c>
      <c r="BM199" s="73">
        <f t="shared" si="405"/>
        <v>0</v>
      </c>
      <c r="BN199" s="73">
        <f t="shared" si="406"/>
        <v>0</v>
      </c>
      <c r="BQ199">
        <f t="shared" si="407"/>
        <v>47.816692438328367</v>
      </c>
      <c r="BR199">
        <f t="shared" si="408"/>
        <v>0</v>
      </c>
      <c r="BS199">
        <f t="shared" si="409"/>
        <v>8.5929914528375562E-2</v>
      </c>
      <c r="BT199">
        <f t="shared" si="410"/>
        <v>0</v>
      </c>
      <c r="BU199">
        <f t="shared" si="411"/>
        <v>8.9102711372500192</v>
      </c>
      <c r="BV199">
        <f t="shared" si="412"/>
        <v>0</v>
      </c>
      <c r="BW199">
        <f t="shared" si="413"/>
        <v>0</v>
      </c>
      <c r="BX199">
        <f t="shared" si="414"/>
        <v>1.4409785667066055</v>
      </c>
      <c r="BY199">
        <f t="shared" si="415"/>
        <v>7.2709927677856237E-2</v>
      </c>
      <c r="BZ199">
        <f t="shared" si="416"/>
        <v>0.29744970413668459</v>
      </c>
      <c r="CA199">
        <f t="shared" si="417"/>
        <v>0.89895910583531347</v>
      </c>
      <c r="CB199">
        <f t="shared" si="418"/>
        <v>0</v>
      </c>
      <c r="CC199">
        <f t="shared" si="419"/>
        <v>0</v>
      </c>
      <c r="CD199">
        <f t="shared" si="420"/>
        <v>0</v>
      </c>
      <c r="CE199">
        <f t="shared" si="421"/>
        <v>0</v>
      </c>
      <c r="CF199">
        <f t="shared" si="422"/>
        <v>2.3795976330934767</v>
      </c>
      <c r="CG199">
        <f t="shared" si="423"/>
        <v>3.0736469427457416</v>
      </c>
      <c r="CH199">
        <f t="shared" si="424"/>
        <v>0</v>
      </c>
      <c r="CI199">
        <f t="shared" si="425"/>
        <v>0</v>
      </c>
      <c r="CJ199">
        <f t="shared" si="426"/>
        <v>1.9829980275778973E-2</v>
      </c>
      <c r="CK199">
        <f t="shared" si="427"/>
        <v>0</v>
      </c>
      <c r="CL199">
        <f t="shared" si="428"/>
        <v>0</v>
      </c>
      <c r="CN199">
        <f t="shared" si="429"/>
        <v>64.99606535057822</v>
      </c>
      <c r="CP199">
        <f t="shared" si="430"/>
        <v>2.3876510871335737</v>
      </c>
      <c r="CQ199">
        <f t="shared" si="431"/>
        <v>0</v>
      </c>
      <c r="CR199">
        <f t="shared" si="432"/>
        <v>3.2264048008151022E-3</v>
      </c>
      <c r="CS199">
        <f t="shared" si="433"/>
        <v>0</v>
      </c>
      <c r="CT199">
        <f t="shared" si="434"/>
        <v>0.4369493496101422</v>
      </c>
      <c r="CU199">
        <f t="shared" si="435"/>
        <v>0</v>
      </c>
      <c r="CV199">
        <f t="shared" si="436"/>
        <v>0</v>
      </c>
      <c r="CW199">
        <f t="shared" si="437"/>
        <v>4.0110746463649427E-2</v>
      </c>
      <c r="CX199">
        <f t="shared" si="438"/>
        <v>2.0498992860968775E-3</v>
      </c>
      <c r="CY199">
        <f t="shared" si="439"/>
        <v>1.4758109855454457E-2</v>
      </c>
      <c r="CZ199">
        <f t="shared" si="440"/>
        <v>3.2059882519091067E-2</v>
      </c>
      <c r="DA199">
        <f t="shared" si="441"/>
        <v>0</v>
      </c>
      <c r="DB199">
        <f t="shared" si="442"/>
        <v>0</v>
      </c>
      <c r="DC199">
        <f t="shared" si="443"/>
        <v>0</v>
      </c>
      <c r="DD199">
        <f t="shared" si="444"/>
        <v>0</v>
      </c>
      <c r="DE199">
        <f t="shared" si="445"/>
        <v>0.1151789754643503</v>
      </c>
      <c r="DF199">
        <f t="shared" si="446"/>
        <v>9.7886845310373921E-2</v>
      </c>
      <c r="DG199">
        <f t="shared" si="447"/>
        <v>0</v>
      </c>
      <c r="DH199">
        <f t="shared" si="448"/>
        <v>0</v>
      </c>
      <c r="DI199">
        <f t="shared" si="449"/>
        <v>9.7794745618185711E-4</v>
      </c>
      <c r="DJ199">
        <f t="shared" si="450"/>
        <v>0</v>
      </c>
      <c r="DK199">
        <f t="shared" si="451"/>
        <v>0</v>
      </c>
      <c r="DM199">
        <f t="shared" si="452"/>
        <v>3.1308492478997287</v>
      </c>
    </row>
    <row r="200" spans="1:117">
      <c r="A200" s="120" t="s">
        <v>340</v>
      </c>
      <c r="B200" s="120" t="s">
        <v>349</v>
      </c>
      <c r="C200" s="121">
        <v>2.5870000000000002</v>
      </c>
      <c r="F200" s="121">
        <v>6209</v>
      </c>
      <c r="G200" s="121">
        <v>3623</v>
      </c>
      <c r="H200" s="43">
        <f t="shared" si="329"/>
        <v>2.6779468995047463E+22</v>
      </c>
      <c r="I200" s="43">
        <f t="shared" si="330"/>
        <v>7.5760160240412324E+22</v>
      </c>
      <c r="J200" s="42">
        <f t="shared" si="331"/>
        <v>99.733198747000003</v>
      </c>
      <c r="K200" s="42">
        <f t="shared" si="358"/>
        <v>33.957295723000001</v>
      </c>
      <c r="L200" s="42">
        <f t="shared" si="359"/>
        <v>99.690479390775948</v>
      </c>
      <c r="M200" s="79">
        <f t="shared" si="332"/>
        <v>95.700595989929866</v>
      </c>
      <c r="O200" s="52" t="str">
        <f t="shared" si="333"/>
        <v>NVP</v>
      </c>
      <c r="P200" s="120">
        <v>61.48</v>
      </c>
      <c r="R200" s="120">
        <v>0.36</v>
      </c>
      <c r="T200" s="120">
        <v>8.9499999999999993</v>
      </c>
      <c r="V200" s="120">
        <v>0</v>
      </c>
      <c r="W200" s="120">
        <v>0</v>
      </c>
      <c r="X200" s="120">
        <v>0</v>
      </c>
      <c r="Y200" s="120">
        <v>14.12</v>
      </c>
      <c r="Z200" s="120">
        <v>6.81</v>
      </c>
      <c r="AE200" s="120">
        <v>8.85</v>
      </c>
      <c r="AF200" s="120">
        <v>0.21</v>
      </c>
      <c r="AI200" s="120">
        <v>0</v>
      </c>
      <c r="AM200" s="86">
        <f t="shared" si="360"/>
        <v>100.77999999999999</v>
      </c>
      <c r="AO200" s="71">
        <f t="shared" si="453"/>
        <v>1.7323236677616194</v>
      </c>
      <c r="AQ200" s="97" t="str">
        <f t="shared" si="334"/>
        <v>NVP</v>
      </c>
      <c r="AR200" s="73">
        <f t="shared" si="384"/>
        <v>59.071077922216716</v>
      </c>
      <c r="AS200" s="73">
        <f t="shared" si="385"/>
        <v>0</v>
      </c>
      <c r="AT200" s="73">
        <f t="shared" si="386"/>
        <v>0.2600918133198461</v>
      </c>
      <c r="AU200" s="73">
        <f t="shared" si="387"/>
        <v>0</v>
      </c>
      <c r="AV200" s="73">
        <f t="shared" si="388"/>
        <v>5.0671547710455229</v>
      </c>
      <c r="AW200" s="73">
        <f t="shared" si="389"/>
        <v>0</v>
      </c>
      <c r="AX200" s="73">
        <f t="shared" si="390"/>
        <v>0</v>
      </c>
      <c r="AY200" s="73">
        <f t="shared" si="391"/>
        <v>0</v>
      </c>
      <c r="AZ200" s="73">
        <f t="shared" si="392"/>
        <v>0</v>
      </c>
      <c r="BA200" s="73">
        <f t="shared" si="393"/>
        <v>20.220545128427641</v>
      </c>
      <c r="BB200" s="73">
        <f t="shared" si="394"/>
        <v>7.0098716799305238</v>
      </c>
      <c r="BC200" s="73">
        <f t="shared" si="395"/>
        <v>0</v>
      </c>
      <c r="BD200" s="73">
        <f t="shared" si="396"/>
        <v>0</v>
      </c>
      <c r="BE200" s="73">
        <f t="shared" si="397"/>
        <v>0</v>
      </c>
      <c r="BF200" s="73">
        <f t="shared" si="398"/>
        <v>0</v>
      </c>
      <c r="BG200" s="73">
        <f t="shared" si="399"/>
        <v>8.2425702993646244</v>
      </c>
      <c r="BH200" s="73">
        <f t="shared" si="400"/>
        <v>0.12868838569514326</v>
      </c>
      <c r="BI200" s="73">
        <f t="shared" si="401"/>
        <v>0</v>
      </c>
      <c r="BJ200" s="73">
        <f t="shared" si="402"/>
        <v>0</v>
      </c>
      <c r="BK200" s="73">
        <f t="shared" si="403"/>
        <v>0</v>
      </c>
      <c r="BL200" s="73">
        <f t="shared" si="404"/>
        <v>0</v>
      </c>
      <c r="BM200" s="73">
        <f t="shared" si="405"/>
        <v>0</v>
      </c>
      <c r="BN200" s="73">
        <f t="shared" si="406"/>
        <v>0</v>
      </c>
      <c r="BQ200">
        <f t="shared" si="407"/>
        <v>35.489903615667806</v>
      </c>
      <c r="BR200">
        <f t="shared" si="408"/>
        <v>0</v>
      </c>
      <c r="BS200">
        <f t="shared" si="409"/>
        <v>0.20781335884255706</v>
      </c>
      <c r="BT200">
        <f t="shared" si="410"/>
        <v>0</v>
      </c>
      <c r="BU200">
        <f t="shared" si="411"/>
        <v>5.1664710045580149</v>
      </c>
      <c r="BV200">
        <f t="shared" si="412"/>
        <v>0</v>
      </c>
      <c r="BW200">
        <f t="shared" si="413"/>
        <v>0</v>
      </c>
      <c r="BX200">
        <f t="shared" si="414"/>
        <v>0</v>
      </c>
      <c r="BY200">
        <f t="shared" si="415"/>
        <v>0</v>
      </c>
      <c r="BZ200">
        <f t="shared" si="416"/>
        <v>8.1509017412691822</v>
      </c>
      <c r="CA200">
        <f t="shared" si="417"/>
        <v>3.9311360381050378</v>
      </c>
      <c r="CB200">
        <f t="shared" si="418"/>
        <v>0</v>
      </c>
      <c r="CC200">
        <f t="shared" si="419"/>
        <v>0</v>
      </c>
      <c r="CD200">
        <f t="shared" si="420"/>
        <v>0</v>
      </c>
      <c r="CE200">
        <f t="shared" si="421"/>
        <v>0</v>
      </c>
      <c r="CF200">
        <f t="shared" si="422"/>
        <v>5.1087450715461937</v>
      </c>
      <c r="CG200">
        <f t="shared" si="423"/>
        <v>0.12122445932482497</v>
      </c>
      <c r="CH200">
        <f t="shared" si="424"/>
        <v>0</v>
      </c>
      <c r="CI200">
        <f t="shared" si="425"/>
        <v>0</v>
      </c>
      <c r="CJ200">
        <f t="shared" si="426"/>
        <v>0</v>
      </c>
      <c r="CK200">
        <f t="shared" si="427"/>
        <v>0</v>
      </c>
      <c r="CL200">
        <f t="shared" si="428"/>
        <v>0</v>
      </c>
      <c r="CN200">
        <f t="shared" si="429"/>
        <v>58.176195289313611</v>
      </c>
      <c r="CP200">
        <f t="shared" si="430"/>
        <v>1.7721323376665015</v>
      </c>
      <c r="CQ200">
        <f t="shared" si="431"/>
        <v>0</v>
      </c>
      <c r="CR200">
        <f t="shared" si="432"/>
        <v>7.8027543995953831E-3</v>
      </c>
      <c r="CS200">
        <f t="shared" si="433"/>
        <v>0</v>
      </c>
      <c r="CT200">
        <f t="shared" si="434"/>
        <v>0.25335773855227611</v>
      </c>
      <c r="CU200">
        <f t="shared" si="435"/>
        <v>0</v>
      </c>
      <c r="CV200">
        <f t="shared" si="436"/>
        <v>0</v>
      </c>
      <c r="CW200">
        <f t="shared" si="437"/>
        <v>0</v>
      </c>
      <c r="CX200">
        <f t="shared" si="438"/>
        <v>0</v>
      </c>
      <c r="CY200">
        <f t="shared" si="439"/>
        <v>0.40441090256855283</v>
      </c>
      <c r="CZ200">
        <f t="shared" si="440"/>
        <v>0.14019743359861048</v>
      </c>
      <c r="DA200">
        <f t="shared" si="441"/>
        <v>0</v>
      </c>
      <c r="DB200">
        <f t="shared" si="442"/>
        <v>0</v>
      </c>
      <c r="DC200">
        <f t="shared" si="443"/>
        <v>0</v>
      </c>
      <c r="DD200">
        <f t="shared" si="444"/>
        <v>0</v>
      </c>
      <c r="DE200">
        <f t="shared" si="445"/>
        <v>0.24727710898093871</v>
      </c>
      <c r="DF200">
        <f t="shared" si="446"/>
        <v>3.8606515708542984E-3</v>
      </c>
      <c r="DG200">
        <f t="shared" si="447"/>
        <v>0</v>
      </c>
      <c r="DH200">
        <f t="shared" si="448"/>
        <v>0</v>
      </c>
      <c r="DI200">
        <f t="shared" si="449"/>
        <v>0</v>
      </c>
      <c r="DJ200">
        <f t="shared" si="450"/>
        <v>0</v>
      </c>
      <c r="DK200">
        <f t="shared" si="451"/>
        <v>0</v>
      </c>
      <c r="DM200">
        <f t="shared" si="452"/>
        <v>2.8290389273373293</v>
      </c>
    </row>
    <row r="201" spans="1:117">
      <c r="A201" s="120" t="s">
        <v>350</v>
      </c>
      <c r="B201" s="120" t="s">
        <v>351</v>
      </c>
      <c r="C201" s="121">
        <v>2.762</v>
      </c>
      <c r="F201" s="121">
        <v>6260</v>
      </c>
      <c r="G201" s="121">
        <v>3530</v>
      </c>
      <c r="H201" s="43">
        <f t="shared" si="329"/>
        <v>2.6196319658979115E+22</v>
      </c>
      <c r="I201" s="43">
        <f t="shared" si="330"/>
        <v>7.4291845486251373E+22</v>
      </c>
      <c r="J201" s="42">
        <f t="shared" si="331"/>
        <v>108.23615120000001</v>
      </c>
      <c r="K201" s="42">
        <f t="shared" si="358"/>
        <v>34.417005799999998</v>
      </c>
      <c r="L201" s="42">
        <f t="shared" si="359"/>
        <v>101.11711197008985</v>
      </c>
      <c r="M201" s="79">
        <f t="shared" si="332"/>
        <v>97.199332631453899</v>
      </c>
      <c r="O201" s="52" t="str">
        <f t="shared" si="333"/>
        <v>HW</v>
      </c>
      <c r="P201" s="120">
        <v>49.67</v>
      </c>
      <c r="R201" s="120">
        <v>2.91</v>
      </c>
      <c r="T201" s="120">
        <v>13.49</v>
      </c>
      <c r="V201" s="120">
        <v>0</v>
      </c>
      <c r="W201" s="120">
        <v>14.24</v>
      </c>
      <c r="X201" s="120">
        <v>0.18</v>
      </c>
      <c r="Y201" s="120">
        <v>5.94</v>
      </c>
      <c r="Z201" s="120">
        <v>9.7200000000000006</v>
      </c>
      <c r="AE201" s="120">
        <v>2.56</v>
      </c>
      <c r="AF201" s="120">
        <v>0.69</v>
      </c>
      <c r="AI201" s="120">
        <v>0</v>
      </c>
      <c r="AM201" s="86">
        <f t="shared" si="360"/>
        <v>99.399999999999991</v>
      </c>
      <c r="AO201" s="71">
        <f t="shared" si="453"/>
        <v>1.565496654361171</v>
      </c>
      <c r="AQ201" s="97" t="str">
        <f t="shared" si="334"/>
        <v>HW</v>
      </c>
      <c r="AR201" s="73">
        <f t="shared" si="384"/>
        <v>52.80950444681487</v>
      </c>
      <c r="AS201" s="73">
        <f t="shared" si="385"/>
        <v>0</v>
      </c>
      <c r="AT201" s="73">
        <f t="shared" si="386"/>
        <v>2.3264518359468092</v>
      </c>
      <c r="AU201" s="73">
        <f t="shared" si="387"/>
        <v>0</v>
      </c>
      <c r="AV201" s="73">
        <f t="shared" si="388"/>
        <v>8.4514257252932037</v>
      </c>
      <c r="AW201" s="73">
        <f t="shared" si="389"/>
        <v>0</v>
      </c>
      <c r="AX201" s="73">
        <f t="shared" si="390"/>
        <v>0</v>
      </c>
      <c r="AY201" s="73">
        <f t="shared" si="391"/>
        <v>12.659923256001631</v>
      </c>
      <c r="AZ201" s="73">
        <f t="shared" si="392"/>
        <v>0.16207990637549091</v>
      </c>
      <c r="BA201" s="73">
        <f t="shared" si="393"/>
        <v>9.4128579117626305</v>
      </c>
      <c r="BB201" s="73">
        <f t="shared" si="394"/>
        <v>11.071491122449636</v>
      </c>
      <c r="BC201" s="73">
        <f t="shared" si="395"/>
        <v>0</v>
      </c>
      <c r="BD201" s="73">
        <f t="shared" si="396"/>
        <v>0</v>
      </c>
      <c r="BE201" s="73">
        <f t="shared" si="397"/>
        <v>0</v>
      </c>
      <c r="BF201" s="73">
        <f t="shared" si="398"/>
        <v>0</v>
      </c>
      <c r="BG201" s="73">
        <f t="shared" si="399"/>
        <v>2.6383733381009957</v>
      </c>
      <c r="BH201" s="73">
        <f t="shared" si="400"/>
        <v>0.46789245725473888</v>
      </c>
      <c r="BI201" s="73">
        <f t="shared" si="401"/>
        <v>0</v>
      </c>
      <c r="BJ201" s="73">
        <f t="shared" si="402"/>
        <v>0</v>
      </c>
      <c r="BK201" s="73">
        <f t="shared" si="403"/>
        <v>0</v>
      </c>
      <c r="BL201" s="73">
        <f t="shared" si="404"/>
        <v>0</v>
      </c>
      <c r="BM201" s="73">
        <f t="shared" si="405"/>
        <v>0</v>
      </c>
      <c r="BN201" s="73">
        <f t="shared" si="406"/>
        <v>0</v>
      </c>
      <c r="BQ201">
        <f t="shared" si="407"/>
        <v>31.727950271646375</v>
      </c>
      <c r="BR201">
        <f t="shared" si="408"/>
        <v>0</v>
      </c>
      <c r="BS201">
        <f t="shared" si="409"/>
        <v>1.8588350169215007</v>
      </c>
      <c r="BT201">
        <f t="shared" si="410"/>
        <v>0</v>
      </c>
      <c r="BU201">
        <f t="shared" si="411"/>
        <v>8.6170736695089492</v>
      </c>
      <c r="BV201">
        <f t="shared" si="412"/>
        <v>0</v>
      </c>
      <c r="BW201">
        <f t="shared" si="413"/>
        <v>0</v>
      </c>
      <c r="BX201">
        <f t="shared" si="414"/>
        <v>9.0961548594371724</v>
      </c>
      <c r="BY201">
        <f t="shared" si="415"/>
        <v>0.11497948558277325</v>
      </c>
      <c r="BZ201">
        <f t="shared" si="416"/>
        <v>3.7943230242315162</v>
      </c>
      <c r="CA201">
        <f t="shared" si="417"/>
        <v>6.2088922214697559</v>
      </c>
      <c r="CB201">
        <f t="shared" si="418"/>
        <v>0</v>
      </c>
      <c r="CC201">
        <f t="shared" si="419"/>
        <v>0</v>
      </c>
      <c r="CD201">
        <f t="shared" si="420"/>
        <v>0</v>
      </c>
      <c r="CE201">
        <f t="shared" si="421"/>
        <v>0</v>
      </c>
      <c r="CF201">
        <f t="shared" si="422"/>
        <v>1.6352637949549971</v>
      </c>
      <c r="CG201">
        <f t="shared" si="423"/>
        <v>0.44075469473396406</v>
      </c>
      <c r="CH201">
        <f t="shared" si="424"/>
        <v>0</v>
      </c>
      <c r="CI201">
        <f t="shared" si="425"/>
        <v>0</v>
      </c>
      <c r="CJ201">
        <f t="shared" si="426"/>
        <v>0</v>
      </c>
      <c r="CK201">
        <f t="shared" si="427"/>
        <v>0</v>
      </c>
      <c r="CL201">
        <f t="shared" si="428"/>
        <v>0</v>
      </c>
      <c r="CN201">
        <f t="shared" si="429"/>
        <v>63.49422703848699</v>
      </c>
      <c r="CP201">
        <f t="shared" si="430"/>
        <v>1.5842851334044461</v>
      </c>
      <c r="CQ201">
        <f t="shared" si="431"/>
        <v>0</v>
      </c>
      <c r="CR201">
        <f t="shared" si="432"/>
        <v>6.9793555078404276E-2</v>
      </c>
      <c r="CS201">
        <f t="shared" si="433"/>
        <v>0</v>
      </c>
      <c r="CT201">
        <f t="shared" si="434"/>
        <v>0.42257128626466017</v>
      </c>
      <c r="CU201">
        <f t="shared" si="435"/>
        <v>0</v>
      </c>
      <c r="CV201">
        <f t="shared" si="436"/>
        <v>0</v>
      </c>
      <c r="CW201">
        <f t="shared" si="437"/>
        <v>0.25319846512003263</v>
      </c>
      <c r="CX201">
        <f t="shared" si="438"/>
        <v>3.2415981275098183E-3</v>
      </c>
      <c r="CY201">
        <f t="shared" si="439"/>
        <v>0.1882571582352526</v>
      </c>
      <c r="CZ201">
        <f t="shared" si="440"/>
        <v>0.22142982244899273</v>
      </c>
      <c r="DA201">
        <f t="shared" si="441"/>
        <v>0</v>
      </c>
      <c r="DB201">
        <f t="shared" si="442"/>
        <v>0</v>
      </c>
      <c r="DC201">
        <f t="shared" si="443"/>
        <v>0</v>
      </c>
      <c r="DD201">
        <f t="shared" si="444"/>
        <v>0</v>
      </c>
      <c r="DE201">
        <f t="shared" si="445"/>
        <v>7.9151200143029871E-2</v>
      </c>
      <c r="DF201">
        <f t="shared" si="446"/>
        <v>1.4036773717642167E-2</v>
      </c>
      <c r="DG201">
        <f t="shared" si="447"/>
        <v>0</v>
      </c>
      <c r="DH201">
        <f t="shared" si="448"/>
        <v>0</v>
      </c>
      <c r="DI201">
        <f t="shared" si="449"/>
        <v>0</v>
      </c>
      <c r="DJ201">
        <f t="shared" si="450"/>
        <v>0</v>
      </c>
      <c r="DK201">
        <f t="shared" si="451"/>
        <v>0</v>
      </c>
      <c r="DM201">
        <f t="shared" si="452"/>
        <v>2.8359649925399699</v>
      </c>
    </row>
    <row r="202" spans="1:117">
      <c r="A202" s="120" t="s">
        <v>352</v>
      </c>
      <c r="B202" s="120" t="s">
        <v>353</v>
      </c>
      <c r="C202" s="121">
        <v>2.7</v>
      </c>
      <c r="P202" s="120">
        <v>54.1</v>
      </c>
      <c r="R202" s="120">
        <v>2.2599999999999998</v>
      </c>
      <c r="T202" s="120">
        <v>13.5</v>
      </c>
      <c r="V202" s="120">
        <v>13.8</v>
      </c>
      <c r="W202" s="120">
        <v>0</v>
      </c>
      <c r="X202" s="120">
        <v>0.14000000000000001</v>
      </c>
      <c r="Y202" s="120">
        <v>3.59</v>
      </c>
      <c r="Z202" s="120">
        <v>7.12</v>
      </c>
      <c r="AE202" s="120">
        <v>3.16</v>
      </c>
      <c r="AF202" s="120">
        <v>1.79</v>
      </c>
      <c r="AI202" s="120">
        <v>0.35</v>
      </c>
      <c r="AM202" s="86">
        <f t="shared" si="360"/>
        <v>99.81</v>
      </c>
      <c r="AO202" s="71">
        <f t="shared" si="453"/>
        <v>1.4380206116020104</v>
      </c>
      <c r="AQ202" s="97">
        <f t="shared" si="334"/>
        <v>0</v>
      </c>
      <c r="AR202" s="73">
        <f t="shared" si="384"/>
        <v>62.618438011803981</v>
      </c>
      <c r="AS202" s="73">
        <f t="shared" si="385"/>
        <v>0</v>
      </c>
      <c r="AT202" s="73">
        <f t="shared" si="386"/>
        <v>1.9669646225973669</v>
      </c>
      <c r="AU202" s="73">
        <f t="shared" si="387"/>
        <v>0</v>
      </c>
      <c r="AV202" s="73">
        <f t="shared" si="388"/>
        <v>9.2074385849936391</v>
      </c>
      <c r="AW202" s="73">
        <f t="shared" si="389"/>
        <v>0</v>
      </c>
      <c r="AX202" s="73">
        <f t="shared" si="390"/>
        <v>6.0094711494901603</v>
      </c>
      <c r="AY202" s="73">
        <f t="shared" si="391"/>
        <v>0</v>
      </c>
      <c r="AZ202" s="73">
        <f t="shared" si="392"/>
        <v>0.13723716582363105</v>
      </c>
      <c r="BA202" s="73">
        <f t="shared" si="393"/>
        <v>6.1932204542061351</v>
      </c>
      <c r="BB202" s="73">
        <f t="shared" si="394"/>
        <v>8.828905689566195</v>
      </c>
      <c r="BC202" s="73">
        <f t="shared" si="395"/>
        <v>0</v>
      </c>
      <c r="BD202" s="73">
        <f t="shared" si="396"/>
        <v>0</v>
      </c>
      <c r="BE202" s="73">
        <f t="shared" si="397"/>
        <v>0</v>
      </c>
      <c r="BF202" s="73">
        <f t="shared" si="398"/>
        <v>0</v>
      </c>
      <c r="BG202" s="73">
        <f t="shared" si="399"/>
        <v>3.5454421192953598</v>
      </c>
      <c r="BH202" s="73">
        <f t="shared" si="400"/>
        <v>1.3214082600027153</v>
      </c>
      <c r="BI202" s="73">
        <f t="shared" si="401"/>
        <v>0</v>
      </c>
      <c r="BJ202" s="73">
        <f t="shared" si="402"/>
        <v>0</v>
      </c>
      <c r="BK202" s="73">
        <f t="shared" si="403"/>
        <v>0.17147394222080431</v>
      </c>
      <c r="BL202" s="73">
        <f t="shared" si="404"/>
        <v>0</v>
      </c>
      <c r="BM202" s="73">
        <f t="shared" si="405"/>
        <v>0</v>
      </c>
      <c r="BN202" s="73">
        <f t="shared" si="406"/>
        <v>0</v>
      </c>
      <c r="BQ202">
        <f t="shared" si="407"/>
        <v>37.621157557491827</v>
      </c>
      <c r="BR202">
        <f t="shared" si="408"/>
        <v>0</v>
      </c>
      <c r="BS202">
        <f t="shared" si="409"/>
        <v>1.5716047334552963</v>
      </c>
      <c r="BT202">
        <f t="shared" si="410"/>
        <v>0</v>
      </c>
      <c r="BU202">
        <f t="shared" si="411"/>
        <v>9.3879043812595135</v>
      </c>
      <c r="BV202">
        <f t="shared" si="412"/>
        <v>0</v>
      </c>
      <c r="BW202">
        <f t="shared" si="413"/>
        <v>9.5965244786208359</v>
      </c>
      <c r="BX202">
        <f t="shared" si="414"/>
        <v>0</v>
      </c>
      <c r="BY202">
        <f t="shared" si="415"/>
        <v>9.7356045435283867E-2</v>
      </c>
      <c r="BZ202">
        <f t="shared" si="416"/>
        <v>2.4964871650904934</v>
      </c>
      <c r="CA202">
        <f t="shared" si="417"/>
        <v>4.9512503107087218</v>
      </c>
      <c r="CB202">
        <f t="shared" si="418"/>
        <v>0</v>
      </c>
      <c r="CC202">
        <f t="shared" si="419"/>
        <v>0</v>
      </c>
      <c r="CD202">
        <f t="shared" si="420"/>
        <v>0</v>
      </c>
      <c r="CE202">
        <f t="shared" si="421"/>
        <v>0</v>
      </c>
      <c r="CF202">
        <f t="shared" si="422"/>
        <v>2.1974650255392638</v>
      </c>
      <c r="CG202">
        <f t="shared" si="423"/>
        <v>1.2447665809225579</v>
      </c>
      <c r="CH202">
        <f t="shared" si="424"/>
        <v>0</v>
      </c>
      <c r="CI202">
        <f t="shared" si="425"/>
        <v>0</v>
      </c>
      <c r="CJ202">
        <f t="shared" si="426"/>
        <v>0.24339011358820964</v>
      </c>
      <c r="CK202">
        <f t="shared" si="427"/>
        <v>0</v>
      </c>
      <c r="CL202">
        <f t="shared" si="428"/>
        <v>0</v>
      </c>
      <c r="CN202">
        <f t="shared" si="429"/>
        <v>69.407906392111983</v>
      </c>
      <c r="CP202">
        <f t="shared" si="430"/>
        <v>1.8785531403541194</v>
      </c>
      <c r="CQ202">
        <f t="shared" si="431"/>
        <v>0</v>
      </c>
      <c r="CR202">
        <f t="shared" si="432"/>
        <v>5.9008938677921008E-2</v>
      </c>
      <c r="CS202">
        <f t="shared" si="433"/>
        <v>0</v>
      </c>
      <c r="CT202">
        <f t="shared" si="434"/>
        <v>0.46037192924968195</v>
      </c>
      <c r="CU202">
        <f t="shared" si="435"/>
        <v>0</v>
      </c>
      <c r="CV202">
        <f t="shared" si="436"/>
        <v>0.30047355747450799</v>
      </c>
      <c r="CW202">
        <f t="shared" si="437"/>
        <v>0</v>
      </c>
      <c r="CX202">
        <f t="shared" si="438"/>
        <v>2.7447433164726211E-3</v>
      </c>
      <c r="CY202">
        <f t="shared" si="439"/>
        <v>0.1238644090841227</v>
      </c>
      <c r="CZ202">
        <f t="shared" si="440"/>
        <v>0.1765781137913239</v>
      </c>
      <c r="DA202">
        <f t="shared" si="441"/>
        <v>0</v>
      </c>
      <c r="DB202">
        <f t="shared" si="442"/>
        <v>0</v>
      </c>
      <c r="DC202">
        <f t="shared" si="443"/>
        <v>0</v>
      </c>
      <c r="DD202">
        <f t="shared" si="444"/>
        <v>0</v>
      </c>
      <c r="DE202">
        <f t="shared" si="445"/>
        <v>0.10636326357886079</v>
      </c>
      <c r="DF202">
        <f t="shared" si="446"/>
        <v>3.9642247800081458E-2</v>
      </c>
      <c r="DG202">
        <f t="shared" si="447"/>
        <v>0</v>
      </c>
      <c r="DH202">
        <f t="shared" si="448"/>
        <v>0</v>
      </c>
      <c r="DI202">
        <f t="shared" si="449"/>
        <v>1.2003175955456302E-2</v>
      </c>
      <c r="DJ202">
        <f t="shared" si="450"/>
        <v>0</v>
      </c>
      <c r="DK202">
        <f t="shared" si="451"/>
        <v>0</v>
      </c>
      <c r="DM202">
        <f t="shared" si="452"/>
        <v>3.1596035192825487</v>
      </c>
    </row>
    <row r="203" spans="1:117">
      <c r="AM203" s="86">
        <f t="shared" si="360"/>
        <v>0</v>
      </c>
      <c r="AO203" s="71">
        <f t="shared" si="453"/>
        <v>0</v>
      </c>
      <c r="AQ203"/>
    </row>
    <row r="204" spans="1:117">
      <c r="AQ204"/>
    </row>
    <row r="205" spans="1:117">
      <c r="AQ205"/>
    </row>
    <row r="206" spans="1:117">
      <c r="AQ206"/>
    </row>
    <row r="207" spans="1:117">
      <c r="AQ207"/>
    </row>
    <row r="208" spans="1:117">
      <c r="AQ208"/>
    </row>
    <row r="209" spans="43:43">
      <c r="AQ209"/>
    </row>
  </sheetData>
  <mergeCells count="6">
    <mergeCell ref="BQ1:CL1"/>
    <mergeCell ref="CP1:DK1"/>
    <mergeCell ref="C1:G1"/>
    <mergeCell ref="P1:AM1"/>
    <mergeCell ref="D3:E3"/>
    <mergeCell ref="AR1:BN1"/>
  </mergeCells>
  <phoneticPr fontId="16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AE36C-A018-E246-A3CC-DD71D5E34ED8}">
  <dimension ref="A1:AB229"/>
  <sheetViews>
    <sheetView topLeftCell="A94" zoomScale="75" zoomScaleNormal="50" workbookViewId="0">
      <selection activeCell="U36" sqref="U36"/>
    </sheetView>
  </sheetViews>
  <sheetFormatPr defaultColWidth="11" defaultRowHeight="15.5"/>
  <cols>
    <col min="2" max="2" width="31.33203125" customWidth="1"/>
    <col min="6" max="6" width="13" bestFit="1" customWidth="1"/>
    <col min="8" max="8" width="13.6640625" bestFit="1" customWidth="1"/>
    <col min="9" max="9" width="15" bestFit="1" customWidth="1"/>
    <col min="10" max="11" width="15.1640625" bestFit="1" customWidth="1"/>
    <col min="14" max="14" width="11" style="100"/>
    <col min="15" max="15" width="11" style="101"/>
    <col min="16" max="16" width="11" style="17"/>
    <col min="17" max="17" width="13.6640625" style="105" customWidth="1"/>
    <col min="18" max="18" width="11" style="17"/>
    <col min="19" max="21" width="15" customWidth="1"/>
  </cols>
  <sheetData>
    <row r="1" spans="1:28">
      <c r="S1" s="17"/>
      <c r="T1" s="109"/>
      <c r="U1" s="109"/>
    </row>
    <row r="2" spans="1:28">
      <c r="S2" s="17"/>
      <c r="T2" s="109"/>
      <c r="U2" s="109"/>
    </row>
    <row r="3" spans="1:28">
      <c r="N3" s="98" t="s">
        <v>247</v>
      </c>
      <c r="O3" s="102" t="s">
        <v>248</v>
      </c>
      <c r="R3" s="98" t="s">
        <v>247</v>
      </c>
      <c r="S3" s="98" t="s">
        <v>247</v>
      </c>
      <c r="T3" s="109" t="s">
        <v>248</v>
      </c>
      <c r="U3" s="109" t="s">
        <v>248</v>
      </c>
    </row>
    <row r="4" spans="1:28">
      <c r="C4" t="s">
        <v>103</v>
      </c>
      <c r="D4" t="s">
        <v>93</v>
      </c>
      <c r="E4" t="s">
        <v>94</v>
      </c>
      <c r="F4" s="29" t="s">
        <v>91</v>
      </c>
      <c r="G4" s="29" t="s">
        <v>92</v>
      </c>
      <c r="H4" t="s">
        <v>95</v>
      </c>
      <c r="I4" t="s">
        <v>119</v>
      </c>
      <c r="J4" t="s">
        <v>109</v>
      </c>
      <c r="K4" s="16" t="s">
        <v>109</v>
      </c>
      <c r="M4" s="29" t="s">
        <v>179</v>
      </c>
      <c r="N4" s="99" t="s">
        <v>180</v>
      </c>
      <c r="O4" s="103" t="s">
        <v>198</v>
      </c>
      <c r="P4" s="104" t="s">
        <v>181</v>
      </c>
      <c r="Q4" s="105" t="s">
        <v>199</v>
      </c>
      <c r="R4" s="107" t="s">
        <v>182</v>
      </c>
      <c r="S4" s="108" t="s">
        <v>112</v>
      </c>
      <c r="T4" s="109" t="s">
        <v>200</v>
      </c>
      <c r="U4" s="105" t="s">
        <v>201</v>
      </c>
      <c r="Y4" s="31" t="s">
        <v>197</v>
      </c>
      <c r="Z4" s="31" t="s">
        <v>180</v>
      </c>
      <c r="AA4" t="s">
        <v>181</v>
      </c>
      <c r="AB4" t="s">
        <v>182</v>
      </c>
    </row>
    <row r="5" spans="1:28">
      <c r="A5" s="32"/>
      <c r="B5" t="s">
        <v>90</v>
      </c>
      <c r="C5">
        <v>2.2000000000000002</v>
      </c>
      <c r="D5" s="26">
        <v>5972</v>
      </c>
      <c r="E5" s="26">
        <v>3769</v>
      </c>
      <c r="F5" s="22">
        <f>(C5*D5^2)/1000000</f>
        <v>78.462524800000011</v>
      </c>
      <c r="G5" s="22">
        <f>(C5*E5^2)/1000000</f>
        <v>31.251794200000003</v>
      </c>
      <c r="H5" s="22">
        <f t="shared" ref="H5:H45" si="0">((D5/E5)^2)-(4/3)</f>
        <v>1.1773233124217446</v>
      </c>
      <c r="I5" s="22">
        <f t="shared" ref="I5:I11" si="1">1/2-(3/((6*H5)+2))</f>
        <v>0.16901810454083505</v>
      </c>
      <c r="J5" s="22">
        <f>(C5*((3*D5^2-4*E5^2)/((D5/E5)^2-1)))/1000000</f>
        <v>73.067826438368527</v>
      </c>
      <c r="K5" s="22">
        <f>((2*C5*(E5^2))*(1+I5))/1000000</f>
        <v>73.067826438368527</v>
      </c>
      <c r="L5">
        <f>K5</f>
        <v>73.067826438368527</v>
      </c>
      <c r="M5" s="22">
        <f xml:space="preserve"> 2 +3*G5</f>
        <v>95.755382600000004</v>
      </c>
      <c r="N5" s="100">
        <f>(0.2751*F5)+5.977</f>
        <v>27.562040572480004</v>
      </c>
      <c r="O5" s="101">
        <f>24.184*LN(F5)-77.298</f>
        <v>28.207629159263931</v>
      </c>
      <c r="P5" s="100">
        <f>(ABS(G5-N5))^2</f>
        <v>13.614281831796985</v>
      </c>
      <c r="Q5" s="106">
        <f>(ABS(G5-O5))</f>
        <v>3.0441650407360719</v>
      </c>
      <c r="R5" s="17">
        <f>SUMSQ(P5:P138)</f>
        <v>2703.8097260097579</v>
      </c>
      <c r="S5" s="17">
        <f>SQRT(R5/R7)</f>
        <v>4.5258598094975762</v>
      </c>
      <c r="T5" s="21">
        <f>SUMSQ(Q5:Q138)</f>
        <v>232.90903571922274</v>
      </c>
      <c r="U5" s="21">
        <f>SQRT(T5/R7)</f>
        <v>1.3283306786385285</v>
      </c>
      <c r="V5">
        <v>13</v>
      </c>
      <c r="W5">
        <v>13</v>
      </c>
      <c r="Y5" s="22">
        <f t="shared" ref="Y5:Y45" si="2">0.5708*D5+99.862</f>
        <v>3508.6795999999999</v>
      </c>
      <c r="Z5">
        <f>(C5*Y5^2)/1000000</f>
        <v>27.083831578003554</v>
      </c>
      <c r="AA5" s="22">
        <f>(ABS(G5-Z5))^2</f>
        <v>17.371912418359507</v>
      </c>
      <c r="AB5">
        <f>SUMSQ(AA5:AA111)</f>
        <v>7326.964529362851</v>
      </c>
    </row>
    <row r="6" spans="1:28">
      <c r="A6" s="32"/>
      <c r="B6" t="s">
        <v>118</v>
      </c>
      <c r="C6">
        <v>2.3199999999999998</v>
      </c>
      <c r="D6" s="26">
        <v>5835</v>
      </c>
      <c r="E6" s="26">
        <v>3604</v>
      </c>
      <c r="F6" s="22">
        <f>(C6*D6^2)/1000000</f>
        <v>78.989562000000006</v>
      </c>
      <c r="G6" s="22">
        <f>(C6*E6^2)/1000000</f>
        <v>30.134053119999997</v>
      </c>
      <c r="H6" s="22">
        <f t="shared" si="0"/>
        <v>1.2879390751756488</v>
      </c>
      <c r="I6" s="22">
        <f t="shared" si="1"/>
        <v>0.19160025337146797</v>
      </c>
      <c r="J6" s="22">
        <f>(C6*((3*D6^2-4*E6^2)/((D6/E6)^2-1)))/1000000</f>
        <v>71.815490665802542</v>
      </c>
      <c r="K6" s="22">
        <f>((2*C6*(E6^2))*(1+I6))/1000000</f>
        <v>71.815490665802557</v>
      </c>
      <c r="L6">
        <f t="shared" ref="L6:L75" si="3">K6</f>
        <v>71.815490665802557</v>
      </c>
      <c r="M6" s="22">
        <f t="shared" ref="M6:M69" si="4" xml:space="preserve"> 2 +3*G6</f>
        <v>92.402159359999985</v>
      </c>
      <c r="N6" s="100">
        <f t="shared" ref="N6:N84" si="5">(0.2751*F6)+5.977</f>
        <v>27.707028506200004</v>
      </c>
      <c r="O6" s="101">
        <f>24.184*LN(F6)-77.298</f>
        <v>28.369531303682749</v>
      </c>
      <c r="P6" s="100">
        <f t="shared" ref="P6:P83" si="6">(ABS(G6-N6))^2</f>
        <v>5.8904484759910067</v>
      </c>
      <c r="Q6" s="106">
        <f t="shared" ref="Q6:Q84" si="7">(ABS(G6-O6))</f>
        <v>1.7645218163172487</v>
      </c>
      <c r="R6" s="110" t="s">
        <v>183</v>
      </c>
      <c r="V6">
        <v>45</v>
      </c>
      <c r="W6">
        <v>45</v>
      </c>
      <c r="Y6" s="22">
        <f t="shared" si="2"/>
        <v>3430.48</v>
      </c>
      <c r="Z6">
        <f>(C6*Y6^2)/1000000</f>
        <v>27.302207830527998</v>
      </c>
      <c r="AA6" s="22">
        <f t="shared" ref="AA6:AA66" si="8">(ABS(G6-Z6))^2</f>
        <v>8.0193477435047527</v>
      </c>
    </row>
    <row r="7" spans="1:28">
      <c r="A7" s="32"/>
      <c r="B7" t="s">
        <v>202</v>
      </c>
      <c r="C7">
        <v>2.2799999999999998</v>
      </c>
      <c r="D7" s="26">
        <v>5869</v>
      </c>
      <c r="E7" s="26">
        <v>3610</v>
      </c>
      <c r="F7" s="22">
        <f>(C7*D7^2)/1000000</f>
        <v>78.534967080000001</v>
      </c>
      <c r="G7" s="22">
        <f>(C7*E7^2)/1000000</f>
        <v>29.713187999999995</v>
      </c>
      <c r="H7" s="22">
        <f t="shared" si="0"/>
        <v>1.3097680087374</v>
      </c>
      <c r="I7" s="22">
        <f t="shared" si="1"/>
        <v>0.1956974063633406</v>
      </c>
      <c r="J7" s="22">
        <f>(C7*((3*D7^2-4*E7^2)/((D7/E7)^2-1)))/1000000</f>
        <v>71.055963652772661</v>
      </c>
      <c r="K7" s="22">
        <f>((2*C7*(E7^2))*(1+I7))/1000000</f>
        <v>71.055963652772661</v>
      </c>
      <c r="L7">
        <f t="shared" si="3"/>
        <v>71.055963652772661</v>
      </c>
      <c r="M7" s="22">
        <f t="shared" si="4"/>
        <v>91.139563999999979</v>
      </c>
      <c r="N7" s="100">
        <f t="shared" si="5"/>
        <v>27.581969443708001</v>
      </c>
      <c r="O7" s="101">
        <f t="shared" ref="O7:O70" si="9">24.184*LN(F7)-77.298</f>
        <v>28.229947276615704</v>
      </c>
      <c r="P7" s="100">
        <f t="shared" si="6"/>
        <v>4.5420925346833325</v>
      </c>
      <c r="Q7" s="106">
        <f t="shared" si="7"/>
        <v>1.4832407233842915</v>
      </c>
      <c r="R7" s="111">
        <f>COUNT(P5:P138)</f>
        <v>132</v>
      </c>
      <c r="Y7" s="22">
        <f t="shared" si="2"/>
        <v>3449.8872000000001</v>
      </c>
      <c r="Z7">
        <f>(C7*Y7^2)/1000000</f>
        <v>27.135925459410355</v>
      </c>
      <c r="AA7" s="22">
        <f t="shared" si="8"/>
        <v>6.6422822031265651</v>
      </c>
    </row>
    <row r="8" spans="1:28">
      <c r="A8" s="32"/>
      <c r="B8" t="s">
        <v>114</v>
      </c>
      <c r="C8">
        <v>2.29</v>
      </c>
      <c r="D8" s="26">
        <v>5810</v>
      </c>
      <c r="E8" s="26">
        <v>3595</v>
      </c>
      <c r="F8" s="22">
        <f>(C8*D8^2)/1000000</f>
        <v>77.301468999999997</v>
      </c>
      <c r="G8" s="22">
        <f>(C8*E8^2)/1000000</f>
        <v>29.596017249999999</v>
      </c>
      <c r="H8" s="22">
        <f t="shared" si="0"/>
        <v>1.278554217178214</v>
      </c>
      <c r="I8" s="22">
        <f t="shared" si="1"/>
        <v>0.18980466420171782</v>
      </c>
      <c r="J8" s="22">
        <f>(C8*((3*D8^2-4*E8^2)/((D8/E8)^2-1)))/1000000</f>
        <v>70.426958731688998</v>
      </c>
      <c r="K8" s="22">
        <f>((2*C8*(E8^2))*(1+I8))/1000000</f>
        <v>70.426958731688998</v>
      </c>
      <c r="L8">
        <f t="shared" si="3"/>
        <v>70.426958731688998</v>
      </c>
      <c r="M8" s="22">
        <f t="shared" si="4"/>
        <v>90.788051749999994</v>
      </c>
      <c r="N8" s="100">
        <f t="shared" si="5"/>
        <v>27.2426341219</v>
      </c>
      <c r="O8" s="101">
        <f t="shared" si="9"/>
        <v>27.847090207560967</v>
      </c>
      <c r="P8" s="100">
        <f t="shared" si="6"/>
        <v>5.5384121476257366</v>
      </c>
      <c r="Q8" s="106">
        <f t="shared" si="7"/>
        <v>1.748927042439032</v>
      </c>
      <c r="R8" s="112" t="s">
        <v>184</v>
      </c>
      <c r="Y8" s="22">
        <f t="shared" si="2"/>
        <v>3416.21</v>
      </c>
      <c r="Z8">
        <f>(C8*Y8^2)/1000000</f>
        <v>26.725423849788999</v>
      </c>
      <c r="AA8" s="22">
        <f t="shared" si="8"/>
        <v>8.2403064693349499</v>
      </c>
    </row>
    <row r="9" spans="1:28">
      <c r="A9" s="32"/>
      <c r="B9" t="s">
        <v>116</v>
      </c>
      <c r="D9" s="26">
        <v>5803</v>
      </c>
      <c r="E9" s="26">
        <v>3590</v>
      </c>
      <c r="F9" s="22"/>
      <c r="G9" s="22"/>
      <c r="H9" s="22">
        <f t="shared" si="0"/>
        <v>1.2795272900324075</v>
      </c>
      <c r="I9" s="22">
        <f t="shared" si="1"/>
        <v>0.18999181159461082</v>
      </c>
      <c r="J9" s="22"/>
      <c r="K9" s="22"/>
      <c r="M9" s="22">
        <f t="shared" si="4"/>
        <v>2</v>
      </c>
      <c r="P9" s="100"/>
      <c r="Q9" s="106"/>
      <c r="R9" s="112"/>
      <c r="Y9" s="22">
        <f t="shared" si="2"/>
        <v>3412.2143999999998</v>
      </c>
      <c r="AA9" s="22"/>
    </row>
    <row r="10" spans="1:28">
      <c r="A10" s="32"/>
      <c r="B10" t="s">
        <v>115</v>
      </c>
      <c r="D10" s="26">
        <v>5820</v>
      </c>
      <c r="E10" s="26">
        <v>3590</v>
      </c>
      <c r="F10" s="22"/>
      <c r="G10" s="22"/>
      <c r="H10" s="22">
        <f t="shared" si="0"/>
        <v>1.2948585646190411</v>
      </c>
      <c r="I10" s="22">
        <f t="shared" si="1"/>
        <v>0.19291089052291471</v>
      </c>
      <c r="J10" s="22"/>
      <c r="K10" s="22"/>
      <c r="M10" s="22">
        <f t="shared" si="4"/>
        <v>2</v>
      </c>
      <c r="P10" s="100"/>
      <c r="Q10" s="106"/>
      <c r="R10" s="112"/>
      <c r="Y10" s="22">
        <f t="shared" si="2"/>
        <v>3421.9180000000001</v>
      </c>
      <c r="AA10" s="22"/>
    </row>
    <row r="11" spans="1:28">
      <c r="A11" s="32"/>
      <c r="B11" t="s">
        <v>117</v>
      </c>
      <c r="C11">
        <v>2.31</v>
      </c>
      <c r="D11" s="26">
        <v>5773</v>
      </c>
      <c r="E11" s="26">
        <v>3550</v>
      </c>
      <c r="F11" s="22">
        <f t="shared" ref="F11:F51" si="10">(C11*D11^2)/1000000</f>
        <v>76.986591989999994</v>
      </c>
      <c r="G11" s="22">
        <f t="shared" ref="G11:G51" si="11">(C11*E11^2)/1000000</f>
        <v>29.111775000000002</v>
      </c>
      <c r="H11" s="22">
        <f t="shared" si="0"/>
        <v>1.3111839449844609</v>
      </c>
      <c r="I11" s="22">
        <f t="shared" si="1"/>
        <v>0.19595941216777069</v>
      </c>
      <c r="J11" s="22">
        <f t="shared" ref="J11:J51" si="12">(C11*((3*D11^2-4*E11^2)/((D11/E11)^2-1)))/1000000</f>
        <v>69.63300263232081</v>
      </c>
      <c r="K11" s="22">
        <f t="shared" ref="K11:K51" si="13">((2*C11*(E11^2))*(1+I11))/1000000</f>
        <v>69.63300263232081</v>
      </c>
      <c r="L11">
        <f t="shared" si="3"/>
        <v>69.63300263232081</v>
      </c>
      <c r="M11" s="22">
        <f t="shared" si="4"/>
        <v>89.335325000000012</v>
      </c>
      <c r="N11" s="100">
        <f t="shared" si="5"/>
        <v>27.156011456449001</v>
      </c>
      <c r="O11" s="101">
        <f t="shared" si="9"/>
        <v>27.748378795502276</v>
      </c>
      <c r="P11" s="100">
        <f t="shared" si="6"/>
        <v>3.8250110382831672</v>
      </c>
      <c r="Q11" s="106">
        <f t="shared" si="7"/>
        <v>1.3633962044977253</v>
      </c>
      <c r="R11" s="113">
        <f>MAX(P5:P103)</f>
        <v>16.781585878543606</v>
      </c>
      <c r="Y11" s="22">
        <f t="shared" si="2"/>
        <v>3395.0904</v>
      </c>
      <c r="Z11">
        <f t="shared" ref="Z11:Z51" si="14">(C11*Y11^2)/1000000</f>
        <v>26.626535683837691</v>
      </c>
      <c r="AA11" s="22">
        <f t="shared" si="8"/>
        <v>6.1764144585989085</v>
      </c>
    </row>
    <row r="12" spans="1:28">
      <c r="A12" s="32"/>
      <c r="B12" t="s">
        <v>113</v>
      </c>
      <c r="C12">
        <v>2.4</v>
      </c>
      <c r="D12" s="26">
        <v>5870</v>
      </c>
      <c r="E12" s="26">
        <v>3581</v>
      </c>
      <c r="F12" s="22">
        <f t="shared" si="10"/>
        <v>82.696560000000005</v>
      </c>
      <c r="G12" s="22">
        <f t="shared" si="11"/>
        <v>30.776546399999997</v>
      </c>
      <c r="H12" s="22">
        <f t="shared" si="0"/>
        <v>1.3536660110765391</v>
      </c>
      <c r="I12" s="22">
        <f t="shared" ref="I12:I50" si="15">1/2-(3/((6*H12)+2))</f>
        <v>0.20361577100973649</v>
      </c>
      <c r="J12" s="22">
        <f t="shared" si="12"/>
        <v>74.086273248505833</v>
      </c>
      <c r="K12" s="22">
        <f t="shared" si="13"/>
        <v>74.086273248505861</v>
      </c>
      <c r="L12">
        <f t="shared" si="3"/>
        <v>74.086273248505861</v>
      </c>
      <c r="M12" s="22">
        <f t="shared" si="4"/>
        <v>94.329639199999988</v>
      </c>
      <c r="N12" s="100">
        <f t="shared" si="5"/>
        <v>28.726823656000004</v>
      </c>
      <c r="O12" s="101">
        <f t="shared" si="9"/>
        <v>29.478664873740087</v>
      </c>
      <c r="P12" s="100">
        <f t="shared" si="6"/>
        <v>4.2013633272708617</v>
      </c>
      <c r="Q12" s="106">
        <f t="shared" si="7"/>
        <v>1.2978815262599106</v>
      </c>
      <c r="R12" s="112" t="s">
        <v>185</v>
      </c>
      <c r="Y12" s="22">
        <f t="shared" si="2"/>
        <v>3450.4580000000001</v>
      </c>
      <c r="Z12">
        <f t="shared" si="14"/>
        <v>28.573584983433602</v>
      </c>
      <c r="AA12" s="22">
        <f t="shared" si="8"/>
        <v>4.8530390028802213</v>
      </c>
    </row>
    <row r="13" spans="1:28">
      <c r="A13" s="32"/>
      <c r="B13" t="s">
        <v>110</v>
      </c>
      <c r="C13">
        <v>2.6</v>
      </c>
      <c r="D13" s="26">
        <v>6150</v>
      </c>
      <c r="E13" s="26">
        <v>3608</v>
      </c>
      <c r="F13" s="22">
        <f t="shared" si="10"/>
        <v>98.338499999999996</v>
      </c>
      <c r="G13" s="22">
        <f t="shared" si="11"/>
        <v>33.845926399999996</v>
      </c>
      <c r="H13" s="22">
        <f t="shared" si="0"/>
        <v>1.5721418732782373</v>
      </c>
      <c r="I13" s="22">
        <f t="shared" si="15"/>
        <v>0.23759826511249665</v>
      </c>
      <c r="J13" s="22">
        <f t="shared" si="12"/>
        <v>83.775319587530475</v>
      </c>
      <c r="K13" s="22">
        <f t="shared" si="13"/>
        <v>83.77531958753049</v>
      </c>
      <c r="L13">
        <f t="shared" si="3"/>
        <v>83.77531958753049</v>
      </c>
      <c r="M13" s="22">
        <f t="shared" si="4"/>
        <v>103.53777919999999</v>
      </c>
      <c r="N13" s="100">
        <f t="shared" si="5"/>
        <v>33.029921349999995</v>
      </c>
      <c r="O13" s="101">
        <f t="shared" si="9"/>
        <v>33.66824307993717</v>
      </c>
      <c r="P13" s="100">
        <f t="shared" si="6"/>
        <v>0.66586424162550428</v>
      </c>
      <c r="Q13" s="106">
        <f t="shared" si="7"/>
        <v>0.17768332006282606</v>
      </c>
      <c r="R13" s="114">
        <f>MIN(P5:P103)</f>
        <v>1.2247730483365706E-3</v>
      </c>
      <c r="Y13" s="22">
        <f t="shared" si="2"/>
        <v>3610.2819999999997</v>
      </c>
      <c r="Z13">
        <f t="shared" si="14"/>
        <v>33.888753910762397</v>
      </c>
      <c r="AA13" s="22">
        <f t="shared" si="8"/>
        <v>1.8341956781035154E-3</v>
      </c>
    </row>
    <row r="14" spans="1:28">
      <c r="A14" s="32"/>
      <c r="B14" t="s">
        <v>105</v>
      </c>
      <c r="C14">
        <v>2.68</v>
      </c>
      <c r="D14" s="26">
        <v>6249</v>
      </c>
      <c r="E14" s="26">
        <v>3569</v>
      </c>
      <c r="F14" s="22">
        <f t="shared" si="10"/>
        <v>104.65400268</v>
      </c>
      <c r="G14" s="22">
        <f t="shared" si="11"/>
        <v>34.137199480000007</v>
      </c>
      <c r="H14" s="22">
        <f t="shared" si="0"/>
        <v>1.7323546631677791</v>
      </c>
      <c r="I14" s="22">
        <f t="shared" si="15"/>
        <v>0.25794989328160589</v>
      </c>
      <c r="J14" s="22">
        <f t="shared" si="12"/>
        <v>85.88577288559776</v>
      </c>
      <c r="K14" s="22">
        <f t="shared" si="13"/>
        <v>85.885772885597788</v>
      </c>
      <c r="L14">
        <f t="shared" si="3"/>
        <v>85.885772885597788</v>
      </c>
      <c r="M14" s="22">
        <f t="shared" si="4"/>
        <v>104.41159844000002</v>
      </c>
      <c r="N14" s="100">
        <f t="shared" si="5"/>
        <v>34.767316137268004</v>
      </c>
      <c r="O14" s="101">
        <f t="shared" si="9"/>
        <v>35.173554098140372</v>
      </c>
      <c r="P14" s="100">
        <f t="shared" si="6"/>
        <v>0.39704700176659502</v>
      </c>
      <c r="Q14" s="106">
        <f t="shared" si="7"/>
        <v>1.0363546181403649</v>
      </c>
      <c r="R14"/>
      <c r="Y14" s="22">
        <f t="shared" si="2"/>
        <v>3666.7912000000001</v>
      </c>
      <c r="Z14">
        <f t="shared" si="14"/>
        <v>36.033558647785142</v>
      </c>
      <c r="AA14" s="22">
        <f t="shared" si="8"/>
        <v>3.5961780932427314</v>
      </c>
    </row>
    <row r="15" spans="1:28">
      <c r="A15" s="32"/>
      <c r="B15" t="s">
        <v>104</v>
      </c>
      <c r="C15">
        <v>2.48</v>
      </c>
      <c r="D15" s="26">
        <v>5900</v>
      </c>
      <c r="E15" s="26">
        <v>3451</v>
      </c>
      <c r="F15" s="22">
        <f t="shared" si="10"/>
        <v>86.328800000000001</v>
      </c>
      <c r="G15" s="22">
        <f t="shared" si="11"/>
        <v>29.53531448</v>
      </c>
      <c r="H15" s="22">
        <f t="shared" si="0"/>
        <v>1.5895676589164027</v>
      </c>
      <c r="I15" s="22">
        <f t="shared" si="15"/>
        <v>0.23997621197593999</v>
      </c>
      <c r="J15" s="22">
        <f t="shared" si="12"/>
        <v>73.246174736857071</v>
      </c>
      <c r="K15" s="22">
        <f t="shared" si="13"/>
        <v>73.246174736857057</v>
      </c>
      <c r="L15">
        <f t="shared" si="3"/>
        <v>73.246174736857057</v>
      </c>
      <c r="M15" s="22">
        <f t="shared" si="4"/>
        <v>90.605943440000004</v>
      </c>
      <c r="N15" s="100">
        <f t="shared" si="5"/>
        <v>29.726052880000001</v>
      </c>
      <c r="O15" s="101">
        <f t="shared" si="9"/>
        <v>30.518220328213772</v>
      </c>
      <c r="P15" s="100">
        <f t="shared" si="6"/>
        <v>3.6381137234560289E-2</v>
      </c>
      <c r="Q15" s="106">
        <f t="shared" si="7"/>
        <v>0.9829058482137718</v>
      </c>
      <c r="R15"/>
      <c r="Y15" s="22">
        <f t="shared" si="2"/>
        <v>3467.5819999999999</v>
      </c>
      <c r="Z15">
        <f t="shared" si="14"/>
        <v>29.819829818275519</v>
      </c>
      <c r="AA15" s="22">
        <f t="shared" si="8"/>
        <v>8.0948977714032755E-2</v>
      </c>
    </row>
    <row r="16" spans="1:28">
      <c r="A16" s="32"/>
      <c r="B16" t="s">
        <v>106</v>
      </c>
      <c r="C16">
        <v>2.69</v>
      </c>
      <c r="D16" s="26">
        <v>6628</v>
      </c>
      <c r="E16" s="26">
        <v>3761</v>
      </c>
      <c r="F16" s="22">
        <f t="shared" si="10"/>
        <v>118.17273295999999</v>
      </c>
      <c r="G16" s="22">
        <f t="shared" si="11"/>
        <v>38.05037549</v>
      </c>
      <c r="H16" s="22">
        <f t="shared" si="0"/>
        <v>1.7723583040870892</v>
      </c>
      <c r="I16" s="22">
        <f t="shared" si="15"/>
        <v>0.26254832801039896</v>
      </c>
      <c r="J16" s="22">
        <f t="shared" si="12"/>
        <v>96.080875910134722</v>
      </c>
      <c r="K16" s="22">
        <f t="shared" si="13"/>
        <v>96.08087591013475</v>
      </c>
      <c r="L16">
        <f t="shared" si="3"/>
        <v>96.08087591013475</v>
      </c>
      <c r="M16" s="22">
        <f t="shared" si="4"/>
        <v>116.15112647000001</v>
      </c>
      <c r="N16" s="100">
        <f t="shared" si="5"/>
        <v>38.486318837295997</v>
      </c>
      <c r="O16" s="101">
        <f t="shared" si="9"/>
        <v>38.11161254608173</v>
      </c>
      <c r="P16" s="100">
        <f t="shared" si="6"/>
        <v>0.1900466020516377</v>
      </c>
      <c r="Q16" s="106">
        <f t="shared" si="7"/>
        <v>6.1237056081729691E-2</v>
      </c>
      <c r="R16"/>
      <c r="Y16" s="22">
        <f t="shared" si="2"/>
        <v>3883.1243999999997</v>
      </c>
      <c r="Z16">
        <f t="shared" si="14"/>
        <v>40.56158223480471</v>
      </c>
      <c r="AA16" s="22">
        <f t="shared" si="8"/>
        <v>6.3061593151526676</v>
      </c>
    </row>
    <row r="17" spans="1:27">
      <c r="A17" s="32"/>
      <c r="B17" t="s">
        <v>107</v>
      </c>
      <c r="C17">
        <v>2.835</v>
      </c>
      <c r="D17" s="26">
        <v>6697</v>
      </c>
      <c r="E17" s="26">
        <v>3718</v>
      </c>
      <c r="F17" s="22">
        <f t="shared" si="10"/>
        <v>127.149208515</v>
      </c>
      <c r="G17" s="22">
        <f t="shared" si="11"/>
        <v>39.189690540000001</v>
      </c>
      <c r="H17" s="22">
        <f t="shared" si="0"/>
        <v>1.911122204921601</v>
      </c>
      <c r="I17" s="22">
        <f t="shared" si="15"/>
        <v>0.27722882388271752</v>
      </c>
      <c r="J17" s="22">
        <f t="shared" si="12"/>
        <v>100.10840471346373</v>
      </c>
      <c r="K17" s="22">
        <f t="shared" si="13"/>
        <v>100.10840471346373</v>
      </c>
      <c r="L17">
        <f t="shared" si="3"/>
        <v>100.10840471346373</v>
      </c>
      <c r="M17" s="22">
        <f t="shared" si="4"/>
        <v>119.56907162</v>
      </c>
      <c r="N17" s="100">
        <f t="shared" si="5"/>
        <v>40.955747262476507</v>
      </c>
      <c r="O17" s="101">
        <f t="shared" si="9"/>
        <v>39.882216881987546</v>
      </c>
      <c r="P17" s="100">
        <f t="shared" si="6"/>
        <v>3.1189563470044588</v>
      </c>
      <c r="Q17" s="106">
        <f t="shared" si="7"/>
        <v>0.69252634198754492</v>
      </c>
      <c r="R17"/>
      <c r="Y17" s="22">
        <f t="shared" si="2"/>
        <v>3922.5095999999999</v>
      </c>
      <c r="Z17">
        <f t="shared" si="14"/>
        <v>43.619541228531268</v>
      </c>
      <c r="AA17" s="22">
        <f t="shared" si="8"/>
        <v>19.623577122680945</v>
      </c>
    </row>
    <row r="18" spans="1:27">
      <c r="A18" s="32"/>
      <c r="B18" s="23" t="s">
        <v>108</v>
      </c>
      <c r="C18">
        <v>4.5</v>
      </c>
      <c r="D18" s="26">
        <v>3770</v>
      </c>
      <c r="E18" s="26">
        <v>2360</v>
      </c>
      <c r="F18" s="22">
        <f t="shared" si="10"/>
        <v>63.95805</v>
      </c>
      <c r="G18" s="22">
        <f t="shared" si="11"/>
        <v>25.063199999999998</v>
      </c>
      <c r="H18" s="22">
        <f t="shared" si="0"/>
        <v>1.2185375371061953</v>
      </c>
      <c r="I18" s="22">
        <f t="shared" si="15"/>
        <v>0.17780824453623029</v>
      </c>
      <c r="J18" s="22">
        <f t="shared" si="12"/>
        <v>59.039287188920909</v>
      </c>
      <c r="K18" s="22">
        <f t="shared" si="13"/>
        <v>59.039287188920902</v>
      </c>
      <c r="L18">
        <f t="shared" si="3"/>
        <v>59.039287188920902</v>
      </c>
      <c r="M18" s="22">
        <f t="shared" si="4"/>
        <v>77.189599999999999</v>
      </c>
      <c r="N18" s="100">
        <f t="shared" si="5"/>
        <v>23.571859555</v>
      </c>
      <c r="O18" s="101">
        <f t="shared" si="9"/>
        <v>23.264571434250797</v>
      </c>
      <c r="P18" s="100">
        <f t="shared" si="6"/>
        <v>2.2240963228927941</v>
      </c>
      <c r="Q18" s="106">
        <f t="shared" si="7"/>
        <v>1.7986285657492012</v>
      </c>
      <c r="R18"/>
      <c r="Y18" s="22">
        <f t="shared" si="2"/>
        <v>2251.7779999999998</v>
      </c>
      <c r="Z18">
        <f t="shared" si="14"/>
        <v>22.817268725777996</v>
      </c>
      <c r="AA18" s="22">
        <f t="shared" si="8"/>
        <v>5.0442072885284661</v>
      </c>
    </row>
    <row r="19" spans="1:27">
      <c r="A19" s="32"/>
      <c r="B19" s="24" t="s">
        <v>120</v>
      </c>
      <c r="C19">
        <v>2.5129999999999999</v>
      </c>
      <c r="D19" s="27">
        <v>6240</v>
      </c>
      <c r="E19" s="27">
        <v>3700</v>
      </c>
      <c r="F19" s="22">
        <f t="shared" si="10"/>
        <v>97.850188799999998</v>
      </c>
      <c r="G19" s="22">
        <f t="shared" si="11"/>
        <v>34.402970000000003</v>
      </c>
      <c r="H19" s="22">
        <f t="shared" si="0"/>
        <v>1.5109033357682009</v>
      </c>
      <c r="I19" s="22">
        <f t="shared" si="15"/>
        <v>0.22888512175414699</v>
      </c>
      <c r="J19" s="22">
        <f t="shared" si="12"/>
        <v>84.55459595430851</v>
      </c>
      <c r="K19" s="22">
        <f t="shared" si="13"/>
        <v>84.554595954308539</v>
      </c>
      <c r="L19">
        <f t="shared" si="3"/>
        <v>84.554595954308539</v>
      </c>
      <c r="M19" s="22">
        <f t="shared" si="4"/>
        <v>105.20891</v>
      </c>
      <c r="N19" s="100">
        <f t="shared" si="5"/>
        <v>32.895586938880001</v>
      </c>
      <c r="O19" s="101">
        <f t="shared" si="9"/>
        <v>33.547855482470695</v>
      </c>
      <c r="P19" s="100">
        <f t="shared" si="6"/>
        <v>2.2722036929515088</v>
      </c>
      <c r="Q19" s="106">
        <f t="shared" si="7"/>
        <v>0.85511451752930867</v>
      </c>
      <c r="R19"/>
      <c r="Y19" s="22">
        <f t="shared" si="2"/>
        <v>3661.654</v>
      </c>
      <c r="Z19">
        <f t="shared" si="14"/>
        <v>33.693575269494303</v>
      </c>
      <c r="AA19" s="22">
        <f t="shared" si="8"/>
        <v>0.50324088366925479</v>
      </c>
    </row>
    <row r="20" spans="1:27">
      <c r="A20" s="38"/>
      <c r="B20" s="24" t="s">
        <v>233</v>
      </c>
      <c r="C20">
        <v>2.4159999999999999</v>
      </c>
      <c r="D20" s="27">
        <v>5883</v>
      </c>
      <c r="E20" s="27">
        <v>3580</v>
      </c>
      <c r="F20" s="22">
        <f t="shared" si="10"/>
        <v>83.617008623999993</v>
      </c>
      <c r="G20" s="22">
        <f t="shared" si="11"/>
        <v>30.9644224</v>
      </c>
      <c r="H20" s="22">
        <f t="shared" si="0"/>
        <v>1.3670887040562614</v>
      </c>
      <c r="I20" s="22">
        <f t="shared" si="15"/>
        <v>0.20595535166812134</v>
      </c>
      <c r="J20" s="22">
        <f t="shared" si="12"/>
        <v>74.683421809184509</v>
      </c>
      <c r="K20" s="22">
        <f t="shared" si="13"/>
        <v>74.683421809184509</v>
      </c>
      <c r="L20">
        <f t="shared" si="3"/>
        <v>74.683421809184509</v>
      </c>
      <c r="M20" s="22">
        <f t="shared" si="4"/>
        <v>94.893267199999997</v>
      </c>
      <c r="N20" s="100">
        <f t="shared" si="5"/>
        <v>28.9800390724624</v>
      </c>
      <c r="O20" s="101">
        <f t="shared" si="9"/>
        <v>29.746356283230995</v>
      </c>
      <c r="P20" s="100">
        <f t="shared" si="6"/>
        <v>3.9377771906091978</v>
      </c>
      <c r="Q20" s="106">
        <f t="shared" si="7"/>
        <v>1.2180661167690054</v>
      </c>
      <c r="R20"/>
      <c r="Y20" s="22">
        <f t="shared" si="2"/>
        <v>3457.8784000000001</v>
      </c>
      <c r="Z20">
        <f t="shared" si="14"/>
        <v>28.887926038514728</v>
      </c>
      <c r="AA20" s="22">
        <f t="shared" si="8"/>
        <v>4.3118371392615753</v>
      </c>
    </row>
    <row r="21" spans="1:27">
      <c r="A21" s="38"/>
      <c r="B21" s="24" t="s">
        <v>234</v>
      </c>
      <c r="C21">
        <v>2.3559999999999999</v>
      </c>
      <c r="D21" s="27">
        <v>5796</v>
      </c>
      <c r="E21" s="27">
        <v>3536</v>
      </c>
      <c r="F21" s="22">
        <f t="shared" si="10"/>
        <v>79.146559295999992</v>
      </c>
      <c r="G21" s="22">
        <f t="shared" si="11"/>
        <v>29.457765375999998</v>
      </c>
      <c r="H21" s="22">
        <f t="shared" si="0"/>
        <v>1.3534474962975096</v>
      </c>
      <c r="I21" s="22">
        <f t="shared" si="15"/>
        <v>0.20357737578187529</v>
      </c>
      <c r="J21" s="22">
        <f t="shared" si="12"/>
        <v>70.90939989528853</v>
      </c>
      <c r="K21" s="22">
        <f t="shared" si="13"/>
        <v>70.90939989528853</v>
      </c>
      <c r="L21">
        <f t="shared" si="3"/>
        <v>70.90939989528853</v>
      </c>
      <c r="M21" s="22">
        <f t="shared" si="4"/>
        <v>90.373296127999993</v>
      </c>
      <c r="N21" s="100">
        <f t="shared" si="5"/>
        <v>27.750218462329599</v>
      </c>
      <c r="O21" s="101">
        <f t="shared" si="9"/>
        <v>28.417550994855034</v>
      </c>
      <c r="P21" s="100">
        <f t="shared" si="6"/>
        <v>2.915716462385304</v>
      </c>
      <c r="Q21" s="106">
        <f t="shared" si="7"/>
        <v>1.0402143811449633</v>
      </c>
      <c r="R21"/>
      <c r="Y21" s="22">
        <f t="shared" si="2"/>
        <v>3408.2188000000001</v>
      </c>
      <c r="Z21">
        <f t="shared" si="14"/>
        <v>27.367190895714625</v>
      </c>
      <c r="AA21" s="22">
        <f t="shared" si="8"/>
        <v>4.3705016576204558</v>
      </c>
    </row>
    <row r="22" spans="1:27">
      <c r="A22" s="38"/>
      <c r="B22" s="24" t="s">
        <v>235</v>
      </c>
      <c r="C22" s="27">
        <v>2.3340000000000001</v>
      </c>
      <c r="D22" s="27">
        <v>5664</v>
      </c>
      <c r="E22" s="27">
        <v>3438</v>
      </c>
      <c r="F22" s="22">
        <f t="shared" si="10"/>
        <v>74.876811263999997</v>
      </c>
      <c r="G22" s="22">
        <f t="shared" si="11"/>
        <v>27.587515896000003</v>
      </c>
      <c r="H22" s="22">
        <f>((C22/D22)^2)-(4/3)</f>
        <v>-1.33333316352648</v>
      </c>
      <c r="I22" s="22">
        <f t="shared" si="15"/>
        <v>1.0000000849034412</v>
      </c>
      <c r="J22" s="22">
        <f t="shared" si="12"/>
        <v>66.668608723811943</v>
      </c>
      <c r="K22" s="22">
        <f t="shared" si="13"/>
        <v>110.35006826855007</v>
      </c>
      <c r="L22">
        <f t="shared" si="3"/>
        <v>110.35006826855007</v>
      </c>
      <c r="M22" s="22">
        <f t="shared" si="4"/>
        <v>84.762547688000012</v>
      </c>
      <c r="N22" s="100">
        <f t="shared" si="5"/>
        <v>26.5756107787264</v>
      </c>
      <c r="O22" s="101">
        <f t="shared" si="9"/>
        <v>27.076377260915919</v>
      </c>
      <c r="P22" s="100">
        <f t="shared" si="6"/>
        <v>1.023951966364504</v>
      </c>
      <c r="Q22" s="106">
        <f t="shared" si="7"/>
        <v>0.51113863508408386</v>
      </c>
      <c r="R22"/>
      <c r="Y22" s="22">
        <f t="shared" si="2"/>
        <v>3332.8732</v>
      </c>
      <c r="Z22">
        <f>(C22*Y22^2)/1000000</f>
        <v>25.926174152827411</v>
      </c>
      <c r="AA22" s="22">
        <f>(ABS(G22-Z22))^2</f>
        <v>2.7600563876077469</v>
      </c>
    </row>
    <row r="23" spans="1:27">
      <c r="A23" s="38"/>
      <c r="B23" s="24" t="s">
        <v>236</v>
      </c>
      <c r="C23">
        <v>2.3359999999999999</v>
      </c>
      <c r="D23" s="27">
        <v>5621</v>
      </c>
      <c r="E23" s="27">
        <v>3405</v>
      </c>
      <c r="F23" s="22">
        <f t="shared" si="10"/>
        <v>73.807417376000004</v>
      </c>
      <c r="G23" s="22">
        <f t="shared" si="11"/>
        <v>27.083642399999999</v>
      </c>
      <c r="H23" s="22">
        <f>((C23/D23)^2)-(4/3)</f>
        <v>-1.3333331606229268</v>
      </c>
      <c r="I23" s="22">
        <f t="shared" si="15"/>
        <v>1.0000000863552181</v>
      </c>
      <c r="J23" s="22">
        <f t="shared" si="12"/>
        <v>65.551774337718285</v>
      </c>
      <c r="K23" s="22">
        <f t="shared" si="13"/>
        <v>108.33457427762769</v>
      </c>
      <c r="L23">
        <f t="shared" si="3"/>
        <v>108.33457427762769</v>
      </c>
      <c r="M23" s="22">
        <f t="shared" si="4"/>
        <v>83.250927199999992</v>
      </c>
      <c r="N23" s="100">
        <f t="shared" si="5"/>
        <v>26.281420520137601</v>
      </c>
      <c r="O23" s="101">
        <f t="shared" si="9"/>
        <v>26.72849009101364</v>
      </c>
      <c r="P23" s="100">
        <f t="shared" si="6"/>
        <v>0.6435599445299589</v>
      </c>
      <c r="Q23" s="106">
        <f t="shared" si="7"/>
        <v>0.35515230898635863</v>
      </c>
      <c r="R23"/>
      <c r="Y23" s="22">
        <f t="shared" si="2"/>
        <v>3308.3287999999998</v>
      </c>
      <c r="Z23">
        <f t="shared" si="14"/>
        <v>25.567612152652451</v>
      </c>
      <c r="AA23" s="22">
        <f t="shared" si="8"/>
        <v>2.2983477108726662</v>
      </c>
    </row>
    <row r="24" spans="1:27">
      <c r="A24" s="38"/>
      <c r="B24" s="24" t="s">
        <v>237</v>
      </c>
      <c r="C24">
        <v>2.367</v>
      </c>
      <c r="D24" s="27">
        <v>5533</v>
      </c>
      <c r="E24" s="27">
        <v>3394</v>
      </c>
      <c r="F24" s="22">
        <f t="shared" si="10"/>
        <v>72.463548662999997</v>
      </c>
      <c r="G24" s="22">
        <f t="shared" si="11"/>
        <v>27.266031611999999</v>
      </c>
      <c r="H24" s="22"/>
      <c r="I24" s="22"/>
      <c r="J24" s="22">
        <f t="shared" si="12"/>
        <v>65.349481540988606</v>
      </c>
      <c r="K24" s="22">
        <f t="shared" si="13"/>
        <v>54.532063223999998</v>
      </c>
      <c r="L24">
        <f t="shared" si="3"/>
        <v>54.532063223999998</v>
      </c>
      <c r="M24" s="22">
        <f t="shared" si="4"/>
        <v>83.79809483599999</v>
      </c>
      <c r="N24" s="100">
        <f t="shared" si="5"/>
        <v>25.911722237191299</v>
      </c>
      <c r="O24" s="101">
        <f t="shared" si="9"/>
        <v>26.284095193869959</v>
      </c>
      <c r="P24" s="100">
        <f t="shared" si="6"/>
        <v>1.8341538826947326</v>
      </c>
      <c r="Q24" s="106">
        <f t="shared" si="7"/>
        <v>0.98193641813004007</v>
      </c>
      <c r="R24"/>
      <c r="Y24" s="22">
        <f t="shared" si="2"/>
        <v>3258.0983999999999</v>
      </c>
      <c r="Z24">
        <f t="shared" si="14"/>
        <v>25.126190670723417</v>
      </c>
      <c r="AA24" s="22">
        <f t="shared" si="8"/>
        <v>4.5789192539634467</v>
      </c>
    </row>
    <row r="25" spans="1:27">
      <c r="A25" s="38"/>
      <c r="B25" s="24" t="s">
        <v>238</v>
      </c>
      <c r="C25">
        <v>2.387</v>
      </c>
      <c r="D25" s="27">
        <v>5752</v>
      </c>
      <c r="E25" s="27">
        <v>3547</v>
      </c>
      <c r="F25" s="22">
        <f t="shared" si="10"/>
        <v>78.975098047999992</v>
      </c>
      <c r="G25" s="22">
        <f t="shared" si="11"/>
        <v>30.031345883</v>
      </c>
      <c r="H25" s="22"/>
      <c r="I25" s="22"/>
      <c r="J25" s="22">
        <f t="shared" si="12"/>
        <v>71.667135426547944</v>
      </c>
      <c r="K25" s="22">
        <f t="shared" si="13"/>
        <v>60.062691766</v>
      </c>
      <c r="L25">
        <f t="shared" si="3"/>
        <v>60.062691766</v>
      </c>
      <c r="M25" s="22">
        <f t="shared" si="4"/>
        <v>92.094037649000001</v>
      </c>
      <c r="N25" s="100">
        <f t="shared" si="5"/>
        <v>27.7030494730048</v>
      </c>
      <c r="O25" s="101">
        <f t="shared" si="9"/>
        <v>28.365102512888157</v>
      </c>
      <c r="P25" s="100">
        <f t="shared" si="6"/>
        <v>5.4209641727965385</v>
      </c>
      <c r="Q25" s="106">
        <f t="shared" si="7"/>
        <v>1.6662433701118431</v>
      </c>
      <c r="R25"/>
      <c r="Y25" s="22">
        <f t="shared" si="2"/>
        <v>3383.1035999999999</v>
      </c>
      <c r="Z25">
        <f t="shared" si="14"/>
        <v>27.320145854410775</v>
      </c>
      <c r="AA25" s="22">
        <f t="shared" si="8"/>
        <v>7.3506055950222144</v>
      </c>
    </row>
    <row r="26" spans="1:27">
      <c r="A26" s="38"/>
      <c r="B26" s="24" t="s">
        <v>239</v>
      </c>
      <c r="C26">
        <v>2.3940000000000001</v>
      </c>
      <c r="D26" s="27">
        <v>5632</v>
      </c>
      <c r="E26" s="27">
        <v>3438</v>
      </c>
      <c r="F26" s="22">
        <f t="shared" si="10"/>
        <v>75.936301056000005</v>
      </c>
      <c r="G26" s="22">
        <f t="shared" si="11"/>
        <v>28.296706536000002</v>
      </c>
      <c r="H26" s="22"/>
      <c r="I26" s="22"/>
      <c r="J26" s="22">
        <f t="shared" si="12"/>
        <v>68.082596184425213</v>
      </c>
      <c r="K26" s="22">
        <f t="shared" si="13"/>
        <v>56.593413072000004</v>
      </c>
      <c r="L26">
        <f t="shared" si="3"/>
        <v>56.593413072000004</v>
      </c>
      <c r="M26" s="22">
        <f t="shared" si="4"/>
        <v>86.890119608000006</v>
      </c>
      <c r="N26" s="100">
        <f t="shared" si="5"/>
        <v>26.867076420505601</v>
      </c>
      <c r="O26" s="101">
        <f t="shared" si="9"/>
        <v>27.416176927786225</v>
      </c>
      <c r="P26" s="100">
        <f t="shared" si="6"/>
        <v>2.0438422671285346</v>
      </c>
      <c r="Q26" s="106">
        <f t="shared" si="7"/>
        <v>0.88052960821377724</v>
      </c>
      <c r="R26"/>
      <c r="Y26" s="22">
        <f t="shared" si="2"/>
        <v>3314.6075999999998</v>
      </c>
      <c r="Z26">
        <f t="shared" si="14"/>
        <v>26.30197675949476</v>
      </c>
      <c r="AA26" s="22">
        <f t="shared" si="8"/>
        <v>3.9789468812766522</v>
      </c>
    </row>
    <row r="27" spans="1:27">
      <c r="A27" s="38"/>
      <c r="B27" s="24" t="s">
        <v>240</v>
      </c>
      <c r="C27">
        <v>2.3849999999999998</v>
      </c>
      <c r="D27" s="27">
        <v>5664</v>
      </c>
      <c r="E27" s="27">
        <v>3460</v>
      </c>
      <c r="F27" s="22">
        <f t="shared" si="10"/>
        <v>76.51293695999999</v>
      </c>
      <c r="G27" s="22">
        <f t="shared" si="11"/>
        <v>28.552265999999996</v>
      </c>
      <c r="H27" s="22"/>
      <c r="I27" s="22"/>
      <c r="J27" s="22">
        <f t="shared" si="12"/>
        <v>68.658872878921642</v>
      </c>
      <c r="K27" s="22">
        <f t="shared" si="13"/>
        <v>57.104531999999992</v>
      </c>
      <c r="L27">
        <f t="shared" si="3"/>
        <v>57.104531999999992</v>
      </c>
      <c r="M27" s="22">
        <f t="shared" si="4"/>
        <v>87.656797999999981</v>
      </c>
      <c r="N27" s="100">
        <f t="shared" si="5"/>
        <v>27.025708957695997</v>
      </c>
      <c r="O27" s="101">
        <f t="shared" si="9"/>
        <v>27.599128700986057</v>
      </c>
      <c r="P27" s="100">
        <f t="shared" si="6"/>
        <v>2.3303764034079331</v>
      </c>
      <c r="Q27" s="106">
        <f t="shared" si="7"/>
        <v>0.95313729901393884</v>
      </c>
      <c r="R27"/>
      <c r="Y27" s="22">
        <f t="shared" si="2"/>
        <v>3332.8732</v>
      </c>
      <c r="Z27">
        <f t="shared" si="14"/>
        <v>26.492684384958597</v>
      </c>
      <c r="AA27" s="22">
        <f t="shared" si="8"/>
        <v>4.2418764290165365</v>
      </c>
    </row>
    <row r="28" spans="1:27">
      <c r="A28" s="38"/>
      <c r="B28" s="24" t="s">
        <v>241</v>
      </c>
      <c r="C28">
        <v>2.375</v>
      </c>
      <c r="D28" s="27">
        <v>5544</v>
      </c>
      <c r="E28" s="27">
        <v>3351</v>
      </c>
      <c r="F28" s="22">
        <f t="shared" si="10"/>
        <v>72.997848000000005</v>
      </c>
      <c r="G28" s="22">
        <f t="shared" si="11"/>
        <v>26.669352374999999</v>
      </c>
      <c r="H28" s="22"/>
      <c r="I28" s="22"/>
      <c r="J28" s="22">
        <f t="shared" si="12"/>
        <v>64.655640723244275</v>
      </c>
      <c r="K28" s="22">
        <f t="shared" si="13"/>
        <v>53.338704749999998</v>
      </c>
      <c r="L28">
        <f t="shared" si="3"/>
        <v>53.338704749999998</v>
      </c>
      <c r="M28" s="22">
        <f t="shared" si="4"/>
        <v>82.008057124999993</v>
      </c>
      <c r="N28" s="100">
        <f t="shared" si="5"/>
        <v>26.058707984800002</v>
      </c>
      <c r="O28" s="101">
        <f t="shared" si="9"/>
        <v>26.461758183155581</v>
      </c>
      <c r="P28" s="100">
        <f t="shared" si="6"/>
        <v>0.37288657128272668</v>
      </c>
      <c r="Q28" s="106">
        <f t="shared" si="7"/>
        <v>0.20759419184441796</v>
      </c>
      <c r="R28"/>
      <c r="Y28" s="22">
        <f t="shared" si="2"/>
        <v>3264.3771999999999</v>
      </c>
      <c r="Z28">
        <f t="shared" si="14"/>
        <v>25.308376446714618</v>
      </c>
      <c r="AA28" s="22">
        <f t="shared" si="8"/>
        <v>1.8522554773722542</v>
      </c>
    </row>
    <row r="29" spans="1:27">
      <c r="A29" s="38"/>
      <c r="B29" s="24" t="s">
        <v>242</v>
      </c>
      <c r="C29">
        <v>2.5070000000000001</v>
      </c>
      <c r="D29" s="27">
        <v>6250</v>
      </c>
      <c r="E29" s="27">
        <v>3730</v>
      </c>
      <c r="F29" s="22">
        <f t="shared" si="10"/>
        <v>97.9296875</v>
      </c>
      <c r="G29" s="22">
        <f t="shared" si="11"/>
        <v>34.879640300000005</v>
      </c>
      <c r="H29" s="22">
        <f t="shared" si="0"/>
        <v>1.4743128080174996</v>
      </c>
      <c r="I29" s="22">
        <f t="shared" si="15"/>
        <v>0.22339719120781248</v>
      </c>
      <c r="J29" s="22">
        <f t="shared" si="12"/>
        <v>85.34330794671763</v>
      </c>
      <c r="K29" s="22">
        <f t="shared" si="13"/>
        <v>85.343307946717658</v>
      </c>
      <c r="L29">
        <f t="shared" si="3"/>
        <v>85.343307946717658</v>
      </c>
      <c r="M29" s="22">
        <f t="shared" si="4"/>
        <v>106.63892090000002</v>
      </c>
      <c r="N29" s="100">
        <f t="shared" si="5"/>
        <v>32.917457031250002</v>
      </c>
      <c r="O29" s="101">
        <f t="shared" si="9"/>
        <v>33.56749587353444</v>
      </c>
      <c r="P29" s="100">
        <f t="shared" si="6"/>
        <v>3.850163180162447</v>
      </c>
      <c r="Q29" s="106">
        <f t="shared" si="7"/>
        <v>1.3121444264655651</v>
      </c>
      <c r="R29"/>
      <c r="Y29" s="22">
        <f t="shared" si="2"/>
        <v>3667.3620000000001</v>
      </c>
      <c r="Z29">
        <f t="shared" si="14"/>
        <v>33.718006905883314</v>
      </c>
      <c r="AA29" s="22">
        <f t="shared" si="8"/>
        <v>1.3493921423270645</v>
      </c>
    </row>
    <row r="30" spans="1:27">
      <c r="A30" s="38"/>
      <c r="B30" s="24" t="s">
        <v>121</v>
      </c>
      <c r="C30">
        <v>2.4969999999999999</v>
      </c>
      <c r="D30" s="27">
        <v>6230</v>
      </c>
      <c r="E30" s="27">
        <v>3750</v>
      </c>
      <c r="F30" s="22">
        <f t="shared" si="10"/>
        <v>96.915811300000001</v>
      </c>
      <c r="G30" s="22">
        <f t="shared" si="11"/>
        <v>35.114062500000003</v>
      </c>
      <c r="H30" s="22">
        <f t="shared" si="0"/>
        <v>1.4266951111111112</v>
      </c>
      <c r="I30" s="22">
        <f t="shared" si="15"/>
        <v>0.21591368220311596</v>
      </c>
      <c r="J30" s="22">
        <f t="shared" si="12"/>
        <v>85.391338062970704</v>
      </c>
      <c r="K30" s="22">
        <f t="shared" si="13"/>
        <v>85.391338062970718</v>
      </c>
      <c r="L30">
        <f>K30</f>
        <v>85.391338062970718</v>
      </c>
      <c r="M30" s="22">
        <f t="shared" si="4"/>
        <v>107.34218750000001</v>
      </c>
      <c r="N30" s="100">
        <f t="shared" si="5"/>
        <v>32.638539688630004</v>
      </c>
      <c r="O30" s="101">
        <f t="shared" si="9"/>
        <v>33.315811298061561</v>
      </c>
      <c r="P30" s="100">
        <f t="shared" si="6"/>
        <v>6.1282131896132217</v>
      </c>
      <c r="Q30" s="106">
        <f t="shared" si="7"/>
        <v>1.7982512019384416</v>
      </c>
      <c r="R30"/>
      <c r="Y30" s="22">
        <f t="shared" si="2"/>
        <v>3655.9459999999999</v>
      </c>
      <c r="Z30">
        <f t="shared" si="14"/>
        <v>33.374755063825248</v>
      </c>
      <c r="AA30" s="22">
        <f t="shared" si="8"/>
        <v>3.0251903575328001</v>
      </c>
    </row>
    <row r="31" spans="1:27">
      <c r="A31" s="38"/>
      <c r="B31" s="24" t="s">
        <v>122</v>
      </c>
      <c r="C31">
        <v>2.456</v>
      </c>
      <c r="D31" s="27">
        <v>6060</v>
      </c>
      <c r="E31" s="27">
        <v>3550</v>
      </c>
      <c r="F31" s="22">
        <f t="shared" si="10"/>
        <v>90.193161599999996</v>
      </c>
      <c r="G31" s="22">
        <f t="shared" si="11"/>
        <v>30.951740000000001</v>
      </c>
      <c r="H31" s="22">
        <f t="shared" si="0"/>
        <v>1.5806599219731534</v>
      </c>
      <c r="I31" s="22">
        <f t="shared" si="15"/>
        <v>0.23876605959098052</v>
      </c>
      <c r="J31" s="22">
        <f t="shared" si="12"/>
        <v>76.683929994569084</v>
      </c>
      <c r="K31" s="22">
        <f t="shared" si="13"/>
        <v>76.683929994569084</v>
      </c>
      <c r="L31">
        <f t="shared" si="3"/>
        <v>76.683929994569084</v>
      </c>
      <c r="M31" s="22">
        <f t="shared" si="4"/>
        <v>94.855220000000003</v>
      </c>
      <c r="N31" s="100">
        <f t="shared" si="5"/>
        <v>30.78913875616</v>
      </c>
      <c r="O31" s="101">
        <f t="shared" si="9"/>
        <v>31.577246115058514</v>
      </c>
      <c r="P31" s="100">
        <f t="shared" si="6"/>
        <v>2.6439164498315487E-2</v>
      </c>
      <c r="Q31" s="106">
        <f t="shared" si="7"/>
        <v>0.6255061150585135</v>
      </c>
      <c r="R31"/>
      <c r="Y31" s="22">
        <f t="shared" si="2"/>
        <v>3558.91</v>
      </c>
      <c r="Z31">
        <f t="shared" si="14"/>
        <v>31.107303993173595</v>
      </c>
      <c r="AA31" s="22">
        <f t="shared" si="8"/>
        <v>2.4200155972113977E-2</v>
      </c>
    </row>
    <row r="32" spans="1:27">
      <c r="A32" s="38"/>
      <c r="B32" s="24" t="s">
        <v>123</v>
      </c>
      <c r="C32">
        <v>2.4369999999999998</v>
      </c>
      <c r="D32" s="27">
        <v>6090</v>
      </c>
      <c r="E32" s="27">
        <v>3620</v>
      </c>
      <c r="F32" s="22">
        <f t="shared" si="10"/>
        <v>90.383699699999994</v>
      </c>
      <c r="G32" s="22">
        <f t="shared" si="11"/>
        <v>31.935422799999998</v>
      </c>
      <c r="H32" s="22">
        <f t="shared" si="0"/>
        <v>1.4968687362005639</v>
      </c>
      <c r="I32" s="22">
        <f t="shared" si="15"/>
        <v>0.22680612249152554</v>
      </c>
      <c r="J32" s="22">
        <f t="shared" si="12"/>
        <v>78.357144430790896</v>
      </c>
      <c r="K32" s="22">
        <f t="shared" si="13"/>
        <v>78.35714443079091</v>
      </c>
      <c r="L32">
        <f t="shared" si="3"/>
        <v>78.35714443079091</v>
      </c>
      <c r="M32" s="22">
        <f t="shared" si="4"/>
        <v>97.806268399999993</v>
      </c>
      <c r="N32" s="100">
        <f t="shared" si="5"/>
        <v>30.84155578747</v>
      </c>
      <c r="O32" s="101">
        <f t="shared" si="9"/>
        <v>31.628282278688289</v>
      </c>
      <c r="P32" s="100">
        <f t="shared" si="6"/>
        <v>1.1965450411013026</v>
      </c>
      <c r="Q32" s="106">
        <f t="shared" si="7"/>
        <v>0.30714052131170888</v>
      </c>
      <c r="R32"/>
      <c r="Y32" s="22">
        <f t="shared" si="2"/>
        <v>3576.0340000000001</v>
      </c>
      <c r="Z32">
        <f t="shared" si="14"/>
        <v>31.16440271523317</v>
      </c>
      <c r="AA32" s="22">
        <f t="shared" si="8"/>
        <v>0.59447197111384709</v>
      </c>
    </row>
    <row r="33" spans="1:27">
      <c r="A33" s="32"/>
      <c r="B33" s="24" t="s">
        <v>124</v>
      </c>
      <c r="C33">
        <v>2.6989999999999998</v>
      </c>
      <c r="D33" s="27">
        <v>6505</v>
      </c>
      <c r="E33" s="27">
        <v>3711</v>
      </c>
      <c r="F33" s="22">
        <f t="shared" si="10"/>
        <v>114.20825247499999</v>
      </c>
      <c r="G33" s="22">
        <f t="shared" si="11"/>
        <v>37.169335179000001</v>
      </c>
      <c r="H33" s="22">
        <f t="shared" si="0"/>
        <v>1.7393138346882668</v>
      </c>
      <c r="I33" s="22">
        <f t="shared" si="15"/>
        <v>0.25876260672130508</v>
      </c>
      <c r="J33" s="22">
        <f t="shared" si="12"/>
        <v>93.574738480031911</v>
      </c>
      <c r="K33" s="22">
        <f t="shared" si="13"/>
        <v>93.574738480031897</v>
      </c>
      <c r="L33">
        <f t="shared" si="3"/>
        <v>93.574738480031897</v>
      </c>
      <c r="M33" s="22">
        <f t="shared" si="4"/>
        <v>113.508005537</v>
      </c>
      <c r="N33" s="100">
        <f t="shared" si="5"/>
        <v>37.395690255872495</v>
      </c>
      <c r="O33" s="101">
        <f t="shared" si="9"/>
        <v>37.286361725820854</v>
      </c>
      <c r="P33" s="100">
        <f t="shared" si="6"/>
        <v>5.1236620825952671E-2</v>
      </c>
      <c r="Q33" s="106">
        <f t="shared" si="7"/>
        <v>0.11702654682085267</v>
      </c>
      <c r="R33"/>
      <c r="Y33" s="22">
        <f t="shared" si="2"/>
        <v>3812.9159999999997</v>
      </c>
      <c r="Z33">
        <f t="shared" si="14"/>
        <v>39.238948413828133</v>
      </c>
      <c r="AA33" s="22">
        <f t="shared" si="8"/>
        <v>4.2832989417757661</v>
      </c>
    </row>
    <row r="34" spans="1:27" ht="17.5">
      <c r="A34" s="38"/>
      <c r="B34" s="24" t="s">
        <v>135</v>
      </c>
      <c r="C34">
        <v>2.6480000000000001</v>
      </c>
      <c r="D34" s="27">
        <v>6230</v>
      </c>
      <c r="E34" s="27">
        <v>3586</v>
      </c>
      <c r="F34" s="22">
        <f t="shared" si="10"/>
        <v>102.77655920000001</v>
      </c>
      <c r="G34" s="22">
        <f t="shared" si="11"/>
        <v>34.051680608000005</v>
      </c>
      <c r="H34" s="22">
        <f t="shared" si="0"/>
        <v>1.6849188458514435</v>
      </c>
      <c r="I34" s="22">
        <f t="shared" si="15"/>
        <v>0.25226088931960788</v>
      </c>
      <c r="J34" s="22">
        <f t="shared" si="12"/>
        <v>85.283175682002664</v>
      </c>
      <c r="K34" s="22">
        <f t="shared" si="13"/>
        <v>85.283175682002664</v>
      </c>
      <c r="L34">
        <f t="shared" si="3"/>
        <v>85.283175682002664</v>
      </c>
      <c r="M34" s="22">
        <f t="shared" si="4"/>
        <v>104.15504182400002</v>
      </c>
      <c r="N34" s="100">
        <f t="shared" si="5"/>
        <v>34.250831435920006</v>
      </c>
      <c r="O34" s="101">
        <f t="shared" si="9"/>
        <v>34.735765832039576</v>
      </c>
      <c r="P34" s="100">
        <f t="shared" si="6"/>
        <v>3.9661052261221651E-2</v>
      </c>
      <c r="Q34" s="106">
        <f t="shared" si="7"/>
        <v>0.68408522403957051</v>
      </c>
      <c r="R34"/>
      <c r="Y34" s="22">
        <f t="shared" si="2"/>
        <v>3655.9459999999999</v>
      </c>
      <c r="Z34">
        <f t="shared" si="14"/>
        <v>35.393012178217568</v>
      </c>
      <c r="AA34" s="22">
        <f t="shared" si="8"/>
        <v>1.7991703812623114</v>
      </c>
    </row>
    <row r="35" spans="1:27">
      <c r="A35" s="32"/>
      <c r="B35" s="24" t="s">
        <v>125</v>
      </c>
      <c r="C35">
        <v>2.4620000000000002</v>
      </c>
      <c r="D35" s="27">
        <v>5839</v>
      </c>
      <c r="E35" s="27">
        <v>3493</v>
      </c>
      <c r="F35" s="22">
        <f t="shared" si="10"/>
        <v>83.939233502000008</v>
      </c>
      <c r="G35" s="22">
        <f t="shared" si="11"/>
        <v>30.038982638000004</v>
      </c>
      <c r="H35" s="22">
        <f t="shared" si="0"/>
        <v>1.4610100874659768</v>
      </c>
      <c r="I35" s="22">
        <f t="shared" si="15"/>
        <v>0.22134654146792621</v>
      </c>
      <c r="J35" s="22">
        <f t="shared" si="12"/>
        <v>73.376015108272767</v>
      </c>
      <c r="K35" s="22">
        <f t="shared" si="13"/>
        <v>73.376015108272767</v>
      </c>
      <c r="L35">
        <f t="shared" si="3"/>
        <v>73.376015108272767</v>
      </c>
      <c r="M35" s="22">
        <f t="shared" si="4"/>
        <v>92.116947914000008</v>
      </c>
      <c r="N35" s="100">
        <f t="shared" si="5"/>
        <v>29.068683136400203</v>
      </c>
      <c r="O35" s="101">
        <f t="shared" si="9"/>
        <v>29.839372168012673</v>
      </c>
      <c r="P35" s="100">
        <f t="shared" si="6"/>
        <v>0.94148112280482144</v>
      </c>
      <c r="Q35" s="106">
        <f t="shared" si="7"/>
        <v>0.19961046998733067</v>
      </c>
      <c r="R35"/>
      <c r="Y35" s="22">
        <f t="shared" si="2"/>
        <v>3432.7631999999999</v>
      </c>
      <c r="Z35">
        <f t="shared" si="14"/>
        <v>29.011871167069181</v>
      </c>
      <c r="AA35" s="22">
        <f t="shared" si="8"/>
        <v>1.0549579737176786</v>
      </c>
    </row>
    <row r="36" spans="1:27" ht="17.5">
      <c r="A36" s="38"/>
      <c r="B36" s="24" t="s">
        <v>136</v>
      </c>
      <c r="C36">
        <v>2.4780000000000002</v>
      </c>
      <c r="D36" s="27">
        <v>5839</v>
      </c>
      <c r="E36" s="27">
        <v>3482</v>
      </c>
      <c r="F36" s="22">
        <f t="shared" si="10"/>
        <v>84.484736238000011</v>
      </c>
      <c r="G36" s="22">
        <f t="shared" si="11"/>
        <v>30.044074872000003</v>
      </c>
      <c r="H36" s="22">
        <f t="shared" si="0"/>
        <v>1.4786932175902481</v>
      </c>
      <c r="I36" s="22">
        <f t="shared" si="15"/>
        <v>0.2240658533700004</v>
      </c>
      <c r="J36" s="22">
        <f t="shared" si="12"/>
        <v>73.551852293813738</v>
      </c>
      <c r="K36" s="22">
        <f t="shared" si="13"/>
        <v>73.551852293813738</v>
      </c>
      <c r="L36">
        <f t="shared" si="3"/>
        <v>73.551852293813738</v>
      </c>
      <c r="M36" s="22">
        <f t="shared" si="4"/>
        <v>92.132224616000002</v>
      </c>
      <c r="N36" s="100">
        <f t="shared" si="5"/>
        <v>29.218750939073804</v>
      </c>
      <c r="O36" s="101">
        <f t="shared" si="9"/>
        <v>29.996030205687049</v>
      </c>
      <c r="P36" s="100">
        <f t="shared" si="6"/>
        <v>0.68115959426076977</v>
      </c>
      <c r="Q36" s="106">
        <f t="shared" si="7"/>
        <v>4.8044666312954121E-2</v>
      </c>
      <c r="R36"/>
      <c r="Y36" s="22">
        <f t="shared" si="2"/>
        <v>3432.7631999999999</v>
      </c>
      <c r="Z36">
        <f t="shared" si="14"/>
        <v>29.200412978065568</v>
      </c>
      <c r="AA36" s="22">
        <f t="shared" si="8"/>
        <v>0.71176539127703775</v>
      </c>
    </row>
    <row r="37" spans="1:27" ht="17.5">
      <c r="A37" s="38"/>
      <c r="B37" s="24" t="s">
        <v>137</v>
      </c>
      <c r="C37">
        <v>2.4580000000000002</v>
      </c>
      <c r="D37" s="27">
        <v>5752</v>
      </c>
      <c r="E37" s="27">
        <v>3394</v>
      </c>
      <c r="F37" s="22">
        <f t="shared" si="10"/>
        <v>81.324168831999998</v>
      </c>
      <c r="G37" s="22">
        <f t="shared" si="11"/>
        <v>28.314282088000002</v>
      </c>
      <c r="H37" s="22">
        <f t="shared" si="0"/>
        <v>1.5388627046677985</v>
      </c>
      <c r="I37" s="22">
        <f t="shared" si="15"/>
        <v>0.23293395037101466</v>
      </c>
      <c r="J37" s="22">
        <f t="shared" si="12"/>
        <v>69.819279333354189</v>
      </c>
      <c r="K37" s="22">
        <f t="shared" si="13"/>
        <v>69.819279333354203</v>
      </c>
      <c r="L37">
        <f t="shared" si="3"/>
        <v>69.819279333354203</v>
      </c>
      <c r="M37" s="22">
        <f t="shared" si="4"/>
        <v>86.942846264000011</v>
      </c>
      <c r="N37" s="100">
        <f t="shared" si="5"/>
        <v>28.349278845683202</v>
      </c>
      <c r="O37" s="101">
        <f t="shared" si="9"/>
        <v>29.073951605916577</v>
      </c>
      <c r="P37" s="100">
        <f t="shared" si="6"/>
        <v>1.2247730483365706E-3</v>
      </c>
      <c r="Q37" s="106">
        <f t="shared" si="7"/>
        <v>0.75966951791657422</v>
      </c>
      <c r="R37"/>
      <c r="Y37" s="22">
        <f t="shared" si="2"/>
        <v>3383.1035999999999</v>
      </c>
      <c r="Z37">
        <f t="shared" si="14"/>
        <v>28.132768542162413</v>
      </c>
      <c r="AA37" s="22">
        <f t="shared" si="8"/>
        <v>3.2947167322534582E-2</v>
      </c>
    </row>
    <row r="38" spans="1:27" ht="17.5">
      <c r="A38" s="38"/>
      <c r="B38" s="24" t="s">
        <v>138</v>
      </c>
      <c r="C38">
        <v>2.452</v>
      </c>
      <c r="D38" s="27">
        <v>5692</v>
      </c>
      <c r="E38" s="27">
        <v>3372</v>
      </c>
      <c r="F38" s="22">
        <f t="shared" si="10"/>
        <v>79.442014528000001</v>
      </c>
      <c r="G38" s="22">
        <f t="shared" si="11"/>
        <v>27.880181568000001</v>
      </c>
      <c r="H38" s="22">
        <f t="shared" si="0"/>
        <v>1.5160747429462365</v>
      </c>
      <c r="I38" s="22">
        <f t="shared" si="15"/>
        <v>0.22964322670968135</v>
      </c>
      <c r="J38" s="22">
        <f t="shared" si="12"/>
        <v>68.565352849054605</v>
      </c>
      <c r="K38" s="22">
        <f t="shared" si="13"/>
        <v>68.565352849054605</v>
      </c>
      <c r="L38">
        <f t="shared" si="3"/>
        <v>68.565352849054605</v>
      </c>
      <c r="M38" s="22">
        <f t="shared" si="4"/>
        <v>85.640544704000007</v>
      </c>
      <c r="N38" s="100">
        <f t="shared" si="5"/>
        <v>27.831498196652802</v>
      </c>
      <c r="O38" s="101">
        <f t="shared" si="9"/>
        <v>28.507662122349629</v>
      </c>
      <c r="P38" s="100">
        <f t="shared" si="6"/>
        <v>2.3700706457292571E-3</v>
      </c>
      <c r="Q38" s="106">
        <f t="shared" si="7"/>
        <v>0.62748055434962779</v>
      </c>
      <c r="R38"/>
      <c r="Y38" s="22">
        <f t="shared" si="2"/>
        <v>3348.8555999999999</v>
      </c>
      <c r="Z38">
        <f t="shared" si="14"/>
        <v>27.49877255030513</v>
      </c>
      <c r="AA38" s="22">
        <f t="shared" si="8"/>
        <v>0.14547283877896644</v>
      </c>
    </row>
    <row r="39" spans="1:27" ht="17.5">
      <c r="A39" s="38"/>
      <c r="B39" s="24" t="s">
        <v>139</v>
      </c>
      <c r="C39">
        <v>2.419</v>
      </c>
      <c r="D39" s="27">
        <v>5768</v>
      </c>
      <c r="E39" s="27">
        <v>3372</v>
      </c>
      <c r="F39" s="22">
        <f t="shared" si="10"/>
        <v>80.479704255999991</v>
      </c>
      <c r="G39" s="22">
        <f t="shared" si="11"/>
        <v>27.504958896000002</v>
      </c>
      <c r="H39" s="22">
        <f t="shared" si="0"/>
        <v>1.5926737390751271</v>
      </c>
      <c r="I39" s="22">
        <f t="shared" si="15"/>
        <v>0.24039555349360531</v>
      </c>
      <c r="J39" s="22">
        <f t="shared" si="12"/>
        <v>68.234057427245574</v>
      </c>
      <c r="K39" s="22">
        <f t="shared" si="13"/>
        <v>68.234057427245574</v>
      </c>
      <c r="L39">
        <f t="shared" si="3"/>
        <v>68.234057427245574</v>
      </c>
      <c r="M39" s="22">
        <f t="shared" si="4"/>
        <v>84.514876688000001</v>
      </c>
      <c r="N39" s="100">
        <f t="shared" si="5"/>
        <v>28.116966640825598</v>
      </c>
      <c r="O39" s="101">
        <f t="shared" si="9"/>
        <v>28.821513684049606</v>
      </c>
      <c r="P39" s="100">
        <f t="shared" si="6"/>
        <v>0.37455347972651298</v>
      </c>
      <c r="Q39" s="106">
        <f t="shared" si="7"/>
        <v>1.3165547880496042</v>
      </c>
      <c r="R39"/>
      <c r="Y39" s="22">
        <f t="shared" si="2"/>
        <v>3392.2363999999998</v>
      </c>
      <c r="Z39">
        <f t="shared" si="14"/>
        <v>27.836080792440114</v>
      </c>
      <c r="AA39" s="22">
        <f t="shared" si="8"/>
        <v>0.1096417103020968</v>
      </c>
    </row>
    <row r="40" spans="1:27">
      <c r="A40" s="32"/>
      <c r="B40" s="24" t="s">
        <v>126</v>
      </c>
      <c r="C40">
        <v>2.456</v>
      </c>
      <c r="D40" s="27">
        <v>5932</v>
      </c>
      <c r="E40" s="27">
        <v>3580</v>
      </c>
      <c r="F40" s="22">
        <f t="shared" si="10"/>
        <v>86.423260544000001</v>
      </c>
      <c r="G40" s="22">
        <f t="shared" si="11"/>
        <v>31.4770784</v>
      </c>
      <c r="H40" s="22">
        <f t="shared" si="0"/>
        <v>1.4122601250481155</v>
      </c>
      <c r="I40" s="22">
        <f t="shared" si="15"/>
        <v>0.21356446279100372</v>
      </c>
      <c r="J40" s="22">
        <f t="shared" si="12"/>
        <v>76.398927477452617</v>
      </c>
      <c r="K40" s="22">
        <f t="shared" si="13"/>
        <v>76.398927477452602</v>
      </c>
      <c r="L40">
        <f t="shared" si="3"/>
        <v>76.398927477452602</v>
      </c>
      <c r="M40" s="22">
        <f t="shared" si="4"/>
        <v>96.431235200000003</v>
      </c>
      <c r="N40" s="100">
        <f t="shared" si="5"/>
        <v>29.752038975654401</v>
      </c>
      <c r="O40" s="101">
        <f t="shared" si="9"/>
        <v>30.544667874096305</v>
      </c>
      <c r="P40" s="100">
        <f t="shared" si="6"/>
        <v>2.9757610155465968</v>
      </c>
      <c r="Q40" s="106">
        <f t="shared" si="7"/>
        <v>0.93241052590369478</v>
      </c>
      <c r="R40"/>
      <c r="Y40" s="22">
        <f t="shared" si="2"/>
        <v>3485.8476000000001</v>
      </c>
      <c r="Z40">
        <f t="shared" si="14"/>
        <v>29.843183852485666</v>
      </c>
      <c r="AA40" s="22">
        <f t="shared" si="8"/>
        <v>2.6696113923970706</v>
      </c>
    </row>
    <row r="41" spans="1:27" ht="17.5">
      <c r="A41" s="38"/>
      <c r="B41" s="24" t="s">
        <v>140</v>
      </c>
      <c r="C41">
        <v>2.4769999999999999</v>
      </c>
      <c r="D41" s="27">
        <v>5725</v>
      </c>
      <c r="E41" s="27">
        <v>3427</v>
      </c>
      <c r="F41" s="22">
        <f t="shared" si="10"/>
        <v>81.185223124999993</v>
      </c>
      <c r="G41" s="22">
        <f t="shared" si="11"/>
        <v>29.090702932999999</v>
      </c>
      <c r="H41" s="22">
        <f t="shared" si="0"/>
        <v>1.4574284888192992</v>
      </c>
      <c r="I41" s="22">
        <f t="shared" si="15"/>
        <v>0.22078922288003561</v>
      </c>
      <c r="J41" s="22">
        <f t="shared" si="12"/>
        <v>71.027233253222064</v>
      </c>
      <c r="K41" s="22">
        <f t="shared" si="13"/>
        <v>71.027233253222079</v>
      </c>
      <c r="L41">
        <f t="shared" si="3"/>
        <v>71.027233253222079</v>
      </c>
      <c r="M41" s="22">
        <f t="shared" si="4"/>
        <v>89.272108798999994</v>
      </c>
      <c r="N41" s="100">
        <f t="shared" si="5"/>
        <v>28.3110548816875</v>
      </c>
      <c r="O41" s="101">
        <f t="shared" si="9"/>
        <v>29.032596903195255</v>
      </c>
      <c r="P41" s="100">
        <f t="shared" si="6"/>
        <v>0.60785108391537712</v>
      </c>
      <c r="Q41" s="106">
        <f t="shared" si="7"/>
        <v>5.8106029804743997E-2</v>
      </c>
      <c r="R41"/>
      <c r="Y41" s="22">
        <f t="shared" si="2"/>
        <v>3367.692</v>
      </c>
      <c r="Z41">
        <f t="shared" si="14"/>
        <v>28.092522480802128</v>
      </c>
      <c r="AA41" s="22">
        <f t="shared" si="8"/>
        <v>0.99636421514994755</v>
      </c>
    </row>
    <row r="42" spans="1:27" ht="17.5">
      <c r="A42" s="38"/>
      <c r="B42" s="24" t="s">
        <v>141</v>
      </c>
      <c r="C42">
        <v>2.468</v>
      </c>
      <c r="D42" s="27">
        <v>5741</v>
      </c>
      <c r="E42" s="27">
        <v>3416</v>
      </c>
      <c r="F42" s="22">
        <f t="shared" si="10"/>
        <v>81.343011907999994</v>
      </c>
      <c r="G42" s="22">
        <f t="shared" si="11"/>
        <v>28.799230208000001</v>
      </c>
      <c r="H42" s="22">
        <f t="shared" si="0"/>
        <v>1.4911522977237122</v>
      </c>
      <c r="I42" s="22">
        <f t="shared" si="15"/>
        <v>0.22595015740939717</v>
      </c>
      <c r="J42" s="22">
        <f t="shared" si="12"/>
        <v>70.61284161353413</v>
      </c>
      <c r="K42" s="22">
        <f t="shared" si="13"/>
        <v>70.612841613534144</v>
      </c>
      <c r="L42">
        <f t="shared" si="3"/>
        <v>70.612841613534144</v>
      </c>
      <c r="M42" s="22">
        <f t="shared" si="4"/>
        <v>88.397690624000006</v>
      </c>
      <c r="N42" s="100">
        <f t="shared" si="5"/>
        <v>28.3544625758908</v>
      </c>
      <c r="O42" s="101">
        <f t="shared" si="9"/>
        <v>29.079554468767583</v>
      </c>
      <c r="P42" s="100">
        <f t="shared" si="6"/>
        <v>0.19781824657202568</v>
      </c>
      <c r="Q42" s="106">
        <f t="shared" si="7"/>
        <v>0.28032426076758199</v>
      </c>
      <c r="R42"/>
      <c r="Y42" s="22">
        <f t="shared" si="2"/>
        <v>3376.8247999999999</v>
      </c>
      <c r="Z42">
        <f t="shared" si="14"/>
        <v>28.142470061380955</v>
      </c>
      <c r="AA42" s="22">
        <f t="shared" si="8"/>
        <v>0.43133389018707086</v>
      </c>
    </row>
    <row r="43" spans="1:27" ht="17.5">
      <c r="A43" s="38"/>
      <c r="B43" s="24" t="s">
        <v>142</v>
      </c>
      <c r="C43">
        <v>2.4609999999999999</v>
      </c>
      <c r="D43" s="27">
        <v>5708</v>
      </c>
      <c r="E43" s="27">
        <v>3394</v>
      </c>
      <c r="F43" s="22">
        <f t="shared" si="10"/>
        <v>80.182490704000003</v>
      </c>
      <c r="G43" s="22">
        <f t="shared" si="11"/>
        <v>28.348839796</v>
      </c>
      <c r="H43" s="22">
        <f t="shared" si="0"/>
        <v>1.495088968284586</v>
      </c>
      <c r="I43" s="22">
        <f t="shared" si="15"/>
        <v>0.22654019831328676</v>
      </c>
      <c r="J43" s="22">
        <f t="shared" si="12"/>
        <v>69.541983170674897</v>
      </c>
      <c r="K43" s="22">
        <f t="shared" si="13"/>
        <v>69.541983170674854</v>
      </c>
      <c r="L43">
        <f t="shared" si="3"/>
        <v>69.541983170674854</v>
      </c>
      <c r="M43" s="22">
        <f t="shared" si="4"/>
        <v>87.046519388000007</v>
      </c>
      <c r="N43" s="100">
        <f t="shared" si="5"/>
        <v>28.035203192670402</v>
      </c>
      <c r="O43" s="101">
        <f t="shared" si="9"/>
        <v>28.732036246711786</v>
      </c>
      <c r="P43" s="100">
        <f t="shared" si="6"/>
        <v>9.8367918948127936E-2</v>
      </c>
      <c r="Q43" s="106">
        <f t="shared" si="7"/>
        <v>0.38319645071178599</v>
      </c>
      <c r="R43"/>
      <c r="Y43" s="22">
        <f t="shared" si="2"/>
        <v>3357.9883999999997</v>
      </c>
      <c r="Z43">
        <f t="shared" si="14"/>
        <v>27.750447878649545</v>
      </c>
      <c r="AA43" s="22">
        <f t="shared" si="8"/>
        <v>0.35807288675035331</v>
      </c>
    </row>
    <row r="44" spans="1:27" ht="17.5">
      <c r="A44" s="38"/>
      <c r="B44" s="24" t="s">
        <v>143</v>
      </c>
      <c r="C44">
        <v>2.4569999999999999</v>
      </c>
      <c r="D44" s="27">
        <v>5664</v>
      </c>
      <c r="E44" s="27">
        <v>3351</v>
      </c>
      <c r="F44" s="22">
        <f t="shared" si="10"/>
        <v>78.822761471999982</v>
      </c>
      <c r="G44" s="22">
        <f t="shared" si="11"/>
        <v>27.590146856999997</v>
      </c>
      <c r="H44" s="22">
        <f t="shared" si="0"/>
        <v>1.5235837349424954</v>
      </c>
      <c r="I44" s="22">
        <f t="shared" si="15"/>
        <v>0.23073649408357455</v>
      </c>
      <c r="J44" s="22">
        <f t="shared" si="12"/>
        <v>67.912401228070237</v>
      </c>
      <c r="K44" s="22">
        <f t="shared" si="13"/>
        <v>67.912401228070266</v>
      </c>
      <c r="L44">
        <f>K44</f>
        <v>67.912401228070266</v>
      </c>
      <c r="M44" s="22">
        <f t="shared" si="4"/>
        <v>84.770440570999995</v>
      </c>
      <c r="N44" s="100">
        <f t="shared" si="5"/>
        <v>27.661141680947196</v>
      </c>
      <c r="O44" s="101">
        <f t="shared" si="9"/>
        <v>28.318408484088323</v>
      </c>
      <c r="P44" s="100">
        <f t="shared" si="6"/>
        <v>5.0402650272938004E-3</v>
      </c>
      <c r="Q44" s="106">
        <f t="shared" si="7"/>
        <v>0.72826162708832598</v>
      </c>
      <c r="R44"/>
      <c r="Y44" s="22">
        <f t="shared" si="2"/>
        <v>3332.8732</v>
      </c>
      <c r="Z44">
        <f t="shared" si="14"/>
        <v>27.292463536202632</v>
      </c>
      <c r="AA44" s="22">
        <f t="shared" si="8"/>
        <v>8.8615359480946815E-2</v>
      </c>
    </row>
    <row r="45" spans="1:27" ht="17.5">
      <c r="A45" s="38"/>
      <c r="B45" s="24" t="s">
        <v>144</v>
      </c>
      <c r="C45">
        <v>2.452</v>
      </c>
      <c r="D45" s="27">
        <v>5681</v>
      </c>
      <c r="E45" s="27">
        <v>3373</v>
      </c>
      <c r="F45" s="22">
        <f t="shared" si="10"/>
        <v>79.135261972000009</v>
      </c>
      <c r="G45" s="22">
        <f t="shared" si="11"/>
        <v>27.896720307999999</v>
      </c>
      <c r="H45" s="22">
        <f t="shared" si="0"/>
        <v>1.5033894462009412</v>
      </c>
      <c r="I45" s="22">
        <f t="shared" si="15"/>
        <v>0.2277760119429772</v>
      </c>
      <c r="J45" s="22">
        <f t="shared" si="12"/>
        <v>68.501848012089809</v>
      </c>
      <c r="K45" s="22">
        <f t="shared" si="13"/>
        <v>68.501848012089809</v>
      </c>
      <c r="L45">
        <f t="shared" si="3"/>
        <v>68.501848012089809</v>
      </c>
      <c r="M45" s="22">
        <f t="shared" si="4"/>
        <v>85.690160923999997</v>
      </c>
      <c r="N45" s="100">
        <f t="shared" si="5"/>
        <v>27.747110568497202</v>
      </c>
      <c r="O45" s="101">
        <f t="shared" si="9"/>
        <v>28.414098741375881</v>
      </c>
      <c r="P45" s="100">
        <f t="shared" si="6"/>
        <v>2.2383074154094674E-2</v>
      </c>
      <c r="Q45" s="106">
        <f t="shared" si="7"/>
        <v>0.51737843337588174</v>
      </c>
      <c r="R45"/>
      <c r="Y45" s="22">
        <f t="shared" si="2"/>
        <v>3342.5767999999998</v>
      </c>
      <c r="Z45">
        <f t="shared" si="14"/>
        <v>27.395753815878482</v>
      </c>
      <c r="AA45" s="22">
        <f t="shared" si="8"/>
        <v>0.25096742622853785</v>
      </c>
    </row>
    <row r="46" spans="1:27" ht="17.5">
      <c r="A46" s="38"/>
      <c r="B46" s="24" t="s">
        <v>145</v>
      </c>
      <c r="C46">
        <v>2.4119999999999999</v>
      </c>
      <c r="D46" s="27">
        <v>5654</v>
      </c>
      <c r="E46" s="27">
        <v>3329</v>
      </c>
      <c r="F46" s="22">
        <f t="shared" si="10"/>
        <v>77.106130992000004</v>
      </c>
      <c r="G46" s="22">
        <f t="shared" si="11"/>
        <v>26.730365291999998</v>
      </c>
      <c r="H46" s="22">
        <f t="shared" ref="H46:H81" si="16">((D46/E46)^2)-(4/3)</f>
        <v>1.5512561644045337</v>
      </c>
      <c r="I46" s="22">
        <f t="shared" si="15"/>
        <v>0.23469023328413641</v>
      </c>
      <c r="J46" s="22">
        <f t="shared" si="12"/>
        <v>66.007441916299342</v>
      </c>
      <c r="K46" s="22">
        <f t="shared" si="13"/>
        <v>66.007441916299328</v>
      </c>
      <c r="L46">
        <f t="shared" si="3"/>
        <v>66.007441916299328</v>
      </c>
      <c r="M46" s="22">
        <f t="shared" si="4"/>
        <v>82.191095875999991</v>
      </c>
      <c r="N46" s="100">
        <f t="shared" si="5"/>
        <v>27.188896635899201</v>
      </c>
      <c r="O46" s="101">
        <f t="shared" si="9"/>
        <v>27.785900772508711</v>
      </c>
      <c r="P46" s="100">
        <f t="shared" si="6"/>
        <v>0.21025099333800928</v>
      </c>
      <c r="Q46" s="106">
        <f t="shared" si="7"/>
        <v>1.0555354805087127</v>
      </c>
      <c r="R46"/>
      <c r="Y46" s="22">
        <f t="shared" ref="Y46:Y81" si="17">0.5708*D46+99.862</f>
        <v>3327.1651999999999</v>
      </c>
      <c r="Z46">
        <f t="shared" si="14"/>
        <v>26.700908182635587</v>
      </c>
      <c r="AA46" s="22">
        <f t="shared" si="8"/>
        <v>8.6772129210690519E-4</v>
      </c>
    </row>
    <row r="47" spans="1:27">
      <c r="A47" s="32"/>
      <c r="B47" s="24" t="s">
        <v>127</v>
      </c>
      <c r="C47">
        <v>2.677</v>
      </c>
      <c r="D47" s="27">
        <v>6232</v>
      </c>
      <c r="E47" s="27">
        <v>3558</v>
      </c>
      <c r="F47" s="22">
        <f t="shared" si="10"/>
        <v>103.96885484800001</v>
      </c>
      <c r="G47" s="22">
        <f t="shared" si="11"/>
        <v>33.889117428000006</v>
      </c>
      <c r="H47" s="22">
        <f t="shared" si="16"/>
        <v>1.7345793990914549</v>
      </c>
      <c r="I47" s="22">
        <f t="shared" si="15"/>
        <v>0.25821029961273501</v>
      </c>
      <c r="J47" s="22">
        <f t="shared" si="12"/>
        <v>85.279273185390096</v>
      </c>
      <c r="K47" s="22">
        <f t="shared" si="13"/>
        <v>85.279273185390096</v>
      </c>
      <c r="L47">
        <f t="shared" si="3"/>
        <v>85.279273185390096</v>
      </c>
      <c r="M47" s="22">
        <f t="shared" si="4"/>
        <v>103.66735228400002</v>
      </c>
      <c r="N47" s="100">
        <f t="shared" si="5"/>
        <v>34.578831968684803</v>
      </c>
      <c r="O47" s="101">
        <f t="shared" si="9"/>
        <v>35.014705974430854</v>
      </c>
      <c r="P47" s="100">
        <f t="shared" si="6"/>
        <v>0.47570614763204033</v>
      </c>
      <c r="Q47" s="106">
        <f t="shared" si="7"/>
        <v>1.1255885464308477</v>
      </c>
      <c r="R47"/>
      <c r="Y47" s="22">
        <f t="shared" si="17"/>
        <v>3657.0875999999998</v>
      </c>
      <c r="Z47">
        <f t="shared" si="14"/>
        <v>35.802973564575446</v>
      </c>
      <c r="AA47" s="22">
        <f t="shared" si="8"/>
        <v>3.6628453115074686</v>
      </c>
    </row>
    <row r="48" spans="1:27" ht="17.5">
      <c r="A48" s="38"/>
      <c r="B48" s="24" t="s">
        <v>146</v>
      </c>
      <c r="C48">
        <v>2.6850000000000001</v>
      </c>
      <c r="D48" s="27">
        <v>6260</v>
      </c>
      <c r="E48" s="27">
        <v>3580</v>
      </c>
      <c r="F48" s="22">
        <f t="shared" si="10"/>
        <v>105.218706</v>
      </c>
      <c r="G48" s="22">
        <f t="shared" si="11"/>
        <v>34.412033999999998</v>
      </c>
      <c r="H48" s="22">
        <f t="shared" si="16"/>
        <v>1.7242803491360028</v>
      </c>
      <c r="I48" s="22">
        <f t="shared" si="15"/>
        <v>0.25700006067224851</v>
      </c>
      <c r="J48" s="22">
        <f t="shared" si="12"/>
        <v>86.511857651710955</v>
      </c>
      <c r="K48" s="22">
        <f t="shared" si="13"/>
        <v>86.511857651710955</v>
      </c>
      <c r="L48">
        <f t="shared" si="3"/>
        <v>86.511857651710955</v>
      </c>
      <c r="M48" s="22">
        <f t="shared" si="4"/>
        <v>105.23610199999999</v>
      </c>
      <c r="N48" s="100">
        <f t="shared" si="5"/>
        <v>34.922666020600005</v>
      </c>
      <c r="O48" s="101">
        <f t="shared" si="9"/>
        <v>35.303697918502237</v>
      </c>
      <c r="P48" s="100">
        <f t="shared" si="6"/>
        <v>0.26074506046204532</v>
      </c>
      <c r="Q48" s="106">
        <f t="shared" si="7"/>
        <v>0.89166391850223903</v>
      </c>
      <c r="R48"/>
      <c r="Y48" s="22">
        <f t="shared" si="17"/>
        <v>3673.0699999999997</v>
      </c>
      <c r="Z48">
        <f t="shared" si="14"/>
        <v>36.224525058856493</v>
      </c>
      <c r="AA48" s="22">
        <f t="shared" si="8"/>
        <v>3.2851238384347363</v>
      </c>
    </row>
    <row r="49" spans="1:27" ht="17.5">
      <c r="A49" s="38"/>
      <c r="B49" s="24" t="s">
        <v>147</v>
      </c>
      <c r="C49">
        <v>2.677</v>
      </c>
      <c r="D49" s="27">
        <v>6282</v>
      </c>
      <c r="E49" s="27">
        <v>3591</v>
      </c>
      <c r="F49" s="22">
        <f t="shared" si="10"/>
        <v>105.643853748</v>
      </c>
      <c r="G49" s="22">
        <f t="shared" si="11"/>
        <v>34.520667237000005</v>
      </c>
      <c r="H49" s="22">
        <f t="shared" si="16"/>
        <v>1.7269740767960002</v>
      </c>
      <c r="I49" s="22">
        <f t="shared" si="15"/>
        <v>0.25731776843504484</v>
      </c>
      <c r="J49" s="22">
        <f t="shared" si="12"/>
        <v>86.806896590627204</v>
      </c>
      <c r="K49" s="22">
        <f t="shared" si="13"/>
        <v>86.806896590627218</v>
      </c>
      <c r="L49">
        <f t="shared" si="3"/>
        <v>86.806896590627218</v>
      </c>
      <c r="M49" s="22">
        <f t="shared" si="4"/>
        <v>105.56200171100002</v>
      </c>
      <c r="N49" s="100">
        <f t="shared" si="5"/>
        <v>35.039624166074802</v>
      </c>
      <c r="O49" s="101">
        <f t="shared" si="9"/>
        <v>35.401219138792882</v>
      </c>
      <c r="P49" s="100">
        <f t="shared" si="6"/>
        <v>0.26931629423474374</v>
      </c>
      <c r="Q49" s="106">
        <f t="shared" si="7"/>
        <v>0.88055190179287735</v>
      </c>
      <c r="R49"/>
      <c r="Y49" s="22">
        <f t="shared" si="17"/>
        <v>3685.6275999999998</v>
      </c>
      <c r="Z49">
        <f t="shared" si="14"/>
        <v>36.36396860734547</v>
      </c>
      <c r="AA49" s="22">
        <f t="shared" si="8"/>
        <v>3.3977599419174687</v>
      </c>
    </row>
    <row r="50" spans="1:27" ht="17.5">
      <c r="A50" s="38"/>
      <c r="B50" s="24" t="s">
        <v>148</v>
      </c>
      <c r="C50">
        <v>2.661</v>
      </c>
      <c r="D50" s="27">
        <v>6243</v>
      </c>
      <c r="E50" s="27">
        <v>3591</v>
      </c>
      <c r="F50" s="22">
        <f t="shared" si="10"/>
        <v>103.712605389</v>
      </c>
      <c r="G50" s="22">
        <f t="shared" si="11"/>
        <v>34.314342741000004</v>
      </c>
      <c r="H50" s="22">
        <f t="shared" si="16"/>
        <v>1.6890939406438681</v>
      </c>
      <c r="I50" s="22">
        <f t="shared" si="15"/>
        <v>0.25277232144089623</v>
      </c>
      <c r="J50" s="22">
        <f t="shared" si="12"/>
        <v>85.976117628722278</v>
      </c>
      <c r="K50" s="22">
        <f t="shared" si="13"/>
        <v>85.976117628722292</v>
      </c>
      <c r="L50">
        <f t="shared" si="3"/>
        <v>85.976117628722292</v>
      </c>
      <c r="M50" s="22">
        <f t="shared" si="4"/>
        <v>104.94302822300001</v>
      </c>
      <c r="N50" s="100">
        <f t="shared" si="5"/>
        <v>34.508337742513902</v>
      </c>
      <c r="O50" s="101">
        <f t="shared" si="9"/>
        <v>34.955026693918867</v>
      </c>
      <c r="P50" s="100">
        <f t="shared" si="6"/>
        <v>3.7634060612377132E-2</v>
      </c>
      <c r="Q50" s="106">
        <f t="shared" si="7"/>
        <v>0.64068395291886304</v>
      </c>
      <c r="R50"/>
      <c r="Y50" s="22">
        <f t="shared" si="17"/>
        <v>3663.3663999999999</v>
      </c>
      <c r="Z50">
        <f t="shared" si="14"/>
        <v>35.711294245906885</v>
      </c>
      <c r="AA50" s="22">
        <f t="shared" si="8"/>
        <v>1.9514735070615978</v>
      </c>
    </row>
    <row r="51" spans="1:27">
      <c r="A51" s="32"/>
      <c r="B51" s="24" t="s">
        <v>128</v>
      </c>
      <c r="C51">
        <v>2.8079999999999998</v>
      </c>
      <c r="D51" s="27">
        <v>6297</v>
      </c>
      <c r="E51" s="27">
        <v>3525</v>
      </c>
      <c r="F51" s="22">
        <f t="shared" si="10"/>
        <v>111.343402872</v>
      </c>
      <c r="G51" s="22">
        <f t="shared" si="11"/>
        <v>34.891154999999998</v>
      </c>
      <c r="H51" s="22">
        <f t="shared" si="16"/>
        <v>1.8578308133393693</v>
      </c>
      <c r="I51" s="22">
        <f t="shared" ref="I51:I72" si="18">1/2-(3/((6*H51)+2))</f>
        <v>0.2718107971238698</v>
      </c>
      <c r="J51" s="22">
        <f t="shared" si="12"/>
        <v>88.74989530624498</v>
      </c>
      <c r="K51" s="22">
        <f t="shared" si="13"/>
        <v>88.749895306244994</v>
      </c>
      <c r="L51">
        <f t="shared" si="3"/>
        <v>88.749895306244994</v>
      </c>
      <c r="M51" s="22">
        <f t="shared" si="4"/>
        <v>106.67346499999999</v>
      </c>
      <c r="N51" s="100">
        <f t="shared" si="5"/>
        <v>36.607570130087197</v>
      </c>
      <c r="O51" s="101">
        <f t="shared" si="9"/>
        <v>36.67198140695514</v>
      </c>
      <c r="P51" s="100">
        <f t="shared" si="6"/>
        <v>2.9460808987922573</v>
      </c>
      <c r="Q51" s="106">
        <f t="shared" si="7"/>
        <v>1.7808264069551427</v>
      </c>
      <c r="R51"/>
      <c r="Y51" s="22">
        <f t="shared" si="17"/>
        <v>3694.1895999999997</v>
      </c>
      <c r="Z51">
        <f t="shared" si="14"/>
        <v>38.320879336500823</v>
      </c>
      <c r="AA51" s="22">
        <f t="shared" si="8"/>
        <v>11.763009024386029</v>
      </c>
    </row>
    <row r="52" spans="1:27">
      <c r="A52" s="38"/>
      <c r="B52" s="24" t="s">
        <v>129</v>
      </c>
      <c r="C52">
        <v>2.806</v>
      </c>
      <c r="D52" s="27">
        <v>6254</v>
      </c>
      <c r="E52" s="27">
        <v>3525</v>
      </c>
      <c r="F52" s="22">
        <f t="shared" ref="F52:F87" si="19">(C52*D52^2)/1000000</f>
        <v>109.749719896</v>
      </c>
      <c r="G52" s="22">
        <f t="shared" ref="G52:G87" si="20">(C52*E52^2)/1000000</f>
        <v>34.86630375</v>
      </c>
      <c r="H52" s="22">
        <f t="shared" si="16"/>
        <v>1.8143969418037325</v>
      </c>
      <c r="I52" s="22">
        <f t="shared" si="18"/>
        <v>0.26719609264338817</v>
      </c>
      <c r="J52" s="22">
        <f t="shared" ref="J52:J87" si="21">(C52*((3*D52^2-4*E52^2)/((D52/E52)^2-1)))/1000000</f>
        <v>88.364887753835006</v>
      </c>
      <c r="K52" s="22">
        <f t="shared" ref="K52:K72" si="22">((2*C52*(E52^2))*(1+I52))/1000000</f>
        <v>88.364887753835035</v>
      </c>
      <c r="L52">
        <f t="shared" si="3"/>
        <v>88.364887753835035</v>
      </c>
      <c r="M52" s="22">
        <f t="shared" si="4"/>
        <v>106.59891125</v>
      </c>
      <c r="N52" s="100">
        <f t="shared" si="5"/>
        <v>36.169147943389603</v>
      </c>
      <c r="O52" s="101">
        <f t="shared" si="9"/>
        <v>36.323329253991929</v>
      </c>
      <c r="P52" s="100">
        <f t="shared" si="6"/>
        <v>1.6974029922490061</v>
      </c>
      <c r="Q52" s="106">
        <f t="shared" si="7"/>
        <v>1.4570255039919289</v>
      </c>
      <c r="R52"/>
      <c r="Y52" s="22">
        <f t="shared" si="17"/>
        <v>3669.6451999999999</v>
      </c>
      <c r="Z52">
        <f t="shared" ref="Z52:Z87" si="23">(C52*Y52^2)/1000000</f>
        <v>37.786426278235808</v>
      </c>
      <c r="AA52" s="22">
        <f t="shared" si="8"/>
        <v>8.5271155799102871</v>
      </c>
    </row>
    <row r="53" spans="1:27">
      <c r="A53" s="38"/>
      <c r="B53" s="24" t="s">
        <v>130</v>
      </c>
      <c r="C53">
        <v>2.8010000000000002</v>
      </c>
      <c r="D53" s="27">
        <v>6308</v>
      </c>
      <c r="E53" s="27">
        <v>3558</v>
      </c>
      <c r="F53" s="22">
        <f t="shared" si="19"/>
        <v>111.45421006400001</v>
      </c>
      <c r="G53" s="22">
        <f t="shared" si="20"/>
        <v>35.458878564000003</v>
      </c>
      <c r="H53" s="22">
        <f t="shared" si="16"/>
        <v>1.8098628019543479</v>
      </c>
      <c r="I53" s="22">
        <f t="shared" si="18"/>
        <v>0.2667035733372648</v>
      </c>
      <c r="J53" s="22">
        <f t="shared" si="21"/>
        <v>89.831776367101881</v>
      </c>
      <c r="K53" s="22">
        <f t="shared" si="22"/>
        <v>89.831776367101895</v>
      </c>
      <c r="L53">
        <f t="shared" si="3"/>
        <v>89.831776367101895</v>
      </c>
      <c r="M53" s="22">
        <f t="shared" si="4"/>
        <v>108.37663569200001</v>
      </c>
      <c r="N53" s="100">
        <f t="shared" si="5"/>
        <v>36.638053188606406</v>
      </c>
      <c r="O53" s="101">
        <f t="shared" si="9"/>
        <v>36.696036973053566</v>
      </c>
      <c r="P53" s="100">
        <f t="shared" si="6"/>
        <v>1.3904527953156529</v>
      </c>
      <c r="Q53" s="106">
        <f t="shared" si="7"/>
        <v>1.2371584090535634</v>
      </c>
      <c r="R53"/>
      <c r="Y53" s="22">
        <f t="shared" si="17"/>
        <v>3700.4683999999997</v>
      </c>
      <c r="Z53">
        <f t="shared" si="23"/>
        <v>38.355399328695363</v>
      </c>
      <c r="AA53" s="22">
        <f t="shared" si="8"/>
        <v>8.389832540311394</v>
      </c>
    </row>
    <row r="54" spans="1:27">
      <c r="A54" s="38"/>
      <c r="B54" s="24" t="s">
        <v>131</v>
      </c>
      <c r="C54">
        <v>2.7909999999999999</v>
      </c>
      <c r="D54" s="27">
        <v>6265</v>
      </c>
      <c r="E54" s="27">
        <v>3514</v>
      </c>
      <c r="F54" s="22">
        <f t="shared" si="19"/>
        <v>109.54737797499999</v>
      </c>
      <c r="G54" s="22">
        <f t="shared" si="20"/>
        <v>34.463815036</v>
      </c>
      <c r="H54" s="22">
        <f t="shared" si="16"/>
        <v>1.8452868472987201</v>
      </c>
      <c r="I54" s="22">
        <f t="shared" si="18"/>
        <v>0.27049693909704731</v>
      </c>
      <c r="J54" s="22">
        <f t="shared" si="21"/>
        <v>87.572343025689605</v>
      </c>
      <c r="K54" s="22">
        <f t="shared" si="22"/>
        <v>87.572343025689591</v>
      </c>
      <c r="L54">
        <f t="shared" si="3"/>
        <v>87.572343025689591</v>
      </c>
      <c r="M54" s="22">
        <f t="shared" si="4"/>
        <v>105.391445108</v>
      </c>
      <c r="N54" s="100">
        <f t="shared" si="5"/>
        <v>36.113483680922499</v>
      </c>
      <c r="O54" s="101">
        <f t="shared" si="9"/>
        <v>36.278700862156001</v>
      </c>
      <c r="P54" s="100">
        <f t="shared" si="6"/>
        <v>2.721406638040436</v>
      </c>
      <c r="Q54" s="106">
        <f t="shared" si="7"/>
        <v>1.8148858261560008</v>
      </c>
      <c r="R54"/>
      <c r="Y54" s="22">
        <f t="shared" si="17"/>
        <v>3675.924</v>
      </c>
      <c r="Z54">
        <f t="shared" si="23"/>
        <v>37.713156555288812</v>
      </c>
      <c r="AA54" s="22">
        <f t="shared" si="8"/>
        <v>10.558220308974127</v>
      </c>
    </row>
    <row r="55" spans="1:27">
      <c r="A55" s="32"/>
      <c r="B55" s="24" t="s">
        <v>132</v>
      </c>
      <c r="C55">
        <v>2.3765999999999998</v>
      </c>
      <c r="D55" s="27">
        <v>5790</v>
      </c>
      <c r="E55" s="27">
        <v>3560</v>
      </c>
      <c r="F55" s="22">
        <f t="shared" si="19"/>
        <v>79.673376059999981</v>
      </c>
      <c r="G55" s="22">
        <f t="shared" si="20"/>
        <v>30.120077759999997</v>
      </c>
      <c r="H55" s="22">
        <f t="shared" si="16"/>
        <v>1.3118582460127086</v>
      </c>
      <c r="I55" s="22">
        <f t="shared" si="18"/>
        <v>0.19608402676194808</v>
      </c>
      <c r="J55" s="22">
        <f t="shared" si="21"/>
        <v>72.052287787127597</v>
      </c>
      <c r="K55" s="22">
        <f t="shared" si="22"/>
        <v>72.052287787127597</v>
      </c>
      <c r="L55">
        <f t="shared" si="3"/>
        <v>72.052287787127597</v>
      </c>
      <c r="M55" s="22">
        <f t="shared" si="4"/>
        <v>92.360233279999989</v>
      </c>
      <c r="N55" s="100">
        <f t="shared" si="5"/>
        <v>27.895145754105997</v>
      </c>
      <c r="O55" s="101">
        <f t="shared" si="9"/>
        <v>28.577991601006346</v>
      </c>
      <c r="P55" s="100">
        <f t="shared" si="6"/>
        <v>4.9503224308515019</v>
      </c>
      <c r="Q55" s="106">
        <f t="shared" si="7"/>
        <v>1.5420861589936514</v>
      </c>
      <c r="R55"/>
      <c r="Y55" s="22">
        <f t="shared" si="17"/>
        <v>3404.7939999999999</v>
      </c>
      <c r="Z55">
        <f t="shared" si="23"/>
        <v>27.551025878777391</v>
      </c>
      <c r="AA55" s="22">
        <f t="shared" si="8"/>
        <v>6.6000275684134104</v>
      </c>
    </row>
    <row r="56" spans="1:27">
      <c r="A56" s="32"/>
      <c r="B56" s="24" t="s">
        <v>133</v>
      </c>
      <c r="C56">
        <v>2.3645</v>
      </c>
      <c r="D56" s="27">
        <v>5721</v>
      </c>
      <c r="E56" s="27">
        <v>3540</v>
      </c>
      <c r="F56" s="22">
        <f t="shared" si="19"/>
        <v>77.389709044500009</v>
      </c>
      <c r="G56" s="22">
        <f t="shared" si="20"/>
        <v>29.630968199999998</v>
      </c>
      <c r="H56" s="22">
        <f t="shared" si="16"/>
        <v>1.2784513549746241</v>
      </c>
      <c r="I56" s="22">
        <f t="shared" si="18"/>
        <v>0.18978486790013049</v>
      </c>
      <c r="J56" s="22">
        <f t="shared" si="21"/>
        <v>70.508955171179934</v>
      </c>
      <c r="K56" s="22">
        <f t="shared" si="22"/>
        <v>70.50895517117992</v>
      </c>
      <c r="L56">
        <f t="shared" si="3"/>
        <v>70.50895517117992</v>
      </c>
      <c r="M56" s="22">
        <f t="shared" si="4"/>
        <v>90.892904599999994</v>
      </c>
      <c r="N56" s="100">
        <f t="shared" si="5"/>
        <v>27.266908958141954</v>
      </c>
      <c r="O56" s="101">
        <f t="shared" si="9"/>
        <v>27.874680629905967</v>
      </c>
      <c r="P56" s="100">
        <f t="shared" si="6"/>
        <v>5.5887760990144297</v>
      </c>
      <c r="Q56" s="106">
        <f t="shared" si="7"/>
        <v>1.756287570094031</v>
      </c>
      <c r="R56"/>
      <c r="Y56" s="22">
        <f t="shared" si="17"/>
        <v>3365.4088000000002</v>
      </c>
      <c r="Z56">
        <f t="shared" si="23"/>
        <v>26.780271176797189</v>
      </c>
      <c r="AA56" s="22">
        <f t="shared" si="8"/>
        <v>8.126473518097356</v>
      </c>
    </row>
    <row r="57" spans="1:27" ht="16" thickBot="1">
      <c r="A57" s="32"/>
      <c r="B57" s="25" t="s">
        <v>134</v>
      </c>
      <c r="C57">
        <v>2.3666999999999998</v>
      </c>
      <c r="D57" s="28">
        <v>6030</v>
      </c>
      <c r="E57" s="28">
        <v>3690</v>
      </c>
      <c r="F57" s="22">
        <f t="shared" si="19"/>
        <v>86.055342029999991</v>
      </c>
      <c r="G57" s="22">
        <f t="shared" si="20"/>
        <v>32.225223870000001</v>
      </c>
      <c r="H57" s="22">
        <f t="shared" si="16"/>
        <v>1.3371009319849294</v>
      </c>
      <c r="I57" s="22">
        <f t="shared" si="18"/>
        <v>0.20067663817663811</v>
      </c>
      <c r="J57" s="22">
        <f t="shared" si="21"/>
        <v>77.384146921442309</v>
      </c>
      <c r="K57" s="22">
        <f t="shared" si="22"/>
        <v>77.384146921442294</v>
      </c>
      <c r="L57">
        <f t="shared" si="3"/>
        <v>77.384146921442294</v>
      </c>
      <c r="M57" s="22">
        <f t="shared" si="4"/>
        <v>98.675671609999995</v>
      </c>
      <c r="N57" s="100">
        <f t="shared" si="5"/>
        <v>29.650824592452999</v>
      </c>
      <c r="O57" s="101">
        <f t="shared" si="9"/>
        <v>30.441492700997699</v>
      </c>
      <c r="P57" s="100">
        <f t="shared" si="6"/>
        <v>6.6275316402345252</v>
      </c>
      <c r="Q57" s="106">
        <f t="shared" si="7"/>
        <v>1.7837311690023014</v>
      </c>
      <c r="R57"/>
      <c r="Y57" s="22">
        <f t="shared" si="17"/>
        <v>3541.7860000000001</v>
      </c>
      <c r="Z57">
        <f t="shared" si="23"/>
        <v>29.688471906786187</v>
      </c>
      <c r="AA57" s="22">
        <f t="shared" si="8"/>
        <v>6.4351105228691363</v>
      </c>
    </row>
    <row r="58" spans="1:27">
      <c r="A58" s="20"/>
      <c r="B58" s="24" t="s">
        <v>243</v>
      </c>
      <c r="C58">
        <v>2.75</v>
      </c>
      <c r="D58" s="27">
        <v>7220</v>
      </c>
      <c r="E58" s="27">
        <v>4000</v>
      </c>
      <c r="F58" s="22">
        <f t="shared" si="19"/>
        <v>143.35310000000001</v>
      </c>
      <c r="G58" s="22">
        <f t="shared" si="20"/>
        <v>44</v>
      </c>
      <c r="H58" s="22">
        <f t="shared" si="16"/>
        <v>1.9246916666666667</v>
      </c>
      <c r="I58" s="22">
        <f t="shared" si="18"/>
        <v>0.27856755350361484</v>
      </c>
      <c r="J58" s="22">
        <f t="shared" si="21"/>
        <v>112.51394470831812</v>
      </c>
      <c r="K58" s="22">
        <f t="shared" si="22"/>
        <v>112.51394470831809</v>
      </c>
      <c r="L58">
        <f t="shared" si="3"/>
        <v>112.51394470831809</v>
      </c>
      <c r="M58" s="22">
        <f t="shared" si="4"/>
        <v>134</v>
      </c>
      <c r="N58" s="100">
        <f t="shared" si="5"/>
        <v>45.413437810000005</v>
      </c>
      <c r="O58" s="101">
        <f t="shared" si="9"/>
        <v>42.783076810128577</v>
      </c>
      <c r="P58" s="100">
        <f t="shared" si="6"/>
        <v>1.9978064427376099</v>
      </c>
      <c r="Q58" s="106">
        <f t="shared" si="7"/>
        <v>1.216923189871423</v>
      </c>
      <c r="R58"/>
      <c r="Y58" s="22">
        <f t="shared" si="17"/>
        <v>4221.0379999999996</v>
      </c>
      <c r="Z58">
        <f t="shared" si="23"/>
        <v>48.997194942970992</v>
      </c>
      <c r="AA58" s="22">
        <f t="shared" si="8"/>
        <v>24.971957298054861</v>
      </c>
    </row>
    <row r="59" spans="1:27" ht="17.5">
      <c r="A59" s="20"/>
      <c r="B59" s="39" t="s">
        <v>245</v>
      </c>
      <c r="C59">
        <v>2.84</v>
      </c>
      <c r="D59" s="27">
        <v>6910</v>
      </c>
      <c r="E59" s="27">
        <v>3800</v>
      </c>
      <c r="F59" s="22">
        <f t="shared" si="19"/>
        <v>135.60460399999999</v>
      </c>
      <c r="G59" s="22">
        <f t="shared" si="20"/>
        <v>41.009599999999999</v>
      </c>
      <c r="H59" s="22">
        <f t="shared" si="16"/>
        <v>1.9733217913204062</v>
      </c>
      <c r="I59" s="22">
        <f t="shared" si="18"/>
        <v>0.28323590958355471</v>
      </c>
      <c r="J59" s="22">
        <f t="shared" si="21"/>
        <v>105.2499827153155</v>
      </c>
      <c r="K59" s="22">
        <f t="shared" si="22"/>
        <v>105.24998271531548</v>
      </c>
      <c r="L59">
        <f t="shared" si="3"/>
        <v>105.24998271531548</v>
      </c>
      <c r="M59" s="22">
        <f t="shared" si="4"/>
        <v>125.02879999999999</v>
      </c>
      <c r="N59" s="100">
        <f t="shared" si="5"/>
        <v>43.281826560400006</v>
      </c>
      <c r="O59" s="101">
        <f t="shared" si="9"/>
        <v>41.439232637877254</v>
      </c>
      <c r="P59" s="100">
        <f t="shared" si="6"/>
        <v>5.1630135417872474</v>
      </c>
      <c r="Q59" s="106">
        <f t="shared" si="7"/>
        <v>0.42963263787725481</v>
      </c>
      <c r="R59"/>
      <c r="Y59" s="22">
        <f t="shared" si="17"/>
        <v>4044.0899999999997</v>
      </c>
      <c r="Z59">
        <f t="shared" si="23"/>
        <v>46.447245555803995</v>
      </c>
      <c r="AA59" s="22">
        <f t="shared" si="8"/>
        <v>29.567989190554954</v>
      </c>
    </row>
    <row r="60" spans="1:27" ht="17.5">
      <c r="A60" s="20"/>
      <c r="B60" s="39" t="s">
        <v>244</v>
      </c>
      <c r="C60">
        <v>2.81</v>
      </c>
      <c r="D60" s="27">
        <v>6990</v>
      </c>
      <c r="E60" s="27">
        <v>3820</v>
      </c>
      <c r="F60" s="22">
        <f t="shared" si="19"/>
        <v>137.29688100000001</v>
      </c>
      <c r="G60" s="22">
        <f t="shared" si="20"/>
        <v>41.004643999999999</v>
      </c>
      <c r="H60" s="22">
        <f t="shared" si="16"/>
        <v>2.0149918222270955</v>
      </c>
      <c r="I60" s="22">
        <f t="shared" si="18"/>
        <v>0.28708229615643888</v>
      </c>
      <c r="J60" s="22">
        <f t="shared" si="21"/>
        <v>105.55270270519469</v>
      </c>
      <c r="K60" s="22">
        <f t="shared" si="22"/>
        <v>105.55270270519468</v>
      </c>
      <c r="L60">
        <f t="shared" si="3"/>
        <v>105.55270270519468</v>
      </c>
      <c r="M60" s="22">
        <f t="shared" si="4"/>
        <v>125.013932</v>
      </c>
      <c r="N60" s="100">
        <f t="shared" si="5"/>
        <v>43.747371963100008</v>
      </c>
      <c r="O60" s="101">
        <f t="shared" si="9"/>
        <v>41.739169089724243</v>
      </c>
      <c r="P60" s="100">
        <f t="shared" si="6"/>
        <v>7.5225566795707239</v>
      </c>
      <c r="Q60" s="106">
        <f t="shared" si="7"/>
        <v>0.73452508972424368</v>
      </c>
      <c r="R60"/>
      <c r="Y60" s="22">
        <f t="shared" si="17"/>
        <v>4089.7539999999999</v>
      </c>
      <c r="Z60">
        <f t="shared" si="23"/>
        <v>47.000306663249951</v>
      </c>
      <c r="AA60" s="22">
        <f t="shared" si="8"/>
        <v>35.947970771489508</v>
      </c>
    </row>
    <row r="61" spans="1:27">
      <c r="A61" s="20"/>
      <c r="B61" s="24" t="s">
        <v>246</v>
      </c>
      <c r="C61">
        <v>2.79</v>
      </c>
      <c r="D61" s="27">
        <v>6680</v>
      </c>
      <c r="E61" s="27">
        <v>3730</v>
      </c>
      <c r="F61" s="22">
        <f t="shared" si="19"/>
        <v>124.49649599999999</v>
      </c>
      <c r="G61" s="22">
        <f t="shared" si="20"/>
        <v>38.816991000000002</v>
      </c>
      <c r="H61" s="22">
        <f t="shared" si="16"/>
        <v>1.87393474161869</v>
      </c>
      <c r="I61" s="22">
        <f t="shared" si="18"/>
        <v>0.27347563457561996</v>
      </c>
      <c r="J61" s="22">
        <f t="shared" si="21"/>
        <v>98.864984492082257</v>
      </c>
      <c r="K61" s="22">
        <f t="shared" si="22"/>
        <v>98.864984492082257</v>
      </c>
      <c r="L61">
        <f t="shared" si="3"/>
        <v>98.864984492082257</v>
      </c>
      <c r="M61" s="22">
        <f t="shared" si="4"/>
        <v>118.450973</v>
      </c>
      <c r="N61" s="100">
        <f t="shared" si="5"/>
        <v>40.225986049599996</v>
      </c>
      <c r="O61" s="101">
        <f t="shared" si="9"/>
        <v>39.372328775380396</v>
      </c>
      <c r="P61" s="100">
        <f t="shared" si="6"/>
        <v>1.9852670497972904</v>
      </c>
      <c r="Q61" s="106">
        <f t="shared" si="7"/>
        <v>0.55533777538039431</v>
      </c>
      <c r="R61"/>
      <c r="Y61" s="22">
        <f t="shared" si="17"/>
        <v>3912.806</v>
      </c>
      <c r="Z61">
        <f t="shared" si="23"/>
        <v>42.715041714244443</v>
      </c>
      <c r="AA61" s="22">
        <f t="shared" si="8"/>
        <v>15.194799370821595</v>
      </c>
    </row>
    <row r="62" spans="1:27">
      <c r="A62" s="18"/>
      <c r="B62" s="24" t="s">
        <v>149</v>
      </c>
      <c r="C62">
        <v>2.3010000000000002</v>
      </c>
      <c r="D62" s="27">
        <v>5228</v>
      </c>
      <c r="E62" s="27">
        <v>3240</v>
      </c>
      <c r="F62" s="22">
        <f t="shared" si="19"/>
        <v>62.890895184000009</v>
      </c>
      <c r="G62" s="22">
        <f t="shared" si="20"/>
        <v>24.154977600000002</v>
      </c>
      <c r="H62" s="22">
        <f t="shared" si="16"/>
        <v>1.2703078798963572</v>
      </c>
      <c r="I62" s="22">
        <f t="shared" si="18"/>
        <v>0.18820955967263187</v>
      </c>
      <c r="J62" s="22">
        <f t="shared" si="21"/>
        <v>57.40235059599658</v>
      </c>
      <c r="K62" s="22">
        <f t="shared" si="22"/>
        <v>57.402350595996573</v>
      </c>
      <c r="L62">
        <f t="shared" si="3"/>
        <v>57.402350595996573</v>
      </c>
      <c r="M62" s="22">
        <f t="shared" si="4"/>
        <v>74.464932800000014</v>
      </c>
      <c r="N62" s="100">
        <f t="shared" si="5"/>
        <v>23.278285265118402</v>
      </c>
      <c r="O62" s="101">
        <f t="shared" si="9"/>
        <v>22.85765151992652</v>
      </c>
      <c r="P62" s="100">
        <f t="shared" si="6"/>
        <v>0.76858945004015156</v>
      </c>
      <c r="Q62" s="106">
        <f t="shared" si="7"/>
        <v>1.297326080073482</v>
      </c>
      <c r="R62"/>
      <c r="Y62" s="22">
        <f t="shared" si="17"/>
        <v>3084.0043999999998</v>
      </c>
      <c r="Z62">
        <f t="shared" si="23"/>
        <v>21.885002303343747</v>
      </c>
      <c r="AA62" s="22">
        <f t="shared" si="8"/>
        <v>5.1527878474296553</v>
      </c>
    </row>
    <row r="63" spans="1:27">
      <c r="A63" s="18"/>
      <c r="B63" s="24" t="s">
        <v>150</v>
      </c>
      <c r="C63">
        <v>2.3860000000000001</v>
      </c>
      <c r="D63" s="27">
        <v>4943</v>
      </c>
      <c r="E63" s="27">
        <v>2970</v>
      </c>
      <c r="F63" s="22">
        <f t="shared" si="19"/>
        <v>58.297732113999999</v>
      </c>
      <c r="G63" s="22">
        <f t="shared" si="20"/>
        <v>21.0466674</v>
      </c>
      <c r="H63" s="22">
        <f t="shared" si="16"/>
        <v>1.4365936582434904</v>
      </c>
      <c r="I63" s="22">
        <f t="shared" si="18"/>
        <v>0.21750247192142586</v>
      </c>
      <c r="J63" s="22">
        <f t="shared" si="21"/>
        <v>51.248739170416172</v>
      </c>
      <c r="K63" s="22">
        <f t="shared" si="22"/>
        <v>51.248739170416187</v>
      </c>
      <c r="L63">
        <f>K63</f>
        <v>51.248739170416187</v>
      </c>
      <c r="M63" s="22">
        <f t="shared" si="4"/>
        <v>65.140002199999998</v>
      </c>
      <c r="N63" s="100">
        <f t="shared" si="5"/>
        <v>22.014706104561402</v>
      </c>
      <c r="O63" s="101">
        <f t="shared" si="9"/>
        <v>21.023580243196733</v>
      </c>
      <c r="P63" s="100">
        <f t="shared" si="6"/>
        <v>0.93709893352891571</v>
      </c>
      <c r="Q63" s="106">
        <f t="shared" si="7"/>
        <v>2.3087156803267561E-2</v>
      </c>
      <c r="R63"/>
      <c r="Y63" s="22">
        <f t="shared" si="17"/>
        <v>2921.3263999999999</v>
      </c>
      <c r="Z63">
        <f t="shared" si="23"/>
        <v>20.362476973713981</v>
      </c>
      <c r="AA63" s="22">
        <f t="shared" si="8"/>
        <v>0.46811653942144438</v>
      </c>
    </row>
    <row r="64" spans="1:27">
      <c r="A64" s="18"/>
      <c r="B64" t="s">
        <v>151</v>
      </c>
      <c r="C64">
        <v>2.4249999999999998</v>
      </c>
      <c r="D64" s="27">
        <v>4870</v>
      </c>
      <c r="E64" s="27">
        <v>2750</v>
      </c>
      <c r="F64" s="22">
        <f t="shared" si="19"/>
        <v>57.513482499999995</v>
      </c>
      <c r="G64" s="22">
        <f t="shared" si="20"/>
        <v>18.339062500000001</v>
      </c>
      <c r="H64" s="22">
        <f t="shared" si="16"/>
        <v>1.80278567493113</v>
      </c>
      <c r="I64" s="22">
        <f t="shared" si="18"/>
        <v>0.26593064428267227</v>
      </c>
      <c r="J64" s="22">
        <f t="shared" si="21"/>
        <v>46.431962412330371</v>
      </c>
      <c r="K64" s="22">
        <f t="shared" si="22"/>
        <v>46.431962412330392</v>
      </c>
      <c r="L64">
        <f t="shared" si="3"/>
        <v>46.431962412330392</v>
      </c>
      <c r="M64" s="22">
        <f t="shared" si="4"/>
        <v>57.017187500000006</v>
      </c>
      <c r="N64" s="100">
        <f t="shared" si="5"/>
        <v>21.798959035750002</v>
      </c>
      <c r="O64" s="101">
        <f t="shared" si="9"/>
        <v>20.69603713522109</v>
      </c>
      <c r="P64" s="100">
        <f t="shared" si="6"/>
        <v>11.97088403809486</v>
      </c>
      <c r="Q64" s="106">
        <f t="shared" si="7"/>
        <v>2.3569746352210892</v>
      </c>
      <c r="R64"/>
      <c r="Y64" s="22">
        <f t="shared" si="17"/>
        <v>2879.6579999999999</v>
      </c>
      <c r="Z64">
        <f t="shared" si="23"/>
        <v>20.109143227637698</v>
      </c>
      <c r="AA64" s="22">
        <f t="shared" si="8"/>
        <v>3.1331857823544014</v>
      </c>
    </row>
    <row r="65" spans="1:27">
      <c r="A65" s="18"/>
      <c r="B65" t="s">
        <v>152</v>
      </c>
      <c r="C65">
        <v>2.4609999999999999</v>
      </c>
      <c r="D65" s="27">
        <v>4706</v>
      </c>
      <c r="E65" s="27">
        <v>2670</v>
      </c>
      <c r="F65" s="22">
        <f t="shared" si="19"/>
        <v>54.502378995999997</v>
      </c>
      <c r="G65" s="22">
        <f t="shared" si="20"/>
        <v>17.544222899999998</v>
      </c>
      <c r="H65" s="22">
        <f t="shared" si="16"/>
        <v>1.7732379469483368</v>
      </c>
      <c r="I65" s="22">
        <f t="shared" si="18"/>
        <v>0.26264748091830775</v>
      </c>
      <c r="J65" s="22">
        <f t="shared" si="21"/>
        <v>44.304337698708579</v>
      </c>
      <c r="K65" s="22">
        <f t="shared" si="22"/>
        <v>44.304337698708572</v>
      </c>
      <c r="L65">
        <f t="shared" si="3"/>
        <v>44.304337698708572</v>
      </c>
      <c r="M65" s="22">
        <f t="shared" si="4"/>
        <v>54.632668699999996</v>
      </c>
      <c r="N65" s="100">
        <f t="shared" si="5"/>
        <v>20.970604461799603</v>
      </c>
      <c r="O65" s="101">
        <f t="shared" si="9"/>
        <v>19.395541409233786</v>
      </c>
      <c r="P65" s="100">
        <f t="shared" si="6"/>
        <v>11.740090607040301</v>
      </c>
      <c r="Q65" s="106">
        <f t="shared" si="7"/>
        <v>1.8513185092337885</v>
      </c>
      <c r="R65"/>
      <c r="Y65" s="22">
        <f t="shared" si="17"/>
        <v>2786.0468000000001</v>
      </c>
      <c r="Z65">
        <f t="shared" si="23"/>
        <v>19.10242171537578</v>
      </c>
      <c r="AA65" s="22">
        <f t="shared" si="8"/>
        <v>2.4279835482384904</v>
      </c>
    </row>
    <row r="66" spans="1:27">
      <c r="A66" s="21"/>
      <c r="B66" s="24" t="s">
        <v>96</v>
      </c>
      <c r="C66">
        <v>2.2799999999999998</v>
      </c>
      <c r="D66" s="27">
        <v>5654</v>
      </c>
      <c r="E66" s="27">
        <v>3531</v>
      </c>
      <c r="F66" s="22">
        <f t="shared" si="19"/>
        <v>72.886392479999984</v>
      </c>
      <c r="G66" s="22">
        <f t="shared" si="20"/>
        <v>28.426951079999998</v>
      </c>
      <c r="H66" s="22">
        <f t="shared" si="16"/>
        <v>1.230655758387438</v>
      </c>
      <c r="I66" s="22">
        <f t="shared" si="18"/>
        <v>0.18030467562284758</v>
      </c>
      <c r="J66" s="22">
        <f t="shared" si="21"/>
        <v>67.104926546851914</v>
      </c>
      <c r="K66" s="22">
        <f t="shared" si="22"/>
        <v>67.1049265468519</v>
      </c>
      <c r="L66">
        <f t="shared" si="3"/>
        <v>67.1049265468519</v>
      </c>
      <c r="M66" s="22">
        <f t="shared" si="4"/>
        <v>87.280853239999999</v>
      </c>
      <c r="N66" s="100">
        <f t="shared" si="5"/>
        <v>26.028046571247998</v>
      </c>
      <c r="O66" s="101">
        <f t="shared" si="9"/>
        <v>26.42480503713719</v>
      </c>
      <c r="P66" s="100">
        <f t="shared" si="6"/>
        <v>5.7547428421106765</v>
      </c>
      <c r="Q66" s="106">
        <f t="shared" si="7"/>
        <v>2.0021460428628082</v>
      </c>
      <c r="R66"/>
      <c r="Y66" s="22">
        <f t="shared" si="17"/>
        <v>3327.1651999999999</v>
      </c>
      <c r="Z66">
        <f t="shared" si="23"/>
        <v>25.23966445124757</v>
      </c>
      <c r="AA66" s="22">
        <f t="shared" si="8"/>
        <v>10.15879605382402</v>
      </c>
    </row>
    <row r="67" spans="1:27">
      <c r="A67" s="21"/>
      <c r="B67" t="s">
        <v>97</v>
      </c>
      <c r="C67">
        <v>2.35</v>
      </c>
      <c r="D67" s="27">
        <v>5559</v>
      </c>
      <c r="E67" s="27">
        <v>3421</v>
      </c>
      <c r="F67" s="22">
        <f t="shared" si="19"/>
        <v>72.620830350000006</v>
      </c>
      <c r="G67" s="22">
        <f t="shared" si="20"/>
        <v>27.50261635</v>
      </c>
      <c r="H67" s="22">
        <f t="shared" si="16"/>
        <v>1.3071729161748153</v>
      </c>
      <c r="I67" s="22">
        <f t="shared" si="18"/>
        <v>0.19521603459303588</v>
      </c>
      <c r="J67" s="22">
        <f t="shared" si="21"/>
        <v>65.74313610956122</v>
      </c>
      <c r="K67" s="22">
        <f t="shared" si="22"/>
        <v>65.743136109561192</v>
      </c>
      <c r="L67">
        <f t="shared" si="3"/>
        <v>65.743136109561192</v>
      </c>
      <c r="M67" s="22">
        <f t="shared" si="4"/>
        <v>84.507849050000004</v>
      </c>
      <c r="N67" s="100">
        <f t="shared" si="5"/>
        <v>25.954990429285004</v>
      </c>
      <c r="O67" s="101">
        <f t="shared" si="9"/>
        <v>26.336529533587751</v>
      </c>
      <c r="P67" s="100">
        <f t="shared" si="6"/>
        <v>2.3951459904689387</v>
      </c>
      <c r="Q67" s="106">
        <f t="shared" si="7"/>
        <v>1.1660868164122498</v>
      </c>
      <c r="R67"/>
      <c r="Y67" s="22">
        <f t="shared" si="17"/>
        <v>3272.9391999999998</v>
      </c>
      <c r="Z67">
        <f t="shared" si="23"/>
        <v>25.173507866207103</v>
      </c>
      <c r="AA67" s="22">
        <f t="shared" ref="AA67:AA130" si="24">(ABS(G67-Z67))^2</f>
        <v>5.4247463292760481</v>
      </c>
    </row>
    <row r="68" spans="1:27">
      <c r="A68" s="21"/>
      <c r="B68" t="s">
        <v>98</v>
      </c>
      <c r="C68">
        <v>2.39</v>
      </c>
      <c r="D68" s="27">
        <v>5493</v>
      </c>
      <c r="E68" s="27">
        <v>3330</v>
      </c>
      <c r="F68" s="22">
        <f t="shared" si="19"/>
        <v>72.113587109999997</v>
      </c>
      <c r="G68" s="22">
        <f t="shared" si="20"/>
        <v>26.502471</v>
      </c>
      <c r="H68" s="22">
        <f t="shared" si="16"/>
        <v>1.3876803830857887</v>
      </c>
      <c r="I68" s="22">
        <f t="shared" si="18"/>
        <v>0.20947355315660138</v>
      </c>
      <c r="J68" s="22">
        <f t="shared" si="21"/>
        <v>64.108075535599568</v>
      </c>
      <c r="K68" s="22">
        <f t="shared" si="22"/>
        <v>64.108075535599568</v>
      </c>
      <c r="L68">
        <f t="shared" si="3"/>
        <v>64.108075535599568</v>
      </c>
      <c r="M68" s="22">
        <f t="shared" si="4"/>
        <v>81.507413</v>
      </c>
      <c r="N68" s="100">
        <f t="shared" si="5"/>
        <v>25.815447813961001</v>
      </c>
      <c r="O68" s="101">
        <f t="shared" si="9"/>
        <v>26.167016007283507</v>
      </c>
      <c r="P68" s="100">
        <f t="shared" si="6"/>
        <v>0.47200085815517739</v>
      </c>
      <c r="Q68" s="106">
        <f t="shared" si="7"/>
        <v>0.33545499271649248</v>
      </c>
      <c r="R68"/>
      <c r="Y68" s="22">
        <f t="shared" si="17"/>
        <v>3235.2664</v>
      </c>
      <c r="Z68">
        <f t="shared" si="23"/>
        <v>25.016007342735815</v>
      </c>
      <c r="AA68" s="22">
        <f t="shared" si="24"/>
        <v>2.2095742043672164</v>
      </c>
    </row>
    <row r="69" spans="1:27">
      <c r="A69" s="21"/>
      <c r="B69" t="s">
        <v>99</v>
      </c>
      <c r="C69">
        <v>2.4300000000000002</v>
      </c>
      <c r="D69" s="27">
        <v>5457</v>
      </c>
      <c r="E69" s="27">
        <v>3257</v>
      </c>
      <c r="F69" s="22">
        <f t="shared" si="19"/>
        <v>72.362603070000006</v>
      </c>
      <c r="G69" s="22">
        <f t="shared" si="20"/>
        <v>25.777559069999999</v>
      </c>
      <c r="H69" s="22">
        <f t="shared" si="16"/>
        <v>1.4738604305717919</v>
      </c>
      <c r="I69" s="22">
        <f t="shared" si="18"/>
        <v>0.22332795188515869</v>
      </c>
      <c r="J69" s="22">
        <f t="shared" si="21"/>
        <v>63.068817083403601</v>
      </c>
      <c r="K69" s="22">
        <f t="shared" si="22"/>
        <v>63.068817083403594</v>
      </c>
      <c r="L69">
        <f t="shared" si="3"/>
        <v>63.068817083403594</v>
      </c>
      <c r="M69" s="22">
        <f t="shared" si="4"/>
        <v>79.33267721</v>
      </c>
      <c r="N69" s="100">
        <f t="shared" si="5"/>
        <v>25.883952104557004</v>
      </c>
      <c r="O69" s="101">
        <f t="shared" si="9"/>
        <v>26.250382102867476</v>
      </c>
      <c r="P69" s="100">
        <f t="shared" si="6"/>
        <v>1.1319477802248059E-2</v>
      </c>
      <c r="Q69" s="106">
        <f t="shared" si="7"/>
        <v>0.47282303286747762</v>
      </c>
      <c r="R69"/>
      <c r="Y69" s="22">
        <f t="shared" si="17"/>
        <v>3214.7175999999999</v>
      </c>
      <c r="Z69">
        <f t="shared" si="23"/>
        <v>25.112614472031918</v>
      </c>
      <c r="AA69" s="22">
        <f t="shared" si="24"/>
        <v>0.44215131836693233</v>
      </c>
    </row>
    <row r="70" spans="1:27">
      <c r="A70" s="21"/>
      <c r="B70" t="s">
        <v>100</v>
      </c>
      <c r="C70">
        <v>2.4700000000000002</v>
      </c>
      <c r="D70" s="27">
        <v>5450</v>
      </c>
      <c r="E70" s="27">
        <v>3204</v>
      </c>
      <c r="F70" s="22">
        <f t="shared" si="19"/>
        <v>73.365174999999994</v>
      </c>
      <c r="G70" s="22">
        <f t="shared" si="20"/>
        <v>25.356071520000004</v>
      </c>
      <c r="H70" s="22">
        <f t="shared" si="16"/>
        <v>1.5600634194772141</v>
      </c>
      <c r="I70" s="22">
        <f t="shared" si="18"/>
        <v>0.23592433848964678</v>
      </c>
      <c r="J70" s="22">
        <f t="shared" si="21"/>
        <v>62.676371840104352</v>
      </c>
      <c r="K70" s="22">
        <f t="shared" si="22"/>
        <v>62.676371840104359</v>
      </c>
      <c r="L70">
        <f t="shared" si="3"/>
        <v>62.676371840104359</v>
      </c>
      <c r="M70" s="22">
        <f t="shared" ref="M70:M133" si="25" xml:space="preserve"> 2 +3*G70</f>
        <v>78.068214560000015</v>
      </c>
      <c r="N70" s="100">
        <f t="shared" si="5"/>
        <v>26.159759642499999</v>
      </c>
      <c r="O70" s="101">
        <f t="shared" si="9"/>
        <v>26.583147515474778</v>
      </c>
      <c r="P70" s="100">
        <f>(ABS(G70-N70))^2</f>
        <v>0.64591459824756736</v>
      </c>
      <c r="Q70" s="106">
        <f t="shared" si="7"/>
        <v>1.2270759954747739</v>
      </c>
      <c r="R70"/>
      <c r="Y70" s="22">
        <f t="shared" si="17"/>
        <v>3210.7219999999998</v>
      </c>
      <c r="Z70">
        <f t="shared" si="23"/>
        <v>25.462577330371481</v>
      </c>
      <c r="AA70" s="22">
        <f t="shared" si="24"/>
        <v>1.1343487642884993E-2</v>
      </c>
    </row>
    <row r="71" spans="1:27">
      <c r="A71" s="21"/>
      <c r="B71" t="s">
        <v>101</v>
      </c>
      <c r="C71">
        <v>2.5</v>
      </c>
      <c r="D71" s="27">
        <v>5472</v>
      </c>
      <c r="E71" s="27">
        <v>3168</v>
      </c>
      <c r="F71" s="22">
        <f t="shared" si="19"/>
        <v>74.856960000000001</v>
      </c>
      <c r="G71" s="22">
        <f t="shared" si="20"/>
        <v>25.09056</v>
      </c>
      <c r="H71" s="22">
        <f t="shared" si="16"/>
        <v>1.6501377410468321</v>
      </c>
      <c r="I71" s="22">
        <f t="shared" si="18"/>
        <v>0.24791666666666667</v>
      </c>
      <c r="J71" s="22">
        <f t="shared" si="21"/>
        <v>62.621856000000001</v>
      </c>
      <c r="K71" s="22">
        <f t="shared" si="22"/>
        <v>62.621856000000008</v>
      </c>
      <c r="L71">
        <f t="shared" si="3"/>
        <v>62.621856000000008</v>
      </c>
      <c r="M71" s="22">
        <f t="shared" si="25"/>
        <v>77.271680000000003</v>
      </c>
      <c r="N71" s="100">
        <f t="shared" si="5"/>
        <v>26.570149696000001</v>
      </c>
      <c r="O71" s="101">
        <f t="shared" ref="O71:O134" si="26">24.184*LN(F71)-77.298</f>
        <v>27.06996477337438</v>
      </c>
      <c r="P71" s="100">
        <f t="shared" si="6"/>
        <v>2.1891856685093769</v>
      </c>
      <c r="Q71" s="106">
        <f t="shared" si="7"/>
        <v>1.9794047733743803</v>
      </c>
      <c r="R71"/>
      <c r="Y71" s="22">
        <f t="shared" si="17"/>
        <v>3223.2795999999998</v>
      </c>
      <c r="Z71">
        <f t="shared" si="23"/>
        <v>25.973828449440397</v>
      </c>
      <c r="AA71" s="22">
        <f t="shared" si="24"/>
        <v>0.78016315377684331</v>
      </c>
    </row>
    <row r="72" spans="1:27">
      <c r="A72" s="19"/>
      <c r="B72" t="s">
        <v>111</v>
      </c>
      <c r="C72">
        <v>2.58</v>
      </c>
      <c r="D72" s="27">
        <v>5604</v>
      </c>
      <c r="E72" s="27">
        <v>3254</v>
      </c>
      <c r="F72" s="22">
        <f t="shared" si="19"/>
        <v>81.024425280000003</v>
      </c>
      <c r="G72" s="22">
        <f t="shared" si="20"/>
        <v>27.318371280000001</v>
      </c>
      <c r="H72" s="22">
        <f t="shared" si="16"/>
        <v>1.6325984365199682</v>
      </c>
      <c r="I72" s="22">
        <f t="shared" si="18"/>
        <v>0.24566767389017258</v>
      </c>
      <c r="J72" s="22">
        <f t="shared" si="21"/>
        <v>68.059224013651402</v>
      </c>
      <c r="K72" s="22">
        <f t="shared" si="22"/>
        <v>68.059224013651402</v>
      </c>
      <c r="L72">
        <f t="shared" si="3"/>
        <v>68.059224013651402</v>
      </c>
      <c r="M72" s="22">
        <f t="shared" si="25"/>
        <v>83.955113839999996</v>
      </c>
      <c r="N72" s="100">
        <f t="shared" si="5"/>
        <v>28.266819394528003</v>
      </c>
      <c r="O72" s="101">
        <f t="shared" si="26"/>
        <v>28.984649861875624</v>
      </c>
      <c r="P72" s="100">
        <f t="shared" si="6"/>
        <v>0.89955382595172229</v>
      </c>
      <c r="Q72" s="106">
        <f t="shared" si="7"/>
        <v>1.6662785818756234</v>
      </c>
      <c r="R72"/>
      <c r="Y72" s="22">
        <f t="shared" si="17"/>
        <v>3298.6251999999999</v>
      </c>
      <c r="Z72">
        <f t="shared" si="23"/>
        <v>28.072794781993601</v>
      </c>
      <c r="AA72" s="22">
        <f t="shared" si="24"/>
        <v>0.56915482036028686</v>
      </c>
    </row>
    <row r="73" spans="1:27">
      <c r="A73" s="17"/>
      <c r="B73" s="16" t="s">
        <v>153</v>
      </c>
      <c r="C73">
        <v>2.548</v>
      </c>
      <c r="D73">
        <v>5760</v>
      </c>
      <c r="E73">
        <v>3303</v>
      </c>
      <c r="F73" s="22">
        <f t="shared" si="19"/>
        <v>84.536524799999995</v>
      </c>
      <c r="G73" s="22">
        <f t="shared" si="20"/>
        <v>27.798193332000004</v>
      </c>
      <c r="H73" s="22">
        <f t="shared" si="16"/>
        <v>1.7077464875874544</v>
      </c>
      <c r="I73" s="22">
        <f>1/2-(3/((6*H73)+2))</f>
        <v>0.25503162841792437</v>
      </c>
      <c r="J73" s="22">
        <f t="shared" si="21"/>
        <v>69.775223689072504</v>
      </c>
      <c r="K73" s="22">
        <f>J73</f>
        <v>69.775223689072504</v>
      </c>
      <c r="L73">
        <f t="shared" si="3"/>
        <v>69.775223689072504</v>
      </c>
      <c r="M73" s="22">
        <f t="shared" si="25"/>
        <v>85.394579996000004</v>
      </c>
      <c r="N73" s="100">
        <f t="shared" si="5"/>
        <v>29.23299797248</v>
      </c>
      <c r="O73" s="101">
        <f t="shared" si="26"/>
        <v>30.010850289443496</v>
      </c>
      <c r="P73" s="100">
        <f t="shared" si="6"/>
        <v>2.0586643563429301</v>
      </c>
      <c r="Q73" s="106">
        <f t="shared" si="7"/>
        <v>2.2126569574434924</v>
      </c>
      <c r="R73"/>
      <c r="Y73" s="22">
        <f t="shared" si="17"/>
        <v>3387.67</v>
      </c>
      <c r="Z73">
        <f t="shared" si="23"/>
        <v>29.241632857637203</v>
      </c>
      <c r="AA73" s="22">
        <f t="shared" si="24"/>
        <v>2.0835176641717426</v>
      </c>
    </row>
    <row r="74" spans="1:27">
      <c r="A74" s="17"/>
      <c r="B74" s="16" t="s">
        <v>154</v>
      </c>
      <c r="C74">
        <v>2.613</v>
      </c>
      <c r="D74">
        <v>6013</v>
      </c>
      <c r="E74">
        <v>3518</v>
      </c>
      <c r="F74" s="22">
        <f t="shared" si="19"/>
        <v>94.476069597000006</v>
      </c>
      <c r="G74" s="22">
        <f t="shared" si="20"/>
        <v>32.339334612000002</v>
      </c>
      <c r="H74" s="22">
        <f t="shared" si="16"/>
        <v>1.5880647328452835</v>
      </c>
      <c r="I74" s="22">
        <f t="shared" ref="I74:I83" si="27">1/2-(3/((6*H74)+2))</f>
        <v>0.23977282021813018</v>
      </c>
      <c r="J74" s="22">
        <f t="shared" si="21"/>
        <v>80.186856151794046</v>
      </c>
      <c r="K74" s="22">
        <v>80.2</v>
      </c>
      <c r="L74">
        <f t="shared" si="3"/>
        <v>80.2</v>
      </c>
      <c r="M74" s="22">
        <f t="shared" si="25"/>
        <v>99.018003836000005</v>
      </c>
      <c r="N74" s="100">
        <f t="shared" si="5"/>
        <v>31.967366746134704</v>
      </c>
      <c r="O74" s="101">
        <f t="shared" si="26"/>
        <v>32.699213464680341</v>
      </c>
      <c r="P74" s="100">
        <f t="shared" si="6"/>
        <v>0.13836009323638387</v>
      </c>
      <c r="Q74" s="106">
        <f t="shared" si="7"/>
        <v>0.35987885268033892</v>
      </c>
      <c r="R74"/>
      <c r="Y74" s="22">
        <f t="shared" si="17"/>
        <v>3532.0823999999998</v>
      </c>
      <c r="Z74">
        <f t="shared" si="23"/>
        <v>32.598758688058439</v>
      </c>
      <c r="AA74" s="22">
        <f t="shared" si="24"/>
        <v>6.730085123877369E-2</v>
      </c>
    </row>
    <row r="75" spans="1:27">
      <c r="A75" s="17"/>
      <c r="B75" s="16" t="s">
        <v>155</v>
      </c>
      <c r="C75">
        <v>2.5960000000000001</v>
      </c>
      <c r="D75">
        <v>6035</v>
      </c>
      <c r="E75">
        <v>3549</v>
      </c>
      <c r="F75" s="22">
        <f t="shared" si="19"/>
        <v>94.549500100000003</v>
      </c>
      <c r="G75" s="22">
        <f t="shared" si="20"/>
        <v>32.697660995999996</v>
      </c>
      <c r="H75" s="22">
        <f t="shared" si="16"/>
        <v>1.558295523897969</v>
      </c>
      <c r="I75" s="22">
        <f t="shared" si="27"/>
        <v>0.23567753627324706</v>
      </c>
      <c r="J75" s="22">
        <f t="shared" si="21"/>
        <v>80.807530362870253</v>
      </c>
      <c r="K75" s="22">
        <v>80.8</v>
      </c>
      <c r="L75">
        <f t="shared" si="3"/>
        <v>80.8</v>
      </c>
      <c r="M75" s="22">
        <f t="shared" si="25"/>
        <v>100.09298298799999</v>
      </c>
      <c r="N75" s="100">
        <f t="shared" si="5"/>
        <v>31.987567477510002</v>
      </c>
      <c r="O75" s="101">
        <f t="shared" si="26"/>
        <v>32.718002916041115</v>
      </c>
      <c r="P75" s="100">
        <f t="shared" si="6"/>
        <v>0.50423280500150025</v>
      </c>
      <c r="Q75" s="106">
        <f t="shared" si="7"/>
        <v>2.034192004111901E-2</v>
      </c>
      <c r="R75"/>
      <c r="Y75" s="22">
        <f t="shared" si="17"/>
        <v>3544.64</v>
      </c>
      <c r="Z75">
        <f t="shared" si="23"/>
        <v>32.617371206041604</v>
      </c>
      <c r="AA75" s="22">
        <f t="shared" si="24"/>
        <v>6.4464503715627904E-3</v>
      </c>
    </row>
    <row r="76" spans="1:27">
      <c r="A76" s="17"/>
      <c r="B76" s="16" t="s">
        <v>156</v>
      </c>
      <c r="C76">
        <v>2.5649999999999999</v>
      </c>
      <c r="D76">
        <v>5877</v>
      </c>
      <c r="E76">
        <v>3419</v>
      </c>
      <c r="F76" s="22">
        <f t="shared" si="19"/>
        <v>88.592865885000009</v>
      </c>
      <c r="G76" s="22">
        <f t="shared" si="20"/>
        <v>29.983723964999999</v>
      </c>
      <c r="H76" s="22">
        <f t="shared" si="16"/>
        <v>1.6213652220700736</v>
      </c>
      <c r="I76" s="22">
        <f t="shared" si="27"/>
        <v>0.24420608302091318</v>
      </c>
      <c r="J76" s="22">
        <f t="shared" si="21"/>
        <v>74.611863497745858</v>
      </c>
      <c r="K76" s="22">
        <v>74.599999999999994</v>
      </c>
      <c r="L76">
        <f t="shared" ref="L76:L82" si="28">K76</f>
        <v>74.599999999999994</v>
      </c>
      <c r="M76" s="22">
        <f t="shared" si="25"/>
        <v>91.951171895000002</v>
      </c>
      <c r="N76" s="100">
        <f t="shared" si="5"/>
        <v>30.348897404963505</v>
      </c>
      <c r="O76" s="101">
        <f t="shared" si="26"/>
        <v>31.144297458644843</v>
      </c>
      <c r="P76" s="100">
        <f t="shared" si="6"/>
        <v>0.13335164125478036</v>
      </c>
      <c r="Q76" s="106">
        <f t="shared" si="7"/>
        <v>1.1605734936448435</v>
      </c>
      <c r="R76"/>
      <c r="Y76" s="22">
        <f t="shared" si="17"/>
        <v>3454.4535999999998</v>
      </c>
      <c r="Z76">
        <f t="shared" si="23"/>
        <v>30.608785415228336</v>
      </c>
      <c r="AA76" s="22">
        <f t="shared" si="24"/>
        <v>0.39070181656155173</v>
      </c>
    </row>
    <row r="77" spans="1:27">
      <c r="A77" s="17"/>
      <c r="B77" s="16" t="s">
        <v>157</v>
      </c>
      <c r="C77">
        <v>2.5019999999999998</v>
      </c>
      <c r="D77">
        <v>5898</v>
      </c>
      <c r="E77">
        <v>3548</v>
      </c>
      <c r="F77" s="22">
        <f t="shared" si="19"/>
        <v>87.035582808000001</v>
      </c>
      <c r="G77" s="22">
        <f t="shared" si="20"/>
        <v>31.495936607999997</v>
      </c>
      <c r="H77" s="22">
        <f t="shared" si="16"/>
        <v>1.4300575094680477</v>
      </c>
      <c r="I77" s="22">
        <f t="shared" si="27"/>
        <v>0.2164553723066388</v>
      </c>
      <c r="J77" s="22">
        <f t="shared" si="21"/>
        <v>76.626802585261885</v>
      </c>
      <c r="K77" s="22">
        <v>76.599999999999994</v>
      </c>
      <c r="L77">
        <f t="shared" si="28"/>
        <v>76.599999999999994</v>
      </c>
      <c r="M77" s="22">
        <f t="shared" si="25"/>
        <v>96.487809823999996</v>
      </c>
      <c r="N77" s="100">
        <f t="shared" si="5"/>
        <v>29.920488830480803</v>
      </c>
      <c r="O77" s="101">
        <f t="shared" si="26"/>
        <v>30.7154111219822</v>
      </c>
      <c r="P77" s="100">
        <f t="shared" si="6"/>
        <v>2.4820356996901691</v>
      </c>
      <c r="Q77" s="106">
        <f t="shared" si="7"/>
        <v>0.78052548601779748</v>
      </c>
      <c r="R77"/>
      <c r="Y77" s="22">
        <f t="shared" si="17"/>
        <v>3466.4404</v>
      </c>
      <c r="Z77">
        <f t="shared" si="23"/>
        <v>30.064555034973903</v>
      </c>
      <c r="AA77" s="22">
        <f t="shared" si="24"/>
        <v>2.0488532075986559</v>
      </c>
    </row>
    <row r="78" spans="1:27">
      <c r="A78" s="17"/>
      <c r="B78" s="16" t="s">
        <v>158</v>
      </c>
      <c r="C78">
        <v>2.48</v>
      </c>
      <c r="D78">
        <v>5709</v>
      </c>
      <c r="E78">
        <v>3415</v>
      </c>
      <c r="F78" s="22">
        <f t="shared" si="19"/>
        <v>80.82984888</v>
      </c>
      <c r="G78" s="22">
        <f t="shared" si="20"/>
        <v>28.922318000000001</v>
      </c>
      <c r="H78" s="22">
        <f t="shared" si="16"/>
        <v>1.4613890288231162</v>
      </c>
      <c r="I78" s="22">
        <f t="shared" si="27"/>
        <v>0.22140537693015383</v>
      </c>
      <c r="J78" s="22">
        <f t="shared" si="21"/>
        <v>70.651749436967549</v>
      </c>
      <c r="K78" s="22">
        <v>70.7</v>
      </c>
      <c r="L78">
        <f t="shared" si="28"/>
        <v>70.7</v>
      </c>
      <c r="M78" s="22">
        <f t="shared" si="25"/>
        <v>88.766953999999998</v>
      </c>
      <c r="N78" s="100">
        <f t="shared" si="5"/>
        <v>28.213291426888002</v>
      </c>
      <c r="O78" s="101">
        <f t="shared" si="26"/>
        <v>28.926503261189211</v>
      </c>
      <c r="P78" s="100">
        <f t="shared" si="6"/>
        <v>0.50271868137894404</v>
      </c>
      <c r="Q78" s="106">
        <f t="shared" si="7"/>
        <v>4.1852611892103653E-3</v>
      </c>
      <c r="R78"/>
      <c r="Y78" s="22">
        <f t="shared" si="17"/>
        <v>3358.5592000000001</v>
      </c>
      <c r="Z78">
        <f t="shared" si="23"/>
        <v>27.974201351763508</v>
      </c>
      <c r="AA78" s="22">
        <f t="shared" si="24"/>
        <v>0.89892517866320121</v>
      </c>
    </row>
    <row r="79" spans="1:27">
      <c r="A79" s="17"/>
      <c r="B79" s="16" t="s">
        <v>161</v>
      </c>
      <c r="C79">
        <v>2.569</v>
      </c>
      <c r="D79">
        <v>5682</v>
      </c>
      <c r="E79">
        <v>3342</v>
      </c>
      <c r="F79" s="22">
        <f t="shared" si="19"/>
        <v>82.94048355599999</v>
      </c>
      <c r="G79" s="22">
        <f t="shared" si="20"/>
        <v>28.693068516</v>
      </c>
      <c r="H79" s="22">
        <f t="shared" si="16"/>
        <v>1.5572771118252329</v>
      </c>
      <c r="I79" s="22">
        <f t="shared" si="27"/>
        <v>0.23553515411893072</v>
      </c>
      <c r="J79" s="22">
        <f t="shared" si="21"/>
        <v>70.90258966212221</v>
      </c>
      <c r="K79" s="22">
        <v>70.8</v>
      </c>
      <c r="L79">
        <f t="shared" si="28"/>
        <v>70.8</v>
      </c>
      <c r="M79" s="22">
        <f t="shared" si="25"/>
        <v>88.079205548000004</v>
      </c>
      <c r="N79" s="100">
        <f t="shared" si="5"/>
        <v>28.793927026255599</v>
      </c>
      <c r="O79" s="101">
        <f t="shared" si="26"/>
        <v>29.549893524240218</v>
      </c>
      <c r="P79" s="100">
        <f t="shared" si="6"/>
        <v>1.0172439090978634E-2</v>
      </c>
      <c r="Q79" s="106">
        <f t="shared" si="7"/>
        <v>0.85682500824021801</v>
      </c>
      <c r="R79"/>
      <c r="Y79" s="22">
        <f t="shared" si="17"/>
        <v>3343.1475999999998</v>
      </c>
      <c r="Z79">
        <f t="shared" si="23"/>
        <v>28.712777563866016</v>
      </c>
      <c r="AA79" s="22">
        <f t="shared" si="24"/>
        <v>3.8844656778490175E-4</v>
      </c>
    </row>
    <row r="80" spans="1:27">
      <c r="A80" s="17"/>
      <c r="B80" s="16" t="s">
        <v>159</v>
      </c>
      <c r="C80">
        <v>5.1829999999999998</v>
      </c>
      <c r="D80">
        <v>3553</v>
      </c>
      <c r="E80">
        <v>2071</v>
      </c>
      <c r="F80" s="22">
        <f t="shared" si="19"/>
        <v>65.429202047000004</v>
      </c>
      <c r="G80" s="22">
        <f t="shared" si="20"/>
        <v>22.230099502999998</v>
      </c>
      <c r="H80" s="22">
        <f t="shared" si="16"/>
        <v>1.6099374351205002</v>
      </c>
      <c r="I80" s="22">
        <f t="shared" si="27"/>
        <v>0.24270183645183641</v>
      </c>
      <c r="J80" s="22">
        <f t="shared" si="21"/>
        <v>55.250770953770321</v>
      </c>
      <c r="K80" s="22">
        <v>55</v>
      </c>
      <c r="L80">
        <f t="shared" si="28"/>
        <v>55</v>
      </c>
      <c r="M80" s="22">
        <f t="shared" si="25"/>
        <v>68.690298509000002</v>
      </c>
      <c r="N80" s="100">
        <f t="shared" si="5"/>
        <v>23.976573483129702</v>
      </c>
      <c r="O80" s="101">
        <f t="shared" si="26"/>
        <v>23.814546394732886</v>
      </c>
      <c r="P80" s="100">
        <f t="shared" si="6"/>
        <v>3.050171363270088</v>
      </c>
      <c r="Q80" s="106">
        <f t="shared" si="7"/>
        <v>1.5844468917328882</v>
      </c>
      <c r="R80"/>
      <c r="Y80" s="22">
        <f t="shared" si="17"/>
        <v>2127.9143999999997</v>
      </c>
      <c r="Z80">
        <f t="shared" si="23"/>
        <v>23.468726072588897</v>
      </c>
      <c r="AA80" s="22">
        <f t="shared" si="24"/>
        <v>1.534195778891563</v>
      </c>
    </row>
    <row r="81" spans="1:27">
      <c r="A81" s="17"/>
      <c r="B81" s="16" t="s">
        <v>160</v>
      </c>
      <c r="C81">
        <v>2.2149999999999999</v>
      </c>
      <c r="D81">
        <v>5560</v>
      </c>
      <c r="E81">
        <v>3413</v>
      </c>
      <c r="F81" s="22">
        <f t="shared" si="19"/>
        <v>68.473624000000001</v>
      </c>
      <c r="G81" s="22">
        <f t="shared" si="20"/>
        <v>25.801580334999997</v>
      </c>
      <c r="H81" s="22">
        <f t="shared" si="16"/>
        <v>1.3205205434819216</v>
      </c>
      <c r="I81" s="22">
        <f t="shared" si="27"/>
        <v>0.19767583036850545</v>
      </c>
      <c r="J81" s="22">
        <f t="shared" si="21"/>
        <v>61.803858305081668</v>
      </c>
      <c r="K81" s="22">
        <v>61</v>
      </c>
      <c r="L81">
        <f t="shared" si="28"/>
        <v>61</v>
      </c>
      <c r="M81" s="22">
        <f t="shared" si="25"/>
        <v>79.404741004999991</v>
      </c>
      <c r="N81" s="100">
        <f t="shared" si="5"/>
        <v>24.814093962400001</v>
      </c>
      <c r="O81" s="101">
        <f t="shared" si="26"/>
        <v>24.914433426614011</v>
      </c>
      <c r="P81" s="100">
        <f t="shared" si="6"/>
        <v>0.97512933607069785</v>
      </c>
      <c r="Q81" s="106">
        <f t="shared" si="7"/>
        <v>0.88714690838598642</v>
      </c>
      <c r="R81"/>
      <c r="Y81" s="22">
        <f t="shared" si="17"/>
        <v>3273.5099999999998</v>
      </c>
      <c r="Z81">
        <f t="shared" si="23"/>
        <v>23.735647000021494</v>
      </c>
      <c r="AA81" s="22">
        <f t="shared" si="24"/>
        <v>4.2680805445753993</v>
      </c>
    </row>
    <row r="82" spans="1:27">
      <c r="A82" s="21"/>
      <c r="B82" s="16" t="s">
        <v>162</v>
      </c>
      <c r="C82">
        <v>2.58</v>
      </c>
      <c r="D82">
        <v>5604</v>
      </c>
      <c r="E82">
        <v>3154</v>
      </c>
      <c r="F82" s="22">
        <f t="shared" si="19"/>
        <v>81.024425280000003</v>
      </c>
      <c r="G82" s="22">
        <f t="shared" si="20"/>
        <v>25.665107280000001</v>
      </c>
      <c r="H82" s="22">
        <f t="shared" ref="H82:H87" si="29">((D82/E82)^2)-(4/3)</f>
        <v>1.8236542606028021</v>
      </c>
      <c r="I82" s="22">
        <f t="shared" si="27"/>
        <v>0.2681952360757045</v>
      </c>
      <c r="J82" s="22">
        <f t="shared" si="21"/>
        <v>65.096733571735783</v>
      </c>
      <c r="K82" s="22">
        <v>84</v>
      </c>
      <c r="L82">
        <f t="shared" si="28"/>
        <v>84</v>
      </c>
      <c r="M82" s="22">
        <f t="shared" si="25"/>
        <v>78.995321840000003</v>
      </c>
      <c r="N82" s="100">
        <f t="shared" si="5"/>
        <v>28.266819394528003</v>
      </c>
      <c r="O82" s="101">
        <f t="shared" si="26"/>
        <v>28.984649861875624</v>
      </c>
      <c r="P82" s="100">
        <f>(ABS(G82-N82))^2</f>
        <v>6.7689059268817688</v>
      </c>
      <c r="Q82" s="106">
        <f t="shared" si="7"/>
        <v>3.3195425818756235</v>
      </c>
      <c r="R82"/>
      <c r="Y82" s="22">
        <f t="shared" ref="Y82:Y146" si="30">0.5708*D82+99.862</f>
        <v>3298.6251999999999</v>
      </c>
      <c r="Z82">
        <f t="shared" si="23"/>
        <v>28.072794781993601</v>
      </c>
      <c r="AA82" s="22">
        <f t="shared" si="24"/>
        <v>5.7969591072561801</v>
      </c>
    </row>
    <row r="83" spans="1:27">
      <c r="A83" s="21"/>
      <c r="B83" s="16" t="s">
        <v>102</v>
      </c>
      <c r="C83">
        <v>2.52</v>
      </c>
      <c r="D83">
        <v>5523</v>
      </c>
      <c r="E83">
        <v>3152</v>
      </c>
      <c r="F83" s="22">
        <f t="shared" si="19"/>
        <v>76.868893079999992</v>
      </c>
      <c r="G83" s="22">
        <f t="shared" si="20"/>
        <v>25.036462080000003</v>
      </c>
      <c r="H83" s="22">
        <f t="shared" si="29"/>
        <v>1.736944441313012</v>
      </c>
      <c r="I83" s="22">
        <f t="shared" si="27"/>
        <v>0.25848651513181009</v>
      </c>
      <c r="J83" s="22">
        <f t="shared" si="21"/>
        <v>63.016099828577801</v>
      </c>
      <c r="K83" s="22">
        <f>((2*C83*(E83^2))*(1+I83))/1000000</f>
        <v>63.016099828577822</v>
      </c>
      <c r="M83" s="22">
        <f t="shared" si="25"/>
        <v>77.109386240000006</v>
      </c>
      <c r="N83" s="100">
        <f t="shared" si="5"/>
        <v>27.123632486308001</v>
      </c>
      <c r="O83" s="101">
        <f t="shared" si="26"/>
        <v>27.711377436812882</v>
      </c>
      <c r="P83" s="100">
        <f t="shared" si="6"/>
        <v>4.3562803049678909</v>
      </c>
      <c r="Q83" s="106">
        <f t="shared" si="7"/>
        <v>2.6749153568128783</v>
      </c>
      <c r="R83"/>
      <c r="Y83" s="22">
        <f t="shared" si="30"/>
        <v>3252.3903999999998</v>
      </c>
      <c r="Z83">
        <f t="shared" si="23"/>
        <v>26.656669151310641</v>
      </c>
      <c r="AA83" s="22">
        <f t="shared" si="24"/>
        <v>2.625070953924995</v>
      </c>
    </row>
    <row r="84" spans="1:27">
      <c r="A84" s="17"/>
      <c r="B84" s="16" t="s">
        <v>163</v>
      </c>
      <c r="C84">
        <v>2.5339999999999998</v>
      </c>
      <c r="D84">
        <v>5496</v>
      </c>
      <c r="E84" s="35">
        <f>SQRT(25.27/2.53)*1000</f>
        <v>3160.402235869687</v>
      </c>
      <c r="F84" s="22">
        <f t="shared" si="19"/>
        <v>76.542044544000007</v>
      </c>
      <c r="G84" s="22">
        <f t="shared" si="20"/>
        <v>25.309952569169955</v>
      </c>
      <c r="H84" s="22">
        <f t="shared" si="29"/>
        <v>1.690854259860177</v>
      </c>
      <c r="I84" s="22">
        <f>1/2-(3/((6*H84)+2))</f>
        <v>0.25298732109549071</v>
      </c>
      <c r="J84" s="22">
        <f t="shared" si="21"/>
        <v>63.426099333396401</v>
      </c>
      <c r="K84" s="22">
        <f>((2*C84*(E84^2))*(1+I84))/1000000</f>
        <v>63.42609933339638</v>
      </c>
      <c r="M84" s="22">
        <f t="shared" si="25"/>
        <v>77.929857707509868</v>
      </c>
      <c r="N84" s="100">
        <f t="shared" si="5"/>
        <v>27.033716454054403</v>
      </c>
      <c r="O84" s="101">
        <f t="shared" si="26"/>
        <v>27.608327197017047</v>
      </c>
      <c r="P84" s="100">
        <f t="shared" ref="P84:P145" si="31">(ABS(G84-N84))^2</f>
        <v>2.9713619308319257</v>
      </c>
      <c r="Q84" s="106">
        <f t="shared" si="7"/>
        <v>2.2983746278470925</v>
      </c>
      <c r="R84"/>
      <c r="Y84" s="22">
        <f t="shared" si="30"/>
        <v>3236.9787999999999</v>
      </c>
      <c r="Z84">
        <f t="shared" si="23"/>
        <v>26.551332458679678</v>
      </c>
      <c r="AA84" s="22">
        <f t="shared" si="24"/>
        <v>1.541024030079172</v>
      </c>
    </row>
    <row r="85" spans="1:27">
      <c r="A85" s="20"/>
      <c r="B85" s="16" t="s">
        <v>164</v>
      </c>
      <c r="C85">
        <v>2.367</v>
      </c>
      <c r="D85">
        <v>5533</v>
      </c>
      <c r="E85">
        <v>3394</v>
      </c>
      <c r="F85" s="22">
        <f t="shared" si="19"/>
        <v>72.463548662999997</v>
      </c>
      <c r="G85" s="22">
        <f t="shared" si="20"/>
        <v>27.266031611999999</v>
      </c>
      <c r="H85" s="22">
        <f t="shared" si="29"/>
        <v>1.3243159239611606</v>
      </c>
      <c r="I85" s="22">
        <f>1/2-(3/((6*H85)+2))</f>
        <v>0.19836803666412095</v>
      </c>
      <c r="J85" s="22">
        <f t="shared" si="21"/>
        <v>65.349481540988606</v>
      </c>
      <c r="K85" s="22">
        <f>J85</f>
        <v>65.349481540988606</v>
      </c>
      <c r="M85" s="22">
        <f t="shared" si="25"/>
        <v>83.79809483599999</v>
      </c>
      <c r="N85" s="100">
        <f t="shared" ref="N85:N116" si="32">(0.2751*F85)+5.977</f>
        <v>25.911722237191299</v>
      </c>
      <c r="O85" s="101">
        <f t="shared" si="26"/>
        <v>26.284095193869959</v>
      </c>
      <c r="P85" s="100">
        <f t="shared" si="31"/>
        <v>1.8341538826947326</v>
      </c>
      <c r="Q85" s="106">
        <f t="shared" ref="Q85:Q146" si="33">(ABS(G85-O85))</f>
        <v>0.98193641813004007</v>
      </c>
      <c r="R85"/>
      <c r="Y85" s="22">
        <f t="shared" si="30"/>
        <v>3258.0983999999999</v>
      </c>
      <c r="Z85">
        <f t="shared" si="23"/>
        <v>25.126190670723417</v>
      </c>
      <c r="AA85" s="22">
        <f t="shared" si="24"/>
        <v>4.5789192539634467</v>
      </c>
    </row>
    <row r="86" spans="1:27">
      <c r="A86" s="23"/>
      <c r="B86" s="16" t="s">
        <v>165</v>
      </c>
      <c r="C86">
        <v>2.7770000000000001</v>
      </c>
      <c r="D86">
        <v>6697</v>
      </c>
      <c r="E86">
        <v>3715</v>
      </c>
      <c r="F86" s="22">
        <f t="shared" si="19"/>
        <v>124.547919593</v>
      </c>
      <c r="G86" s="22">
        <f t="shared" si="20"/>
        <v>38.326001825000006</v>
      </c>
      <c r="H86" s="22">
        <f t="shared" si="29"/>
        <v>1.9163643565456454</v>
      </c>
      <c r="I86" s="22">
        <f>1/2-(3/((6*H86)+2))</f>
        <v>0.27774791597581394</v>
      </c>
      <c r="J86" s="22">
        <f t="shared" si="21"/>
        <v>97.941937919157965</v>
      </c>
      <c r="K86" s="16">
        <v>97.9</v>
      </c>
      <c r="L86" s="16"/>
      <c r="M86" s="22">
        <f t="shared" si="25"/>
        <v>116.97800547500002</v>
      </c>
      <c r="N86" s="100">
        <f t="shared" si="32"/>
        <v>40.240132680034307</v>
      </c>
      <c r="O86" s="101">
        <f t="shared" si="26"/>
        <v>39.382315975356946</v>
      </c>
      <c r="P86" s="100">
        <f t="shared" si="31"/>
        <v>3.6638969301943454</v>
      </c>
      <c r="Q86" s="106">
        <f t="shared" si="33"/>
        <v>1.0563141503569398</v>
      </c>
      <c r="R86"/>
      <c r="Y86" s="22">
        <f t="shared" si="30"/>
        <v>3922.5095999999999</v>
      </c>
      <c r="Z86">
        <f t="shared" si="23"/>
        <v>42.727148497929932</v>
      </c>
      <c r="AA86" s="22">
        <f t="shared" si="24"/>
        <v>19.370092036642156</v>
      </c>
    </row>
    <row r="87" spans="1:27">
      <c r="A87" s="17"/>
      <c r="C87">
        <v>2.7069999999999999</v>
      </c>
      <c r="D87">
        <v>5904</v>
      </c>
      <c r="E87">
        <v>3353</v>
      </c>
      <c r="F87" s="22">
        <f t="shared" si="19"/>
        <v>94.358483711999995</v>
      </c>
      <c r="G87" s="22">
        <f t="shared" si="20"/>
        <v>30.433742562999996</v>
      </c>
      <c r="H87" s="22">
        <f t="shared" si="29"/>
        <v>1.7671227974455637</v>
      </c>
      <c r="I87" s="22">
        <f>1/2-(3/((6*H87)+2))</f>
        <v>0.26195646618213897</v>
      </c>
      <c r="J87" s="22">
        <f t="shared" si="21"/>
        <v>76.812116435000831</v>
      </c>
      <c r="K87">
        <v>82.81</v>
      </c>
      <c r="M87" s="22">
        <f t="shared" si="25"/>
        <v>93.301227688999987</v>
      </c>
      <c r="N87" s="100">
        <f t="shared" si="32"/>
        <v>31.935018869171198</v>
      </c>
      <c r="O87" s="101">
        <f t="shared" si="26"/>
        <v>32.669095063566218</v>
      </c>
      <c r="P87" s="100">
        <f t="shared" si="31"/>
        <v>2.2538305474710514</v>
      </c>
      <c r="Q87" s="106">
        <f t="shared" si="33"/>
        <v>2.235352500566222</v>
      </c>
      <c r="R87"/>
      <c r="Y87" s="22">
        <f t="shared" si="30"/>
        <v>3469.8651999999997</v>
      </c>
      <c r="Z87">
        <f t="shared" si="23"/>
        <v>32.592183918205002</v>
      </c>
      <c r="AA87" s="22">
        <f t="shared" si="24"/>
        <v>4.6588690838592255</v>
      </c>
    </row>
    <row r="88" spans="1:27">
      <c r="A88" s="17" t="s">
        <v>196</v>
      </c>
      <c r="B88" s="16" t="s">
        <v>166</v>
      </c>
      <c r="C88">
        <v>2.843</v>
      </c>
      <c r="D88">
        <v>6416</v>
      </c>
      <c r="E88">
        <v>3525</v>
      </c>
      <c r="F88" s="22">
        <f t="shared" ref="F88:F119" si="34">(C88*D88^2)/1000000</f>
        <v>117.032254208</v>
      </c>
      <c r="G88" s="22">
        <f t="shared" ref="G88:G119" si="35">(C88*E88^2)/1000000</f>
        <v>35.326051874999997</v>
      </c>
      <c r="M88" s="22">
        <f t="shared" si="25"/>
        <v>107.978155625</v>
      </c>
      <c r="N88" s="100">
        <f t="shared" si="32"/>
        <v>38.172573132620798</v>
      </c>
      <c r="O88" s="101">
        <f t="shared" si="26"/>
        <v>37.87708049271366</v>
      </c>
      <c r="P88" s="100">
        <f t="shared" si="31"/>
        <v>8.1026832700871019</v>
      </c>
      <c r="Q88" s="106">
        <f t="shared" si="33"/>
        <v>2.5510286177136621</v>
      </c>
      <c r="R88"/>
      <c r="Y88" s="22">
        <f t="shared" si="30"/>
        <v>3762.1147999999998</v>
      </c>
      <c r="Z88">
        <f t="shared" ref="Z88:Z146" si="36">(C88*Y88^2)/1000000</f>
        <v>40.238422585501603</v>
      </c>
      <c r="AA88" s="22">
        <f t="shared" si="24"/>
        <v>24.131385997394045</v>
      </c>
    </row>
    <row r="89" spans="1:27">
      <c r="A89" s="17"/>
      <c r="B89" s="16" t="s">
        <v>167</v>
      </c>
      <c r="C89">
        <v>2.7570000000000001</v>
      </c>
      <c r="D89">
        <v>6238</v>
      </c>
      <c r="E89">
        <v>3549</v>
      </c>
      <c r="F89" s="22">
        <f t="shared" si="34"/>
        <v>107.28215950800001</v>
      </c>
      <c r="G89" s="22">
        <f t="shared" si="35"/>
        <v>34.725520557000003</v>
      </c>
      <c r="M89" s="22">
        <f t="shared" si="25"/>
        <v>106.176561671</v>
      </c>
      <c r="N89" s="100">
        <f t="shared" si="32"/>
        <v>35.490322080650799</v>
      </c>
      <c r="O89" s="101">
        <f t="shared" si="26"/>
        <v>35.773381917697165</v>
      </c>
      <c r="P89" s="100">
        <f t="shared" si="31"/>
        <v>0.58492137057857896</v>
      </c>
      <c r="Q89" s="106">
        <f t="shared" si="33"/>
        <v>1.0478613606971621</v>
      </c>
      <c r="R89"/>
      <c r="Y89" s="22">
        <f t="shared" si="30"/>
        <v>3660.5124000000001</v>
      </c>
      <c r="Z89">
        <f t="shared" si="36"/>
        <v>36.942010791236719</v>
      </c>
      <c r="AA89" s="22">
        <f t="shared" si="24"/>
        <v>4.9128289584667302</v>
      </c>
    </row>
    <row r="90" spans="1:27">
      <c r="A90" s="17"/>
      <c r="B90" s="16" t="s">
        <v>168</v>
      </c>
      <c r="C90">
        <v>2.661</v>
      </c>
      <c r="D90">
        <v>6068</v>
      </c>
      <c r="E90">
        <v>3480</v>
      </c>
      <c r="F90" s="22">
        <f t="shared" si="34"/>
        <v>97.979680463999998</v>
      </c>
      <c r="G90" s="22">
        <f t="shared" si="35"/>
        <v>32.225774399999999</v>
      </c>
      <c r="M90" s="22">
        <f t="shared" si="25"/>
        <v>98.677323199999989</v>
      </c>
      <c r="N90" s="100">
        <f t="shared" si="32"/>
        <v>32.931210095646399</v>
      </c>
      <c r="O90" s="101">
        <f t="shared" si="26"/>
        <v>33.579838620389111</v>
      </c>
      <c r="P90" s="100">
        <f t="shared" si="31"/>
        <v>0.49763952069212103</v>
      </c>
      <c r="Q90" s="106">
        <f t="shared" si="33"/>
        <v>1.3540642203891124</v>
      </c>
      <c r="R90"/>
      <c r="Y90" s="22">
        <f t="shared" si="30"/>
        <v>3563.4764</v>
      </c>
      <c r="Z90">
        <f t="shared" si="36"/>
        <v>33.790346745982873</v>
      </c>
      <c r="AA90" s="22">
        <f t="shared" si="24"/>
        <v>2.4478866258143555</v>
      </c>
    </row>
    <row r="91" spans="1:27">
      <c r="A91" s="17"/>
      <c r="B91" s="16" t="s">
        <v>169</v>
      </c>
      <c r="C91">
        <v>2.6829999999999998</v>
      </c>
      <c r="D91">
        <v>6151</v>
      </c>
      <c r="E91">
        <v>3509</v>
      </c>
      <c r="F91" s="22">
        <f t="shared" si="34"/>
        <v>101.51077108299999</v>
      </c>
      <c r="G91" s="22">
        <f t="shared" si="35"/>
        <v>33.035996322999999</v>
      </c>
      <c r="M91" s="22">
        <f t="shared" si="25"/>
        <v>101.10798896899999</v>
      </c>
      <c r="N91" s="100">
        <f t="shared" si="32"/>
        <v>33.902613124933296</v>
      </c>
      <c r="O91" s="101">
        <f t="shared" si="26"/>
        <v>34.436068229291649</v>
      </c>
      <c r="P91" s="100">
        <f t="shared" si="31"/>
        <v>0.75102468139309564</v>
      </c>
      <c r="Q91" s="106">
        <f t="shared" si="33"/>
        <v>1.4000719062916502</v>
      </c>
      <c r="R91"/>
      <c r="Y91" s="22">
        <f t="shared" si="30"/>
        <v>3610.8528000000001</v>
      </c>
      <c r="Z91">
        <f t="shared" si="36"/>
        <v>34.981646061787615</v>
      </c>
      <c r="AA91" s="22">
        <f t="shared" si="24"/>
        <v>3.7855529060443165</v>
      </c>
    </row>
    <row r="92" spans="1:27">
      <c r="A92" s="17"/>
      <c r="B92" s="16" t="s">
        <v>170</v>
      </c>
      <c r="C92">
        <v>3.2130000000000001</v>
      </c>
      <c r="D92">
        <v>4651</v>
      </c>
      <c r="E92">
        <v>2785</v>
      </c>
      <c r="F92" s="22">
        <f t="shared" si="34"/>
        <v>69.502976613000001</v>
      </c>
      <c r="G92" s="22">
        <f t="shared" si="35"/>
        <v>24.920750925</v>
      </c>
      <c r="M92" s="22">
        <f t="shared" si="25"/>
        <v>76.762252775000007</v>
      </c>
      <c r="N92" s="100">
        <f t="shared" si="32"/>
        <v>25.097268866236302</v>
      </c>
      <c r="O92" s="101">
        <f t="shared" si="26"/>
        <v>25.275281937657056</v>
      </c>
      <c r="P92" s="100">
        <f t="shared" si="31"/>
        <v>3.1158583578302503E-2</v>
      </c>
      <c r="Q92" s="106">
        <f t="shared" si="33"/>
        <v>0.35453101265705556</v>
      </c>
      <c r="R92"/>
      <c r="Y92" s="22">
        <f t="shared" si="30"/>
        <v>2754.6527999999998</v>
      </c>
      <c r="Z92">
        <f t="shared" si="36"/>
        <v>24.380604011984207</v>
      </c>
      <c r="AA92" s="22">
        <f t="shared" si="24"/>
        <v>0.2917586876404904</v>
      </c>
    </row>
    <row r="93" spans="1:27">
      <c r="A93" s="17"/>
      <c r="B93" s="16" t="s">
        <v>171</v>
      </c>
      <c r="C93">
        <v>2.9289999999999998</v>
      </c>
      <c r="D93">
        <v>4813</v>
      </c>
      <c r="E93">
        <v>2918</v>
      </c>
      <c r="F93" s="22">
        <f t="shared" si="34"/>
        <v>67.850194200999994</v>
      </c>
      <c r="G93" s="22">
        <f t="shared" si="35"/>
        <v>24.939626595999997</v>
      </c>
      <c r="M93" s="22">
        <f t="shared" si="25"/>
        <v>76.81887978799999</v>
      </c>
      <c r="N93" s="100">
        <f>(0.2751*F93)+5.977</f>
        <v>24.642588424695099</v>
      </c>
      <c r="O93" s="101">
        <f t="shared" si="26"/>
        <v>24.693237577422693</v>
      </c>
      <c r="P93" s="100">
        <f t="shared" si="31"/>
        <v>8.8231675212157898E-2</v>
      </c>
      <c r="Q93" s="106">
        <f t="shared" si="33"/>
        <v>0.24638901857730389</v>
      </c>
      <c r="R93"/>
      <c r="Y93" s="22">
        <f t="shared" si="30"/>
        <v>2847.1223999999997</v>
      </c>
      <c r="Z93">
        <f t="shared" si="36"/>
        <v>23.742784358543968</v>
      </c>
      <c r="AA93" s="22">
        <f t="shared" si="24"/>
        <v>1.4324313413587522</v>
      </c>
    </row>
    <row r="94" spans="1:27">
      <c r="A94" s="17"/>
      <c r="B94" s="16" t="s">
        <v>172</v>
      </c>
      <c r="C94">
        <v>2.5089999999999999</v>
      </c>
      <c r="D94">
        <v>5564</v>
      </c>
      <c r="E94">
        <v>3414</v>
      </c>
      <c r="F94" s="22">
        <f t="shared" si="34"/>
        <v>77.673862863999986</v>
      </c>
      <c r="G94" s="22">
        <f t="shared" si="35"/>
        <v>29.243388564</v>
      </c>
      <c r="M94" s="22">
        <f t="shared" si="25"/>
        <v>89.730165692</v>
      </c>
      <c r="N94" s="100">
        <f t="shared" si="32"/>
        <v>27.345079673886396</v>
      </c>
      <c r="O94" s="101">
        <f t="shared" si="26"/>
        <v>27.963315034213508</v>
      </c>
      <c r="P94" s="100">
        <f t="shared" si="31"/>
        <v>3.6035766422843443</v>
      </c>
      <c r="Q94" s="106">
        <f t="shared" si="33"/>
        <v>1.2800735297864918</v>
      </c>
      <c r="R94"/>
      <c r="Y94" s="22">
        <f t="shared" si="30"/>
        <v>3275.7932000000001</v>
      </c>
      <c r="Z94">
        <f t="shared" si="36"/>
        <v>26.923630112718097</v>
      </c>
      <c r="AA94" s="22">
        <f t="shared" si="24"/>
        <v>5.3812792722938116</v>
      </c>
    </row>
    <row r="95" spans="1:27">
      <c r="A95" s="17"/>
      <c r="B95" s="16" t="s">
        <v>223</v>
      </c>
      <c r="C95">
        <v>2.2170000000000001</v>
      </c>
      <c r="D95">
        <v>6098</v>
      </c>
      <c r="E95">
        <v>3794</v>
      </c>
      <c r="F95" s="22">
        <f t="shared" si="34"/>
        <v>82.440484068000004</v>
      </c>
      <c r="G95" s="22">
        <f t="shared" si="35"/>
        <v>31.912464612000001</v>
      </c>
      <c r="M95" s="22">
        <f t="shared" si="25"/>
        <v>97.737393835999995</v>
      </c>
      <c r="N95" s="100">
        <f t="shared" si="32"/>
        <v>28.656377167106804</v>
      </c>
      <c r="O95" s="101">
        <f t="shared" si="26"/>
        <v>29.403661165900203</v>
      </c>
      <c r="P95" s="100">
        <f t="shared" si="31"/>
        <v>10.602105448791107</v>
      </c>
      <c r="Q95" s="106">
        <f t="shared" si="33"/>
        <v>2.5088034460997974</v>
      </c>
      <c r="R95"/>
      <c r="Y95" s="22">
        <f t="shared" si="30"/>
        <v>3580.6003999999998</v>
      </c>
      <c r="Z95">
        <f t="shared" si="36"/>
        <v>28.423490180672513</v>
      </c>
      <c r="AA95" s="22">
        <f t="shared" si="24"/>
        <v>12.172942582456969</v>
      </c>
    </row>
    <row r="96" spans="1:27">
      <c r="A96" s="17"/>
      <c r="B96" s="16" t="s">
        <v>224</v>
      </c>
      <c r="C96">
        <v>2.2269999999999999</v>
      </c>
      <c r="D96">
        <v>6163</v>
      </c>
      <c r="E96">
        <v>3819</v>
      </c>
      <c r="F96" s="22">
        <f t="shared" si="34"/>
        <v>84.587181162999983</v>
      </c>
      <c r="G96" s="22">
        <f t="shared" si="35"/>
        <v>32.480262746999998</v>
      </c>
      <c r="M96" s="22">
        <f t="shared" si="25"/>
        <v>99.440788240999993</v>
      </c>
      <c r="N96" s="100">
        <f t="shared" si="32"/>
        <v>29.246933537941295</v>
      </c>
      <c r="O96" s="101">
        <f t="shared" si="26"/>
        <v>30.025337596381945</v>
      </c>
      <c r="P96" s="100">
        <f t="shared" si="31"/>
        <v>10.454417774152173</v>
      </c>
      <c r="Q96" s="106">
        <f t="shared" si="33"/>
        <v>2.4549251506180525</v>
      </c>
      <c r="R96"/>
      <c r="Y96" s="22">
        <f t="shared" si="30"/>
        <v>3617.7024000000001</v>
      </c>
      <c r="Z96">
        <f t="shared" si="36"/>
        <v>29.146465248608745</v>
      </c>
      <c r="AA96" s="22">
        <f t="shared" si="24"/>
        <v>11.114205760279772</v>
      </c>
    </row>
    <row r="97" spans="1:27">
      <c r="A97" s="17"/>
      <c r="B97" s="16" t="s">
        <v>225</v>
      </c>
      <c r="C97">
        <v>2.2309999999999999</v>
      </c>
      <c r="D97">
        <v>6272</v>
      </c>
      <c r="E97">
        <v>3860</v>
      </c>
      <c r="F97" s="22">
        <f t="shared" si="34"/>
        <v>87.763042303999995</v>
      </c>
      <c r="G97" s="22">
        <f t="shared" si="35"/>
        <v>33.241007599999996</v>
      </c>
      <c r="M97" s="22">
        <f t="shared" si="25"/>
        <v>101.7230228</v>
      </c>
      <c r="N97" s="100">
        <f t="shared" si="32"/>
        <v>30.120612937830401</v>
      </c>
      <c r="O97" s="101">
        <f t="shared" si="26"/>
        <v>30.916705405723192</v>
      </c>
      <c r="P97" s="100">
        <f t="shared" si="31"/>
        <v>9.7368628476965</v>
      </c>
      <c r="Q97" s="106">
        <f t="shared" si="33"/>
        <v>2.3243021942768038</v>
      </c>
      <c r="R97"/>
      <c r="Y97" s="22">
        <f t="shared" si="30"/>
        <v>3679.9195999999997</v>
      </c>
      <c r="Z97">
        <f t="shared" si="36"/>
        <v>30.211774233557534</v>
      </c>
      <c r="AA97" s="22">
        <f t="shared" si="24"/>
        <v>9.1762547883683308</v>
      </c>
    </row>
    <row r="98" spans="1:27">
      <c r="A98" s="33" t="s">
        <v>195</v>
      </c>
      <c r="B98" s="16" t="s">
        <v>173</v>
      </c>
      <c r="C98">
        <v>4.5999999999999996</v>
      </c>
      <c r="D98">
        <v>3765</v>
      </c>
      <c r="E98">
        <v>2230</v>
      </c>
      <c r="F98" s="22">
        <f t="shared" si="34"/>
        <v>65.206034999999986</v>
      </c>
      <c r="G98" s="22">
        <f t="shared" si="35"/>
        <v>22.875340000000001</v>
      </c>
      <c r="M98" s="22">
        <f t="shared" si="25"/>
        <v>70.626020000000011</v>
      </c>
      <c r="N98" s="100">
        <f t="shared" si="32"/>
        <v>23.915180228499999</v>
      </c>
      <c r="O98" s="101">
        <f t="shared" si="26"/>
        <v>23.73191819675408</v>
      </c>
      <c r="P98" s="100">
        <f t="shared" si="31"/>
        <v>1.0812677008069269</v>
      </c>
      <c r="Q98" s="106">
        <f t="shared" si="33"/>
        <v>0.85657819675407865</v>
      </c>
      <c r="R98"/>
      <c r="Y98" s="22">
        <f t="shared" si="30"/>
        <v>2248.924</v>
      </c>
      <c r="Z98">
        <f t="shared" si="36"/>
        <v>23.265232125769597</v>
      </c>
      <c r="AA98" s="22">
        <f t="shared" si="24"/>
        <v>0.15201586973713394</v>
      </c>
    </row>
    <row r="99" spans="1:27">
      <c r="A99" s="33"/>
      <c r="B99" s="16" t="s">
        <v>174</v>
      </c>
      <c r="C99">
        <v>5.1509999999999998</v>
      </c>
      <c r="D99">
        <v>3538</v>
      </c>
      <c r="E99">
        <v>2077</v>
      </c>
      <c r="F99" s="22">
        <f t="shared" si="34"/>
        <v>64.477354043999995</v>
      </c>
      <c r="G99" s="22">
        <f t="shared" si="35"/>
        <v>22.221048278999998</v>
      </c>
      <c r="M99" s="22">
        <f t="shared" si="25"/>
        <v>68.66314483699999</v>
      </c>
      <c r="N99" s="100">
        <f t="shared" si="32"/>
        <v>23.714720097504401</v>
      </c>
      <c r="O99" s="101">
        <f t="shared" si="26"/>
        <v>23.460139276826041</v>
      </c>
      <c r="P99" s="100">
        <f t="shared" si="31"/>
        <v>2.2310555013942497</v>
      </c>
      <c r="Q99" s="106">
        <f t="shared" si="33"/>
        <v>1.2390909978260432</v>
      </c>
      <c r="R99"/>
      <c r="Y99" s="22">
        <f t="shared" si="30"/>
        <v>2119.3523999999998</v>
      </c>
      <c r="Z99">
        <f t="shared" si="36"/>
        <v>23.136512820832046</v>
      </c>
      <c r="AA99" s="22">
        <f t="shared" si="24"/>
        <v>0.83807532735176105</v>
      </c>
    </row>
    <row r="100" spans="1:27">
      <c r="A100" s="33"/>
      <c r="B100" s="16" t="s">
        <v>175</v>
      </c>
      <c r="C100">
        <v>5.9640000000000004</v>
      </c>
      <c r="D100">
        <v>3235</v>
      </c>
      <c r="E100">
        <v>1845</v>
      </c>
      <c r="F100" s="22">
        <f t="shared" si="34"/>
        <v>62.414601900000008</v>
      </c>
      <c r="G100" s="22">
        <f t="shared" si="35"/>
        <v>20.3016051</v>
      </c>
      <c r="M100" s="22">
        <f t="shared" si="25"/>
        <v>62.904815299999996</v>
      </c>
      <c r="N100" s="100">
        <f t="shared" si="32"/>
        <v>23.147256982690003</v>
      </c>
      <c r="O100" s="101">
        <f t="shared" si="26"/>
        <v>22.673801129913983</v>
      </c>
      <c r="P100" s="100">
        <f t="shared" si="31"/>
        <v>8.0977346374571582</v>
      </c>
      <c r="Q100" s="106">
        <f t="shared" si="33"/>
        <v>2.372196029913983</v>
      </c>
      <c r="R100"/>
      <c r="Y100" s="22">
        <f t="shared" si="30"/>
        <v>1946.4</v>
      </c>
      <c r="Z100">
        <f t="shared" si="36"/>
        <v>22.594452733440004</v>
      </c>
      <c r="AA100" s="22">
        <f t="shared" si="24"/>
        <v>5.2571502701714294</v>
      </c>
    </row>
    <row r="101" spans="1:27">
      <c r="A101" s="33"/>
      <c r="B101" s="16" t="s">
        <v>176</v>
      </c>
      <c r="C101">
        <v>6.5640000000000001</v>
      </c>
      <c r="D101">
        <v>3026</v>
      </c>
      <c r="E101">
        <v>1711</v>
      </c>
      <c r="F101" s="22">
        <f t="shared" si="34"/>
        <v>60.104421263999996</v>
      </c>
      <c r="G101" s="22">
        <f t="shared" si="35"/>
        <v>19.216247844000002</v>
      </c>
      <c r="M101" s="22">
        <f t="shared" si="25"/>
        <v>59.648743532000005</v>
      </c>
      <c r="N101" s="100">
        <f t="shared" si="32"/>
        <v>22.511726289726401</v>
      </c>
      <c r="O101" s="101">
        <f t="shared" si="26"/>
        <v>21.761681041372825</v>
      </c>
      <c r="P101" s="100">
        <f t="shared" si="31"/>
        <v>10.860178186247282</v>
      </c>
      <c r="Q101" s="106">
        <f t="shared" si="33"/>
        <v>2.545433197372823</v>
      </c>
      <c r="R101"/>
      <c r="Y101" s="22">
        <f t="shared" si="30"/>
        <v>1827.1027999999999</v>
      </c>
      <c r="Z101">
        <f t="shared" si="36"/>
        <v>21.912631668564099</v>
      </c>
      <c r="AA101" s="22">
        <f t="shared" si="24"/>
        <v>7.270485729370912</v>
      </c>
    </row>
    <row r="102" spans="1:27">
      <c r="A102" s="33"/>
      <c r="B102" s="16" t="s">
        <v>177</v>
      </c>
      <c r="C102">
        <v>7.1680000000000001</v>
      </c>
      <c r="D102">
        <v>2771</v>
      </c>
      <c r="E102">
        <v>1541</v>
      </c>
      <c r="F102" s="22">
        <f t="shared" si="34"/>
        <v>55.039065088000001</v>
      </c>
      <c r="G102" s="22">
        <f t="shared" si="35"/>
        <v>17.021713408</v>
      </c>
      <c r="M102" s="22">
        <f t="shared" si="25"/>
        <v>53.065140224000004</v>
      </c>
      <c r="N102" s="100">
        <f t="shared" si="32"/>
        <v>21.1182468057088</v>
      </c>
      <c r="O102" s="101">
        <f t="shared" si="26"/>
        <v>19.632516928591414</v>
      </c>
      <c r="P102" s="100">
        <f t="shared" si="31"/>
        <v>16.781585878543606</v>
      </c>
      <c r="Q102" s="106">
        <f t="shared" si="33"/>
        <v>2.6108035205914142</v>
      </c>
      <c r="R102"/>
      <c r="Y102" s="22">
        <f t="shared" si="30"/>
        <v>1681.5488</v>
      </c>
      <c r="Z102">
        <f t="shared" si="36"/>
        <v>20.268282437089361</v>
      </c>
      <c r="AA102" s="22">
        <f t="shared" si="24"/>
        <v>10.540210460642237</v>
      </c>
    </row>
    <row r="103" spans="1:27">
      <c r="A103" s="33"/>
      <c r="B103" s="16" t="s">
        <v>178</v>
      </c>
      <c r="C103">
        <v>7.3209999999999997</v>
      </c>
      <c r="D103">
        <v>2672</v>
      </c>
      <c r="E103">
        <v>1504</v>
      </c>
      <c r="F103" s="22">
        <f t="shared" si="34"/>
        <v>52.268894463999999</v>
      </c>
      <c r="G103" s="22">
        <f t="shared" si="35"/>
        <v>16.560219136000001</v>
      </c>
      <c r="M103" s="22">
        <f t="shared" si="25"/>
        <v>51.680657408000002</v>
      </c>
      <c r="N103" s="100">
        <f t="shared" si="32"/>
        <v>20.3561728670464</v>
      </c>
      <c r="O103" s="101">
        <f t="shared" si="26"/>
        <v>18.383612473649748</v>
      </c>
      <c r="P103" s="100">
        <f t="shared" si="31"/>
        <v>14.409264728245081</v>
      </c>
      <c r="Q103" s="106">
        <f t="shared" si="33"/>
        <v>1.8233933376497475</v>
      </c>
      <c r="R103"/>
      <c r="Y103" s="22">
        <f t="shared" si="30"/>
        <v>1625.0396000000001</v>
      </c>
      <c r="Z103">
        <f t="shared" si="36"/>
        <v>19.332957849180502</v>
      </c>
      <c r="AA103" s="22">
        <f t="shared" si="24"/>
        <v>7.6880799715698647</v>
      </c>
    </row>
    <row r="104" spans="1:27">
      <c r="A104" s="34" t="s">
        <v>194</v>
      </c>
      <c r="B104" s="30" t="s">
        <v>186</v>
      </c>
      <c r="C104">
        <v>2.282</v>
      </c>
      <c r="D104">
        <v>5788</v>
      </c>
      <c r="E104">
        <v>3588</v>
      </c>
      <c r="F104" s="22">
        <f t="shared" si="34"/>
        <v>76.44915420800001</v>
      </c>
      <c r="G104" s="22">
        <f t="shared" si="35"/>
        <v>29.377883808000004</v>
      </c>
      <c r="M104" s="22">
        <f t="shared" si="25"/>
        <v>90.133651424000007</v>
      </c>
      <c r="N104" s="100">
        <f t="shared" si="32"/>
        <v>27.008162322620805</v>
      </c>
      <c r="O104" s="101">
        <f t="shared" si="26"/>
        <v>27.578960015372644</v>
      </c>
      <c r="P104" s="100">
        <f t="shared" si="31"/>
        <v>5.6155799182677946</v>
      </c>
      <c r="Q104" s="106">
        <f t="shared" si="33"/>
        <v>1.7989237926273596</v>
      </c>
      <c r="R104"/>
      <c r="Y104" s="22">
        <f t="shared" si="30"/>
        <v>3403.6523999999999</v>
      </c>
      <c r="Z104">
        <f t="shared" si="36"/>
        <v>26.436626924178785</v>
      </c>
      <c r="AA104" s="22">
        <f t="shared" si="24"/>
        <v>8.6509920566257019</v>
      </c>
    </row>
    <row r="105" spans="1:27">
      <c r="A105" s="34"/>
      <c r="B105" s="30" t="s">
        <v>187</v>
      </c>
      <c r="C105">
        <v>2.423</v>
      </c>
      <c r="D105">
        <v>5852</v>
      </c>
      <c r="E105">
        <v>3587</v>
      </c>
      <c r="F105" s="22">
        <f t="shared" si="34"/>
        <v>82.977825392</v>
      </c>
      <c r="G105" s="22">
        <f t="shared" si="35"/>
        <v>31.175696686999999</v>
      </c>
      <c r="M105" s="22">
        <f t="shared" si="25"/>
        <v>95.527090060999996</v>
      </c>
      <c r="N105" s="100">
        <f t="shared" si="32"/>
        <v>28.804199765339202</v>
      </c>
      <c r="O105" s="101">
        <f t="shared" si="26"/>
        <v>29.560779302703097</v>
      </c>
      <c r="P105" s="100">
        <f t="shared" si="31"/>
        <v>5.6239976494466326</v>
      </c>
      <c r="Q105" s="106">
        <f t="shared" si="33"/>
        <v>1.614917384296902</v>
      </c>
      <c r="R105"/>
      <c r="Y105" s="22">
        <f t="shared" si="30"/>
        <v>3440.1835999999998</v>
      </c>
      <c r="Z105">
        <f t="shared" si="36"/>
        <v>28.675873537740809</v>
      </c>
      <c r="AA105" s="22">
        <f t="shared" si="24"/>
        <v>6.24911577757213</v>
      </c>
    </row>
    <row r="106" spans="1:27">
      <c r="A106" s="34"/>
      <c r="B106" s="30" t="s">
        <v>188</v>
      </c>
      <c r="C106">
        <v>2.4710000000000001</v>
      </c>
      <c r="D106">
        <v>5842</v>
      </c>
      <c r="E106">
        <v>3588</v>
      </c>
      <c r="F106" s="22">
        <f t="shared" si="34"/>
        <v>84.332670043999997</v>
      </c>
      <c r="G106" s="22">
        <f t="shared" si="35"/>
        <v>31.811021424000003</v>
      </c>
      <c r="M106" s="22">
        <f t="shared" si="25"/>
        <v>97.43306427200001</v>
      </c>
      <c r="N106" s="100">
        <f t="shared" si="32"/>
        <v>29.176917529104401</v>
      </c>
      <c r="O106" s="101">
        <f t="shared" si="26"/>
        <v>29.95246159613022</v>
      </c>
      <c r="P106" s="100">
        <f t="shared" si="31"/>
        <v>6.9385033291041838</v>
      </c>
      <c r="Q106" s="106">
        <f t="shared" si="33"/>
        <v>1.858559827869783</v>
      </c>
      <c r="R106"/>
      <c r="Y106" s="22">
        <f t="shared" si="30"/>
        <v>3434.4755999999998</v>
      </c>
      <c r="Z106">
        <f t="shared" si="36"/>
        <v>29.146983560725534</v>
      </c>
      <c r="AA106" s="22">
        <f t="shared" si="24"/>
        <v>7.0970977369599995</v>
      </c>
    </row>
    <row r="107" spans="1:27">
      <c r="A107" s="34"/>
      <c r="B107" s="30" t="s">
        <v>189</v>
      </c>
      <c r="C107">
        <v>2.355</v>
      </c>
      <c r="D107">
        <v>6229</v>
      </c>
      <c r="E107">
        <v>3800</v>
      </c>
      <c r="F107" s="22">
        <f t="shared" si="34"/>
        <v>91.375038554999989</v>
      </c>
      <c r="G107" s="22">
        <f t="shared" si="35"/>
        <v>34.0062</v>
      </c>
      <c r="M107" s="22">
        <f t="shared" si="25"/>
        <v>104.01859999999999</v>
      </c>
      <c r="N107" s="100">
        <f t="shared" si="32"/>
        <v>31.1142731064805</v>
      </c>
      <c r="O107" s="101">
        <f t="shared" si="26"/>
        <v>31.892091070859834</v>
      </c>
      <c r="P107" s="100">
        <f t="shared" si="31"/>
        <v>8.3632411574613457</v>
      </c>
      <c r="Q107" s="106">
        <f t="shared" si="33"/>
        <v>2.1141089291401656</v>
      </c>
      <c r="R107"/>
      <c r="Y107" s="22">
        <f t="shared" si="30"/>
        <v>3655.3751999999999</v>
      </c>
      <c r="Z107">
        <f t="shared" si="36"/>
        <v>31.466963293285218</v>
      </c>
      <c r="AA107" s="22">
        <f t="shared" si="24"/>
        <v>6.4477230527277296</v>
      </c>
    </row>
    <row r="108" spans="1:27">
      <c r="A108" s="34"/>
      <c r="B108" s="30" t="s">
        <v>190</v>
      </c>
      <c r="C108">
        <v>2.552</v>
      </c>
      <c r="D108">
        <v>6194</v>
      </c>
      <c r="E108">
        <v>3646</v>
      </c>
      <c r="F108" s="22">
        <f t="shared" si="34"/>
        <v>97.909103071999994</v>
      </c>
      <c r="G108" s="22">
        <f t="shared" si="35"/>
        <v>33.924542432000003</v>
      </c>
      <c r="M108" s="22">
        <f t="shared" si="25"/>
        <v>103.773627296</v>
      </c>
      <c r="N108" s="100">
        <f t="shared" si="32"/>
        <v>32.911794255107196</v>
      </c>
      <c r="O108" s="101">
        <f t="shared" si="26"/>
        <v>33.562411959289122</v>
      </c>
      <c r="P108" s="100">
        <f t="shared" si="31"/>
        <v>1.0256588697997031</v>
      </c>
      <c r="Q108" s="106">
        <f t="shared" si="33"/>
        <v>0.36213047271088072</v>
      </c>
      <c r="R108"/>
      <c r="Y108" s="22">
        <f t="shared" si="30"/>
        <v>3635.3971999999999</v>
      </c>
      <c r="Z108">
        <f t="shared" si="36"/>
        <v>33.727519870111522</v>
      </c>
      <c r="AA108" s="22">
        <f t="shared" si="24"/>
        <v>3.8817889893100366E-2</v>
      </c>
    </row>
    <row r="109" spans="1:27">
      <c r="A109" s="34"/>
      <c r="B109" s="30" t="s">
        <v>191</v>
      </c>
      <c r="C109">
        <v>2.6819999999999999</v>
      </c>
      <c r="D109">
        <v>6310</v>
      </c>
      <c r="E109">
        <v>3633</v>
      </c>
      <c r="F109" s="22">
        <f t="shared" si="34"/>
        <v>106.78678020000001</v>
      </c>
      <c r="G109" s="22">
        <f t="shared" si="35"/>
        <v>35.398883898000001</v>
      </c>
      <c r="M109" s="22">
        <f t="shared" si="25"/>
        <v>108.196651694</v>
      </c>
      <c r="N109" s="100">
        <f t="shared" si="32"/>
        <v>35.354043233020008</v>
      </c>
      <c r="O109" s="101">
        <f t="shared" si="26"/>
        <v>35.661452792563225</v>
      </c>
      <c r="P109" s="100">
        <f t="shared" si="31"/>
        <v>2.0106852358480159E-3</v>
      </c>
      <c r="Q109" s="106">
        <f t="shared" si="33"/>
        <v>0.26256889456322341</v>
      </c>
      <c r="R109"/>
      <c r="Y109" s="22">
        <f t="shared" si="30"/>
        <v>3701.61</v>
      </c>
      <c r="Z109">
        <f t="shared" si="36"/>
        <v>36.748540300012202</v>
      </c>
      <c r="AA109" s="22">
        <f t="shared" si="24"/>
        <v>1.8215724034925194</v>
      </c>
    </row>
    <row r="110" spans="1:27">
      <c r="A110" s="34"/>
      <c r="B110" s="30" t="s">
        <v>192</v>
      </c>
      <c r="C110">
        <v>2.8809999999999998</v>
      </c>
      <c r="D110">
        <v>6412</v>
      </c>
      <c r="E110">
        <v>3623</v>
      </c>
      <c r="F110" s="22">
        <f t="shared" si="34"/>
        <v>118.44869646399998</v>
      </c>
      <c r="G110" s="22">
        <f t="shared" si="35"/>
        <v>37.816377648999996</v>
      </c>
      <c r="M110" s="22">
        <f t="shared" si="25"/>
        <v>115.44913294699998</v>
      </c>
      <c r="N110" s="100">
        <f t="shared" si="32"/>
        <v>38.562236397246394</v>
      </c>
      <c r="O110" s="101">
        <f t="shared" si="26"/>
        <v>38.168022520637962</v>
      </c>
      <c r="P110" s="100">
        <f t="shared" si="31"/>
        <v>0.55630527233568416</v>
      </c>
      <c r="Q110" s="106">
        <f t="shared" si="33"/>
        <v>0.35164487163796565</v>
      </c>
      <c r="R110"/>
      <c r="Y110" s="22">
        <f t="shared" si="30"/>
        <v>3759.8316</v>
      </c>
      <c r="Z110">
        <f t="shared" si="36"/>
        <v>40.726777275493006</v>
      </c>
      <c r="AA110" s="22">
        <f t="shared" si="24"/>
        <v>8.4704259858906532</v>
      </c>
    </row>
    <row r="111" spans="1:27">
      <c r="A111" s="34"/>
      <c r="B111" s="30" t="s">
        <v>193</v>
      </c>
      <c r="C111">
        <v>2.923</v>
      </c>
      <c r="D111">
        <v>6513</v>
      </c>
      <c r="E111">
        <v>3627</v>
      </c>
      <c r="F111" s="22">
        <f t="shared" si="34"/>
        <v>123.99123098700001</v>
      </c>
      <c r="G111" s="22">
        <f t="shared" si="35"/>
        <v>38.452442067</v>
      </c>
      <c r="M111" s="22">
        <f t="shared" si="25"/>
        <v>117.35732620100001</v>
      </c>
      <c r="N111" s="100">
        <f t="shared" si="32"/>
        <v>40.086987644523703</v>
      </c>
      <c r="O111" s="101">
        <f t="shared" si="26"/>
        <v>39.273979081710706</v>
      </c>
      <c r="P111" s="100">
        <f t="shared" si="31"/>
        <v>2.671739245002295</v>
      </c>
      <c r="Q111" s="106">
        <f t="shared" si="33"/>
        <v>0.82153701471070661</v>
      </c>
      <c r="R111"/>
      <c r="Y111" s="22">
        <f t="shared" si="30"/>
        <v>3817.4823999999999</v>
      </c>
      <c r="Z111">
        <f t="shared" si="36"/>
        <v>42.597381388607424</v>
      </c>
      <c r="AA111" s="22">
        <f t="shared" si="24"/>
        <v>17.180521979807413</v>
      </c>
    </row>
    <row r="112" spans="1:27">
      <c r="A112" s="20"/>
      <c r="B112" s="37" t="s">
        <v>203</v>
      </c>
      <c r="C112">
        <v>2.6989999999999998</v>
      </c>
      <c r="D112">
        <v>6695</v>
      </c>
      <c r="E112">
        <v>3777</v>
      </c>
      <c r="F112" s="22">
        <f t="shared" si="34"/>
        <v>120.977344475</v>
      </c>
      <c r="G112" s="22">
        <f t="shared" si="35"/>
        <v>38.503202570999996</v>
      </c>
      <c r="M112" s="22">
        <f t="shared" si="25"/>
        <v>117.50960771299998</v>
      </c>
      <c r="N112" s="100">
        <f t="shared" si="32"/>
        <v>39.257867465072493</v>
      </c>
      <c r="O112" s="101">
        <f t="shared" si="26"/>
        <v>38.678870021518634</v>
      </c>
      <c r="P112" s="100">
        <f t="shared" si="31"/>
        <v>0.56951910234545433</v>
      </c>
      <c r="Q112" s="106">
        <f t="shared" si="33"/>
        <v>0.17566745051863819</v>
      </c>
      <c r="R112"/>
      <c r="Y112" s="22">
        <f t="shared" si="30"/>
        <v>3921.3679999999999</v>
      </c>
      <c r="Z112">
        <f t="shared" si="36"/>
        <v>41.50286574985337</v>
      </c>
      <c r="AA112" s="22">
        <f t="shared" si="24"/>
        <v>8.9979791865687329</v>
      </c>
    </row>
    <row r="113" spans="1:27">
      <c r="A113" s="20"/>
      <c r="B113" s="37" t="s">
        <v>204</v>
      </c>
      <c r="C113">
        <v>2.7269999999999999</v>
      </c>
      <c r="D113">
        <v>6676</v>
      </c>
      <c r="E113">
        <v>3754</v>
      </c>
      <c r="F113" s="22">
        <f t="shared" si="34"/>
        <v>121.539597552</v>
      </c>
      <c r="G113" s="22">
        <f t="shared" si="35"/>
        <v>38.430291132000001</v>
      </c>
      <c r="M113" s="22">
        <f t="shared" si="25"/>
        <v>117.29087339599999</v>
      </c>
      <c r="N113" s="100">
        <f t="shared" si="32"/>
        <v>39.412543286555206</v>
      </c>
      <c r="O113" s="101">
        <f t="shared" si="26"/>
        <v>38.791006952348212</v>
      </c>
      <c r="P113" s="100">
        <f t="shared" si="31"/>
        <v>0.9648192951283423</v>
      </c>
      <c r="Q113" s="106">
        <f t="shared" si="33"/>
        <v>0.36071582034821148</v>
      </c>
      <c r="R113"/>
      <c r="Y113" s="22">
        <f t="shared" si="30"/>
        <v>3910.5227999999997</v>
      </c>
      <c r="Z113">
        <f t="shared" si="36"/>
        <v>41.701798228535196</v>
      </c>
      <c r="AA113" s="22">
        <f t="shared" si="24"/>
        <v>10.702758682680145</v>
      </c>
    </row>
    <row r="114" spans="1:27">
      <c r="A114" s="20"/>
      <c r="B114" s="37" t="s">
        <v>205</v>
      </c>
      <c r="C114">
        <v>2.76</v>
      </c>
      <c r="D114">
        <v>6683</v>
      </c>
      <c r="E114">
        <v>3749</v>
      </c>
      <c r="F114" s="22">
        <f t="shared" si="34"/>
        <v>123.26846963999999</v>
      </c>
      <c r="G114" s="22">
        <f t="shared" si="35"/>
        <v>38.791802759999996</v>
      </c>
      <c r="M114" s="22">
        <f t="shared" si="25"/>
        <v>118.37540827999999</v>
      </c>
      <c r="N114" s="100">
        <f t="shared" si="32"/>
        <v>39.888155997964006</v>
      </c>
      <c r="O114" s="101">
        <f t="shared" si="26"/>
        <v>39.132594859734994</v>
      </c>
      <c r="P114" s="100">
        <f t="shared" si="31"/>
        <v>1.2019904223941691</v>
      </c>
      <c r="Q114" s="106">
        <f t="shared" si="33"/>
        <v>0.34079209973499758</v>
      </c>
      <c r="R114"/>
      <c r="Y114" s="22">
        <f t="shared" si="30"/>
        <v>3914.5183999999999</v>
      </c>
      <c r="Z114">
        <f t="shared" si="36"/>
        <v>42.292733878870422</v>
      </c>
      <c r="AA114" s="22">
        <f t="shared" si="24"/>
        <v>12.256518699075333</v>
      </c>
    </row>
    <row r="115" spans="1:27">
      <c r="A115" s="20"/>
      <c r="B115" s="37" t="s">
        <v>206</v>
      </c>
      <c r="C115">
        <v>2.7770000000000001</v>
      </c>
      <c r="D115">
        <v>6697</v>
      </c>
      <c r="E115">
        <v>3751</v>
      </c>
      <c r="F115" s="22">
        <f t="shared" si="34"/>
        <v>124.547919593</v>
      </c>
      <c r="G115" s="22">
        <f t="shared" si="35"/>
        <v>39.072392777000005</v>
      </c>
      <c r="M115" s="22">
        <f t="shared" si="25"/>
        <v>119.21717833100001</v>
      </c>
      <c r="N115" s="100">
        <f t="shared" si="32"/>
        <v>40.240132680034307</v>
      </c>
      <c r="O115" s="101">
        <f t="shared" si="26"/>
        <v>39.382315975356946</v>
      </c>
      <c r="P115" s="100">
        <f t="shared" si="31"/>
        <v>1.3636164811385623</v>
      </c>
      <c r="Q115" s="106">
        <f t="shared" si="33"/>
        <v>0.30992319835694104</v>
      </c>
      <c r="R115"/>
      <c r="Y115" s="22">
        <f t="shared" si="30"/>
        <v>3922.5095999999999</v>
      </c>
      <c r="Z115">
        <f t="shared" si="36"/>
        <v>42.727148497929932</v>
      </c>
      <c r="AA115" s="22">
        <f t="shared" si="24"/>
        <v>13.35723937967003</v>
      </c>
    </row>
    <row r="116" spans="1:27">
      <c r="A116" s="20"/>
      <c r="B116" s="37" t="s">
        <v>207</v>
      </c>
      <c r="C116">
        <v>2.802</v>
      </c>
      <c r="D116">
        <v>6723</v>
      </c>
      <c r="E116">
        <v>3766</v>
      </c>
      <c r="F116" s="22">
        <f t="shared" si="34"/>
        <v>126.64683865800001</v>
      </c>
      <c r="G116" s="22">
        <f t="shared" si="35"/>
        <v>39.740082311999998</v>
      </c>
      <c r="M116" s="22">
        <f t="shared" si="25"/>
        <v>121.220246936</v>
      </c>
      <c r="N116" s="100">
        <f t="shared" si="32"/>
        <v>40.817545314815803</v>
      </c>
      <c r="O116" s="101">
        <f t="shared" si="26"/>
        <v>39.786476001666259</v>
      </c>
      <c r="P116" s="100">
        <f t="shared" si="31"/>
        <v>1.1609265224368499</v>
      </c>
      <c r="Q116" s="106">
        <f t="shared" si="33"/>
        <v>4.6393689666260229E-2</v>
      </c>
      <c r="R116"/>
      <c r="Y116" s="22">
        <f t="shared" si="30"/>
        <v>3937.3503999999998</v>
      </c>
      <c r="Z116">
        <f t="shared" si="36"/>
        <v>43.438644339009201</v>
      </c>
      <c r="AA116" s="22">
        <f t="shared" si="24"/>
        <v>13.679361067634423</v>
      </c>
    </row>
    <row r="117" spans="1:27">
      <c r="A117" s="20"/>
      <c r="B117" s="37" t="s">
        <v>208</v>
      </c>
      <c r="C117">
        <v>2.8420000000000001</v>
      </c>
      <c r="D117">
        <v>6721</v>
      </c>
      <c r="E117">
        <v>3757</v>
      </c>
      <c r="F117" s="22">
        <f t="shared" si="34"/>
        <v>128.378372122</v>
      </c>
      <c r="G117" s="22">
        <f t="shared" si="35"/>
        <v>40.114969258000002</v>
      </c>
      <c r="M117" s="22">
        <f t="shared" si="25"/>
        <v>122.34490777400001</v>
      </c>
      <c r="N117" s="100">
        <f>(0.2751*F117)+5.977</f>
        <v>41.293890170762197</v>
      </c>
      <c r="O117" s="101">
        <f t="shared" si="26"/>
        <v>40.114883131773297</v>
      </c>
      <c r="P117" s="100">
        <f t="shared" si="31"/>
        <v>1.3898545185480458</v>
      </c>
      <c r="Q117" s="106">
        <f t="shared" si="33"/>
        <v>8.6126226705118825E-5</v>
      </c>
      <c r="R117"/>
      <c r="Y117" s="22">
        <f t="shared" si="30"/>
        <v>3936.2087999999999</v>
      </c>
      <c r="Z117">
        <f t="shared" si="36"/>
        <v>44.033208276275118</v>
      </c>
      <c r="AA117" s="22">
        <f t="shared" si="24"/>
        <v>15.352597004333548</v>
      </c>
    </row>
    <row r="118" spans="1:27">
      <c r="A118" s="20"/>
      <c r="B118" s="37" t="s">
        <v>209</v>
      </c>
      <c r="C118">
        <v>2.8610000000000002</v>
      </c>
      <c r="D118">
        <v>6739</v>
      </c>
      <c r="E118">
        <v>3751</v>
      </c>
      <c r="F118" s="22">
        <f t="shared" si="34"/>
        <v>129.92980018100002</v>
      </c>
      <c r="G118" s="22">
        <f t="shared" si="35"/>
        <v>40.254272861000004</v>
      </c>
      <c r="M118" s="22">
        <f t="shared" si="25"/>
        <v>122.76281858300001</v>
      </c>
      <c r="N118" s="100">
        <f t="shared" ref="N118:N146" si="37">(0.2751*F118)+5.977</f>
        <v>41.720688029793109</v>
      </c>
      <c r="O118" s="101">
        <f t="shared" si="26"/>
        <v>40.405390296210498</v>
      </c>
      <c r="P118" s="100">
        <f t="shared" si="31"/>
        <v>2.1503734472665115</v>
      </c>
      <c r="Q118" s="106">
        <f t="shared" si="33"/>
        <v>0.15111743521049448</v>
      </c>
      <c r="R118"/>
      <c r="Y118" s="22">
        <f t="shared" si="30"/>
        <v>3946.4832000000001</v>
      </c>
      <c r="Z118">
        <f t="shared" si="36"/>
        <v>44.559301522591099</v>
      </c>
      <c r="AA118" s="22">
        <f t="shared" si="24"/>
        <v>18.533271777120813</v>
      </c>
    </row>
    <row r="119" spans="1:27">
      <c r="A119" s="20"/>
      <c r="B119" s="37" t="s">
        <v>210</v>
      </c>
      <c r="C119">
        <v>2.778</v>
      </c>
      <c r="D119">
        <v>6787</v>
      </c>
      <c r="E119">
        <v>3800</v>
      </c>
      <c r="F119" s="22">
        <f t="shared" si="34"/>
        <v>127.964039082</v>
      </c>
      <c r="G119" s="22">
        <f t="shared" si="35"/>
        <v>40.114319999999999</v>
      </c>
      <c r="M119" s="22">
        <f t="shared" si="25"/>
        <v>122.34296000000001</v>
      </c>
      <c r="N119" s="100">
        <f t="shared" si="37"/>
        <v>41.179907151458195</v>
      </c>
      <c r="O119" s="101">
        <f t="shared" si="26"/>
        <v>40.036704582088149</v>
      </c>
      <c r="P119" s="100">
        <f t="shared" si="31"/>
        <v>1.1354759773527925</v>
      </c>
      <c r="Q119" s="106">
        <f t="shared" si="33"/>
        <v>7.761541791185067E-2</v>
      </c>
      <c r="R119"/>
      <c r="Y119" s="22">
        <f t="shared" si="30"/>
        <v>3973.8815999999997</v>
      </c>
      <c r="Z119">
        <f t="shared" si="36"/>
        <v>43.869439748933949</v>
      </c>
      <c r="AA119" s="22">
        <f t="shared" si="24"/>
        <v>14.100924328833772</v>
      </c>
    </row>
    <row r="120" spans="1:27">
      <c r="A120" s="20"/>
      <c r="B120" s="37" t="s">
        <v>211</v>
      </c>
      <c r="C120">
        <v>2.8069999999999999</v>
      </c>
      <c r="D120">
        <v>6808</v>
      </c>
      <c r="E120">
        <v>3801</v>
      </c>
      <c r="F120" s="22">
        <f t="shared" ref="F120:F138" si="38">(C120*D120^2)/1000000</f>
        <v>130.10126124799999</v>
      </c>
      <c r="G120" s="22">
        <f t="shared" ref="G120:G138" si="39">(C120*E120^2)/1000000</f>
        <v>40.554416007</v>
      </c>
      <c r="M120" s="22">
        <f t="shared" si="25"/>
        <v>123.663248021</v>
      </c>
      <c r="N120" s="100">
        <f t="shared" si="37"/>
        <v>41.767856969324797</v>
      </c>
      <c r="O120" s="101">
        <f t="shared" si="26"/>
        <v>40.437283524831017</v>
      </c>
      <c r="P120" s="100">
        <f t="shared" si="31"/>
        <v>1.4724389690477273</v>
      </c>
      <c r="Q120" s="106">
        <f t="shared" si="33"/>
        <v>0.11713248216898364</v>
      </c>
      <c r="R120"/>
      <c r="Y120" s="22">
        <f t="shared" si="30"/>
        <v>3985.8683999999998</v>
      </c>
      <c r="Z120">
        <f t="shared" si="36"/>
        <v>44.595221354246796</v>
      </c>
      <c r="AA120" s="22">
        <f t="shared" si="24"/>
        <v>16.328107854338295</v>
      </c>
    </row>
    <row r="121" spans="1:27">
      <c r="A121" s="20"/>
      <c r="B121" s="37" t="s">
        <v>212</v>
      </c>
      <c r="C121">
        <v>2.82</v>
      </c>
      <c r="D121">
        <v>6783</v>
      </c>
      <c r="E121">
        <v>3780</v>
      </c>
      <c r="F121" s="22">
        <f t="shared" si="38"/>
        <v>129.74563097999999</v>
      </c>
      <c r="G121" s="22">
        <f t="shared" si="39"/>
        <v>40.293287999999997</v>
      </c>
      <c r="M121" s="22">
        <f t="shared" si="25"/>
        <v>122.879864</v>
      </c>
      <c r="N121" s="100">
        <f t="shared" si="37"/>
        <v>41.670023082597993</v>
      </c>
      <c r="O121" s="101">
        <f t="shared" si="26"/>
        <v>40.371086329263306</v>
      </c>
      <c r="P121" s="100">
        <f t="shared" si="31"/>
        <v>1.8953994876561109</v>
      </c>
      <c r="Q121" s="106">
        <f t="shared" si="33"/>
        <v>7.779832926330954E-2</v>
      </c>
      <c r="R121"/>
      <c r="Y121" s="22">
        <f t="shared" si="30"/>
        <v>3971.5983999999999</v>
      </c>
      <c r="Z121">
        <f t="shared" si="36"/>
        <v>44.481534659488815</v>
      </c>
      <c r="AA121" s="22">
        <f t="shared" si="24"/>
        <v>17.541410080719249</v>
      </c>
    </row>
    <row r="122" spans="1:27">
      <c r="A122" s="20"/>
      <c r="B122" s="37" t="s">
        <v>213</v>
      </c>
      <c r="C122">
        <v>2.827</v>
      </c>
      <c r="D122">
        <v>6787</v>
      </c>
      <c r="E122">
        <v>3781</v>
      </c>
      <c r="F122" s="22">
        <f t="shared" si="38"/>
        <v>130.22114416299999</v>
      </c>
      <c r="G122" s="22">
        <f t="shared" si="39"/>
        <v>40.414681747000003</v>
      </c>
      <c r="M122" s="22">
        <f t="shared" si="25"/>
        <v>123.24404524100001</v>
      </c>
      <c r="N122" s="100">
        <f t="shared" si="37"/>
        <v>41.800836759241292</v>
      </c>
      <c r="O122" s="101">
        <f t="shared" si="26"/>
        <v>40.459557816717165</v>
      </c>
      <c r="P122" s="100">
        <f t="shared" si="31"/>
        <v>1.921425717961649</v>
      </c>
      <c r="Q122" s="106">
        <f t="shared" si="33"/>
        <v>4.4876069717162181E-2</v>
      </c>
      <c r="R122"/>
      <c r="Y122" s="22">
        <f t="shared" si="30"/>
        <v>3973.8815999999997</v>
      </c>
      <c r="Z122">
        <f t="shared" si="36"/>
        <v>44.643234762504058</v>
      </c>
      <c r="AA122" s="22">
        <f t="shared" si="24"/>
        <v>17.880660604928433</v>
      </c>
    </row>
    <row r="123" spans="1:27">
      <c r="A123" s="20"/>
      <c r="B123" s="37" t="s">
        <v>214</v>
      </c>
      <c r="C123">
        <v>2.7850000000000001</v>
      </c>
      <c r="D123">
        <v>6898</v>
      </c>
      <c r="E123">
        <v>3850</v>
      </c>
      <c r="F123" s="22">
        <f t="shared" si="38"/>
        <v>132.51699514000001</v>
      </c>
      <c r="G123" s="22">
        <f t="shared" si="39"/>
        <v>41.280662499999998</v>
      </c>
      <c r="M123" s="22">
        <f t="shared" si="25"/>
        <v>125.84198749999999</v>
      </c>
      <c r="N123" s="100">
        <f t="shared" si="37"/>
        <v>42.432425363014005</v>
      </c>
      <c r="O123" s="101">
        <f t="shared" si="26"/>
        <v>40.88221646384828</v>
      </c>
      <c r="P123" s="100">
        <f t="shared" si="31"/>
        <v>1.3265576926182214</v>
      </c>
      <c r="Q123" s="106">
        <f t="shared" si="33"/>
        <v>0.39844603615171792</v>
      </c>
      <c r="R123"/>
      <c r="Y123" s="22">
        <f t="shared" si="30"/>
        <v>4037.2403999999997</v>
      </c>
      <c r="Z123">
        <f t="shared" si="36"/>
        <v>45.393578481987163</v>
      </c>
      <c r="AA123" s="22">
        <f t="shared" si="24"/>
        <v>16.916077874885442</v>
      </c>
    </row>
    <row r="124" spans="1:27">
      <c r="A124" s="20"/>
      <c r="B124" s="37" t="s">
        <v>215</v>
      </c>
      <c r="C124">
        <v>2.83</v>
      </c>
      <c r="D124">
        <v>6886</v>
      </c>
      <c r="E124">
        <v>3835</v>
      </c>
      <c r="F124" s="22">
        <f t="shared" si="38"/>
        <v>134.19009868000001</v>
      </c>
      <c r="G124" s="22">
        <f t="shared" si="39"/>
        <v>41.621446749999997</v>
      </c>
      <c r="M124" s="22">
        <f t="shared" si="25"/>
        <v>126.86434025</v>
      </c>
      <c r="N124" s="100">
        <f t="shared" si="37"/>
        <v>42.892696146868005</v>
      </c>
      <c r="O124" s="101">
        <f t="shared" si="26"/>
        <v>41.185641964941212</v>
      </c>
      <c r="P124" s="100">
        <f t="shared" si="31"/>
        <v>1.6160750290372738</v>
      </c>
      <c r="Q124" s="106">
        <f t="shared" si="33"/>
        <v>0.43580478505878517</v>
      </c>
      <c r="R124"/>
      <c r="Y124" s="22">
        <f t="shared" si="30"/>
        <v>4030.3908000000001</v>
      </c>
      <c r="Z124">
        <f t="shared" si="36"/>
        <v>45.970661502050739</v>
      </c>
      <c r="AA124" s="22">
        <f t="shared" si="24"/>
        <v>18.915668959455793</v>
      </c>
    </row>
    <row r="125" spans="1:27">
      <c r="A125" s="20"/>
      <c r="B125" s="37" t="s">
        <v>216</v>
      </c>
      <c r="C125">
        <v>2.8519999999999999</v>
      </c>
      <c r="D125">
        <v>6884</v>
      </c>
      <c r="E125">
        <v>3827</v>
      </c>
      <c r="F125" s="22">
        <f t="shared" si="38"/>
        <v>135.15472851199999</v>
      </c>
      <c r="G125" s="22">
        <f t="shared" si="39"/>
        <v>41.770189508000001</v>
      </c>
      <c r="M125" s="22">
        <f t="shared" si="25"/>
        <v>127.310568524</v>
      </c>
      <c r="N125" s="100">
        <f t="shared" si="37"/>
        <v>43.158065813651206</v>
      </c>
      <c r="O125" s="101">
        <f t="shared" si="26"/>
        <v>41.358867549717374</v>
      </c>
      <c r="P125" s="100">
        <f t="shared" si="31"/>
        <v>1.9262006397880349</v>
      </c>
      <c r="Q125" s="106">
        <f t="shared" si="33"/>
        <v>0.41132195828262752</v>
      </c>
      <c r="R125"/>
      <c r="Y125" s="22">
        <f t="shared" si="30"/>
        <v>4029.2491999999997</v>
      </c>
      <c r="Z125">
        <f t="shared" si="36"/>
        <v>46.301789677978221</v>
      </c>
      <c r="AA125" s="22">
        <f t="shared" si="24"/>
        <v>20.535400100546624</v>
      </c>
    </row>
    <row r="126" spans="1:27">
      <c r="A126" s="20"/>
      <c r="B126" s="37" t="s">
        <v>217</v>
      </c>
      <c r="C126">
        <v>2.8730000000000002</v>
      </c>
      <c r="D126">
        <v>6886</v>
      </c>
      <c r="E126">
        <v>3821</v>
      </c>
      <c r="F126" s="22">
        <f t="shared" si="38"/>
        <v>136.22902950800002</v>
      </c>
      <c r="G126" s="22">
        <f t="shared" si="39"/>
        <v>41.945917793000007</v>
      </c>
      <c r="M126" s="22">
        <f t="shared" si="25"/>
        <v>127.83775337900002</v>
      </c>
      <c r="N126" s="100">
        <f t="shared" si="37"/>
        <v>43.453606017650813</v>
      </c>
      <c r="O126" s="101">
        <f t="shared" si="26"/>
        <v>41.550338337724284</v>
      </c>
      <c r="P126" s="100">
        <f t="shared" si="31"/>
        <v>2.2731237827507003</v>
      </c>
      <c r="Q126" s="106">
        <f t="shared" si="33"/>
        <v>0.39557945527572258</v>
      </c>
      <c r="R126"/>
      <c r="Y126" s="22">
        <f t="shared" si="30"/>
        <v>4030.3908000000001</v>
      </c>
      <c r="Z126">
        <f t="shared" si="36"/>
        <v>46.669155652081898</v>
      </c>
      <c r="AA126" s="22">
        <f t="shared" si="24"/>
        <v>22.308975873464487</v>
      </c>
    </row>
    <row r="127" spans="1:27">
      <c r="A127" s="20"/>
      <c r="B127" s="37" t="s">
        <v>218</v>
      </c>
      <c r="C127">
        <v>2.8330000000000002</v>
      </c>
      <c r="D127">
        <v>6960</v>
      </c>
      <c r="E127">
        <v>3865</v>
      </c>
      <c r="F127" s="22">
        <f t="shared" si="38"/>
        <v>137.23505280000001</v>
      </c>
      <c r="G127" s="22">
        <f t="shared" si="39"/>
        <v>42.319991425000005</v>
      </c>
      <c r="M127" s="22">
        <f t="shared" si="25"/>
        <v>128.95997427500001</v>
      </c>
      <c r="N127" s="100">
        <f t="shared" si="37"/>
        <v>43.730363025279999</v>
      </c>
      <c r="O127" s="101">
        <f t="shared" si="26"/>
        <v>41.728275980180413</v>
      </c>
      <c r="P127" s="100">
        <f t="shared" si="31"/>
        <v>1.9891480508763517</v>
      </c>
      <c r="Q127" s="106">
        <f t="shared" si="33"/>
        <v>0.5917154448195916</v>
      </c>
      <c r="R127"/>
      <c r="Y127" s="22">
        <f t="shared" si="30"/>
        <v>4072.63</v>
      </c>
      <c r="Z127">
        <f t="shared" si="36"/>
        <v>46.98903072617771</v>
      </c>
      <c r="AA127" s="22">
        <f t="shared" si="24"/>
        <v>21.799927995941989</v>
      </c>
    </row>
    <row r="128" spans="1:27">
      <c r="A128" s="20"/>
      <c r="B128" s="37" t="s">
        <v>219</v>
      </c>
      <c r="C128">
        <v>2.847</v>
      </c>
      <c r="D128">
        <v>6966</v>
      </c>
      <c r="E128">
        <v>3876</v>
      </c>
      <c r="F128" s="22">
        <f t="shared" si="38"/>
        <v>138.15111913199999</v>
      </c>
      <c r="G128" s="22">
        <f t="shared" si="39"/>
        <v>42.771551472000006</v>
      </c>
      <c r="M128" s="22">
        <f t="shared" si="25"/>
        <v>130.31465441600002</v>
      </c>
      <c r="N128" s="100">
        <f t="shared" si="37"/>
        <v>43.982372873213194</v>
      </c>
      <c r="O128" s="101">
        <f t="shared" si="26"/>
        <v>41.889171712406238</v>
      </c>
      <c r="P128" s="100">
        <f t="shared" si="31"/>
        <v>1.4660884656358684</v>
      </c>
      <c r="Q128" s="106">
        <f t="shared" si="33"/>
        <v>0.88237975959376769</v>
      </c>
      <c r="R128"/>
      <c r="Y128" s="22">
        <f t="shared" si="30"/>
        <v>4076.0547999999999</v>
      </c>
      <c r="Z128">
        <f t="shared" si="36"/>
        <v>47.300692119720857</v>
      </c>
      <c r="AA128" s="22">
        <f t="shared" si="24"/>
        <v>20.51311500683725</v>
      </c>
    </row>
    <row r="129" spans="1:27">
      <c r="A129" s="20"/>
      <c r="B129" s="37" t="s">
        <v>220</v>
      </c>
      <c r="C129">
        <v>2.8959999999999999</v>
      </c>
      <c r="D129">
        <v>7012</v>
      </c>
      <c r="E129">
        <v>3876</v>
      </c>
      <c r="F129" s="22">
        <f t="shared" si="38"/>
        <v>142.39094502399999</v>
      </c>
      <c r="G129" s="22">
        <f t="shared" si="39"/>
        <v>43.507696895999999</v>
      </c>
      <c r="M129" s="22">
        <f t="shared" si="25"/>
        <v>132.523090688</v>
      </c>
      <c r="N129" s="100">
        <f t="shared" si="37"/>
        <v>45.148748976102397</v>
      </c>
      <c r="O129" s="101">
        <f t="shared" si="26"/>
        <v>42.620211866584725</v>
      </c>
      <c r="P129" s="100">
        <f t="shared" si="31"/>
        <v>2.6930519296084068</v>
      </c>
      <c r="Q129" s="106">
        <f t="shared" si="33"/>
        <v>0.88748502941527363</v>
      </c>
      <c r="R129"/>
      <c r="Y129" s="22">
        <f t="shared" si="30"/>
        <v>4102.3116</v>
      </c>
      <c r="Z129">
        <f t="shared" si="36"/>
        <v>48.73666950228025</v>
      </c>
      <c r="AA129" s="22">
        <f t="shared" si="24"/>
        <v>27.342154517229286</v>
      </c>
    </row>
    <row r="130" spans="1:27">
      <c r="A130" s="20"/>
      <c r="B130" s="37" t="s">
        <v>221</v>
      </c>
      <c r="C130">
        <v>2.899</v>
      </c>
      <c r="D130">
        <v>6967</v>
      </c>
      <c r="E130">
        <v>3857</v>
      </c>
      <c r="F130" s="22">
        <f t="shared" si="38"/>
        <v>140.714819011</v>
      </c>
      <c r="G130" s="22">
        <f t="shared" si="39"/>
        <v>43.126825650999997</v>
      </c>
      <c r="M130" s="22">
        <f t="shared" si="25"/>
        <v>131.380476953</v>
      </c>
      <c r="N130" s="100">
        <f t="shared" si="37"/>
        <v>44.687646709926099</v>
      </c>
      <c r="O130" s="101">
        <f t="shared" si="26"/>
        <v>42.333846060746112</v>
      </c>
      <c r="P130" s="100">
        <f t="shared" si="31"/>
        <v>2.4361623779871984</v>
      </c>
      <c r="Q130" s="106">
        <f t="shared" si="33"/>
        <v>0.79297959025388565</v>
      </c>
      <c r="R130"/>
      <c r="Y130" s="22">
        <f t="shared" si="30"/>
        <v>4076.6255999999998</v>
      </c>
      <c r="Z130">
        <f t="shared" si="36"/>
        <v>48.178122343185969</v>
      </c>
      <c r="AA130" s="22">
        <f t="shared" si="24"/>
        <v>25.515598272488937</v>
      </c>
    </row>
    <row r="131" spans="1:27">
      <c r="A131" s="20"/>
      <c r="B131" s="37" t="s">
        <v>222</v>
      </c>
      <c r="C131">
        <v>2.863</v>
      </c>
      <c r="D131">
        <v>7046</v>
      </c>
      <c r="E131">
        <v>3896</v>
      </c>
      <c r="F131" s="22">
        <f t="shared" si="38"/>
        <v>142.136830108</v>
      </c>
      <c r="G131" s="22">
        <f t="shared" si="39"/>
        <v>43.456950207999995</v>
      </c>
      <c r="M131" s="22">
        <f t="shared" si="25"/>
        <v>132.37085062399998</v>
      </c>
      <c r="N131" s="100">
        <f t="shared" si="37"/>
        <v>45.078841962710797</v>
      </c>
      <c r="O131" s="101">
        <f t="shared" si="26"/>
        <v>42.577013857113229</v>
      </c>
      <c r="P131" s="100">
        <f t="shared" si="31"/>
        <v>2.6305328639988845</v>
      </c>
      <c r="Q131" s="106">
        <f t="shared" si="33"/>
        <v>0.87993635088676569</v>
      </c>
      <c r="R131"/>
      <c r="Y131" s="22">
        <f t="shared" si="30"/>
        <v>4121.7187999999996</v>
      </c>
      <c r="Z131">
        <f t="shared" si="36"/>
        <v>48.638264075140846</v>
      </c>
      <c r="AA131" s="22">
        <f t="shared" ref="AA131:AA138" si="40">(ABS(G131-Z131))^2</f>
        <v>26.84601338982608</v>
      </c>
    </row>
    <row r="132" spans="1:27">
      <c r="A132" s="17"/>
      <c r="B132" s="37" t="s">
        <v>226</v>
      </c>
      <c r="C132">
        <v>2.218</v>
      </c>
      <c r="D132">
        <v>5996</v>
      </c>
      <c r="E132">
        <v>3739</v>
      </c>
      <c r="F132" s="22">
        <f t="shared" si="38"/>
        <v>79.741571488000005</v>
      </c>
      <c r="G132" s="22">
        <f t="shared" si="39"/>
        <v>31.007908378</v>
      </c>
      <c r="M132" s="22">
        <f t="shared" si="25"/>
        <v>95.023725134000003</v>
      </c>
      <c r="N132" s="100">
        <f t="shared" si="37"/>
        <v>27.913906316348804</v>
      </c>
      <c r="O132" s="101">
        <f t="shared" si="26"/>
        <v>28.598682738904301</v>
      </c>
      <c r="P132" s="100">
        <f t="shared" si="31"/>
        <v>9.5728487575018502</v>
      </c>
      <c r="Q132" s="106">
        <f t="shared" si="33"/>
        <v>2.4092256390956983</v>
      </c>
      <c r="R132"/>
      <c r="Y132" s="22">
        <f t="shared" si="30"/>
        <v>3522.3788</v>
      </c>
      <c r="Z132">
        <f t="shared" si="36"/>
        <v>27.519064046909175</v>
      </c>
      <c r="AA132" s="22">
        <f t="shared" si="40"/>
        <v>12.172034766584582</v>
      </c>
    </row>
    <row r="133" spans="1:27">
      <c r="A133" s="17"/>
      <c r="B133" s="37" t="s">
        <v>227</v>
      </c>
      <c r="C133">
        <v>2.2170000000000001</v>
      </c>
      <c r="D133">
        <v>6000</v>
      </c>
      <c r="E133">
        <v>3741</v>
      </c>
      <c r="F133" s="22">
        <f t="shared" si="38"/>
        <v>79.811999999999998</v>
      </c>
      <c r="G133" s="22">
        <f t="shared" si="39"/>
        <v>31.027094577</v>
      </c>
      <c r="M133" s="22">
        <f t="shared" si="25"/>
        <v>95.081283730999999</v>
      </c>
      <c r="N133" s="100">
        <f t="shared" si="37"/>
        <v>27.9332812</v>
      </c>
      <c r="O133" s="101">
        <f t="shared" si="26"/>
        <v>28.62003285007944</v>
      </c>
      <c r="P133" s="100">
        <f t="shared" si="31"/>
        <v>9.5716812117041439</v>
      </c>
      <c r="Q133" s="106">
        <f t="shared" si="33"/>
        <v>2.4070617269205599</v>
      </c>
      <c r="R133"/>
      <c r="Y133" s="22">
        <f t="shared" si="30"/>
        <v>3524.6619999999998</v>
      </c>
      <c r="Z133">
        <f t="shared" si="36"/>
        <v>27.542327988978943</v>
      </c>
      <c r="AA133" s="22">
        <f t="shared" si="40"/>
        <v>12.143598172987915</v>
      </c>
    </row>
    <row r="134" spans="1:27">
      <c r="A134" s="17"/>
      <c r="B134" s="37" t="s">
        <v>228</v>
      </c>
      <c r="C134">
        <v>2.2109999999999999</v>
      </c>
      <c r="D134">
        <v>5928</v>
      </c>
      <c r="E134">
        <v>3694</v>
      </c>
      <c r="F134" s="22">
        <f t="shared" si="38"/>
        <v>77.697157824000001</v>
      </c>
      <c r="G134" s="22">
        <f t="shared" si="39"/>
        <v>30.170501196</v>
      </c>
      <c r="M134" s="22">
        <f t="shared" ref="M134:M146" si="41" xml:space="preserve"> 2 +3*G134</f>
        <v>92.511503587999997</v>
      </c>
      <c r="N134" s="100">
        <f t="shared" si="37"/>
        <v>27.351488117382402</v>
      </c>
      <c r="O134" s="101">
        <f t="shared" si="26"/>
        <v>27.970566905435902</v>
      </c>
      <c r="P134" s="100">
        <f t="shared" si="31"/>
        <v>7.946834737417066</v>
      </c>
      <c r="Q134" s="106">
        <f t="shared" si="33"/>
        <v>2.1999342905640979</v>
      </c>
      <c r="R134"/>
      <c r="Y134" s="22">
        <f t="shared" si="30"/>
        <v>3483.5643999999998</v>
      </c>
      <c r="Z134">
        <f t="shared" si="36"/>
        <v>26.830973473902606</v>
      </c>
      <c r="AA134" s="22">
        <f t="shared" si="40"/>
        <v>11.152445406657009</v>
      </c>
    </row>
    <row r="135" spans="1:27">
      <c r="A135" s="17"/>
      <c r="B135" s="37" t="s">
        <v>229</v>
      </c>
      <c r="C135">
        <v>2.1949999999999998</v>
      </c>
      <c r="D135">
        <v>5798</v>
      </c>
      <c r="E135">
        <v>3588</v>
      </c>
      <c r="F135" s="22">
        <f t="shared" si="38"/>
        <v>73.788884780000004</v>
      </c>
      <c r="G135" s="22">
        <f t="shared" si="39"/>
        <v>28.257868079999998</v>
      </c>
      <c r="M135" s="22">
        <f t="shared" si="41"/>
        <v>86.773604239999997</v>
      </c>
      <c r="N135" s="100">
        <f t="shared" si="37"/>
        <v>26.276322202978001</v>
      </c>
      <c r="O135" s="101">
        <f t="shared" ref="O135:O146" si="42">24.184*LN(F135)-77.298</f>
        <v>26.722416872410307</v>
      </c>
      <c r="P135" s="100">
        <f t="shared" si="31"/>
        <v>3.926524062742875</v>
      </c>
      <c r="Q135" s="106">
        <f t="shared" si="33"/>
        <v>1.5354512075896913</v>
      </c>
      <c r="R135"/>
      <c r="Y135" s="22">
        <f t="shared" si="30"/>
        <v>3409.3604</v>
      </c>
      <c r="Z135">
        <f t="shared" si="36"/>
        <v>25.514105649908508</v>
      </c>
      <c r="AA135" s="22">
        <f t="shared" si="40"/>
        <v>7.5282322727815574</v>
      </c>
    </row>
    <row r="136" spans="1:27">
      <c r="A136" s="17"/>
      <c r="B136" s="37" t="s">
        <v>230</v>
      </c>
      <c r="C136">
        <v>2.1789999999999998</v>
      </c>
      <c r="D136">
        <v>5623</v>
      </c>
      <c r="E136">
        <v>3452</v>
      </c>
      <c r="F136" s="22">
        <f t="shared" si="38"/>
        <v>68.895903090999994</v>
      </c>
      <c r="G136" s="22">
        <f t="shared" si="39"/>
        <v>25.965626415999996</v>
      </c>
      <c r="M136" s="22">
        <f t="shared" si="41"/>
        <v>79.896879247999991</v>
      </c>
      <c r="N136" s="100">
        <f t="shared" si="37"/>
        <v>24.930262940334099</v>
      </c>
      <c r="O136" s="101">
        <f t="shared" si="42"/>
        <v>25.063118945465888</v>
      </c>
      <c r="P136" s="100">
        <f t="shared" si="31"/>
        <v>1.071977526742965</v>
      </c>
      <c r="Q136" s="106">
        <f t="shared" si="33"/>
        <v>0.90250747053410763</v>
      </c>
      <c r="R136"/>
      <c r="Y136" s="22">
        <f t="shared" si="30"/>
        <v>3309.4704000000002</v>
      </c>
      <c r="Z136">
        <f t="shared" si="36"/>
        <v>23.865703041749551</v>
      </c>
      <c r="AA136" s="22">
        <f t="shared" si="40"/>
        <v>4.4096781777233716</v>
      </c>
    </row>
    <row r="137" spans="1:27">
      <c r="A137" s="17"/>
      <c r="B137" s="37" t="s">
        <v>231</v>
      </c>
      <c r="C137">
        <v>2.1539999999999999</v>
      </c>
      <c r="D137">
        <v>5474</v>
      </c>
      <c r="E137">
        <v>3322</v>
      </c>
      <c r="F137" s="22">
        <f t="shared" si="38"/>
        <v>64.543912104</v>
      </c>
      <c r="G137" s="22">
        <f t="shared" si="39"/>
        <v>23.770863335999998</v>
      </c>
      <c r="M137" s="22">
        <f t="shared" si="41"/>
        <v>73.312590008000001</v>
      </c>
      <c r="N137" s="100">
        <f t="shared" si="37"/>
        <v>23.733030219810402</v>
      </c>
      <c r="O137" s="101">
        <f t="shared" si="42"/>
        <v>23.485090826502812</v>
      </c>
      <c r="P137" s="100">
        <f t="shared" si="31"/>
        <v>1.4313446806154505E-3</v>
      </c>
      <c r="Q137" s="106">
        <f t="shared" si="33"/>
        <v>0.28577250949718547</v>
      </c>
      <c r="R137"/>
      <c r="Y137" s="22">
        <f t="shared" si="30"/>
        <v>3224.4211999999998</v>
      </c>
      <c r="Z137">
        <f t="shared" si="36"/>
        <v>22.39490552957033</v>
      </c>
      <c r="AA137" s="22">
        <f t="shared" si="40"/>
        <v>1.8932598850747426</v>
      </c>
    </row>
    <row r="138" spans="1:27">
      <c r="A138" s="17"/>
      <c r="B138" s="37" t="s">
        <v>232</v>
      </c>
      <c r="C138">
        <v>2.1549999999999998</v>
      </c>
      <c r="D138">
        <v>5459</v>
      </c>
      <c r="E138">
        <v>3317</v>
      </c>
      <c r="F138" s="22">
        <f t="shared" si="38"/>
        <v>64.220467554999999</v>
      </c>
      <c r="G138" s="22">
        <f t="shared" si="39"/>
        <v>23.710363794999999</v>
      </c>
      <c r="M138" s="22">
        <f t="shared" si="41"/>
        <v>73.131091384999991</v>
      </c>
      <c r="N138" s="100">
        <f t="shared" si="37"/>
        <v>23.644050624380501</v>
      </c>
      <c r="O138" s="101">
        <f t="shared" si="42"/>
        <v>23.36359450204337</v>
      </c>
      <c r="P138" s="100">
        <f t="shared" si="31"/>
        <v>4.397436597610673E-3</v>
      </c>
      <c r="Q138" s="106">
        <f t="shared" si="33"/>
        <v>0.34676929295662973</v>
      </c>
      <c r="R138"/>
      <c r="Y138" s="22">
        <f t="shared" si="30"/>
        <v>3215.8591999999999</v>
      </c>
      <c r="Z138">
        <f t="shared" si="36"/>
        <v>22.286472099554096</v>
      </c>
      <c r="AA138" s="22">
        <f t="shared" si="40"/>
        <v>2.027467560359808</v>
      </c>
    </row>
    <row r="139" spans="1:27">
      <c r="A139" s="40"/>
      <c r="B139" s="37" t="s">
        <v>250</v>
      </c>
      <c r="C139">
        <v>2.431</v>
      </c>
      <c r="D139">
        <v>6550</v>
      </c>
      <c r="E139">
        <v>3850</v>
      </c>
      <c r="F139">
        <v>104.3</v>
      </c>
      <c r="G139">
        <v>35.9</v>
      </c>
      <c r="M139" s="22">
        <f t="shared" si="41"/>
        <v>109.69999999999999</v>
      </c>
      <c r="N139" s="100">
        <f t="shared" si="37"/>
        <v>34.669930000000001</v>
      </c>
      <c r="O139" s="101">
        <f t="shared" si="42"/>
        <v>35.091610618770687</v>
      </c>
      <c r="P139" s="100">
        <f t="shared" si="31"/>
        <v>1.5130722048999945</v>
      </c>
      <c r="Q139" s="106">
        <f t="shared" si="33"/>
        <v>0.80838938122931125</v>
      </c>
      <c r="R139"/>
      <c r="Y139" s="22">
        <f t="shared" si="30"/>
        <v>3838.6019999999999</v>
      </c>
      <c r="Z139">
        <f t="shared" si="36"/>
        <v>35.820457579316127</v>
      </c>
    </row>
    <row r="140" spans="1:27">
      <c r="A140" s="40"/>
      <c r="B140" s="37" t="s">
        <v>249</v>
      </c>
      <c r="C140">
        <v>2.4940000000000002</v>
      </c>
      <c r="D140">
        <v>5850</v>
      </c>
      <c r="E140">
        <v>4370</v>
      </c>
      <c r="F140">
        <v>85.4</v>
      </c>
      <c r="G140">
        <v>30.1</v>
      </c>
      <c r="M140" s="22">
        <f t="shared" si="41"/>
        <v>92.300000000000011</v>
      </c>
      <c r="N140" s="100">
        <f t="shared" si="37"/>
        <v>29.470540000000003</v>
      </c>
      <c r="O140" s="101">
        <f t="shared" si="42"/>
        <v>30.256618101614777</v>
      </c>
      <c r="P140" s="100">
        <f>(ABS(G140-N140))^2</f>
        <v>0.39621989159999765</v>
      </c>
      <c r="Q140" s="106">
        <f t="shared" si="33"/>
        <v>0.15661810161477518</v>
      </c>
      <c r="R140"/>
      <c r="Y140" s="22">
        <f t="shared" si="30"/>
        <v>3439.0419999999999</v>
      </c>
      <c r="Z140">
        <f t="shared" si="36"/>
        <v>29.49656263514342</v>
      </c>
    </row>
    <row r="141" spans="1:27">
      <c r="A141" s="40"/>
      <c r="B141" s="37" t="s">
        <v>251</v>
      </c>
      <c r="C141">
        <v>2.4630000000000001</v>
      </c>
      <c r="D141">
        <v>5820</v>
      </c>
      <c r="E141">
        <v>3420</v>
      </c>
      <c r="F141">
        <v>83.4</v>
      </c>
      <c r="G141">
        <v>28.8</v>
      </c>
      <c r="M141" s="22">
        <f t="shared" si="41"/>
        <v>88.4</v>
      </c>
      <c r="N141" s="100">
        <f t="shared" si="37"/>
        <v>28.920340000000003</v>
      </c>
      <c r="O141" s="101">
        <f t="shared" si="42"/>
        <v>29.683510713675929</v>
      </c>
      <c r="P141" s="100">
        <f t="shared" si="31"/>
        <v>1.4481715600000562E-2</v>
      </c>
      <c r="Q141" s="106">
        <f t="shared" si="33"/>
        <v>0.88351071367592837</v>
      </c>
      <c r="R141"/>
      <c r="Y141" s="22">
        <f t="shared" si="30"/>
        <v>3421.9180000000001</v>
      </c>
      <c r="Z141">
        <f t="shared" si="36"/>
        <v>28.840554653257218</v>
      </c>
    </row>
    <row r="142" spans="1:27">
      <c r="A142" s="40"/>
      <c r="B142" s="37" t="s">
        <v>252</v>
      </c>
      <c r="C142">
        <v>2.6779999999999999</v>
      </c>
      <c r="D142">
        <v>6980</v>
      </c>
      <c r="E142">
        <v>3940</v>
      </c>
      <c r="F142">
        <v>130.6</v>
      </c>
      <c r="G142">
        <v>41.5</v>
      </c>
      <c r="M142" s="22">
        <f t="shared" si="41"/>
        <v>126.5</v>
      </c>
      <c r="N142" s="100">
        <f t="shared" si="37"/>
        <v>41.905060000000006</v>
      </c>
      <c r="O142" s="101">
        <f t="shared" si="42"/>
        <v>40.529814820114922</v>
      </c>
      <c r="P142" s="100">
        <f t="shared" si="31"/>
        <v>0.16407360360000484</v>
      </c>
      <c r="Q142" s="106">
        <f t="shared" si="33"/>
        <v>0.97018517988507824</v>
      </c>
      <c r="R142"/>
      <c r="Y142" s="22">
        <f t="shared" si="30"/>
        <v>4084.0459999999998</v>
      </c>
      <c r="Z142">
        <f t="shared" si="36"/>
        <v>44.667518173250649</v>
      </c>
    </row>
    <row r="143" spans="1:27">
      <c r="A143" s="40"/>
      <c r="B143" s="37" t="s">
        <v>253</v>
      </c>
      <c r="C143">
        <v>2.69</v>
      </c>
      <c r="D143">
        <v>6540</v>
      </c>
      <c r="E143">
        <v>3690</v>
      </c>
      <c r="F143">
        <v>115</v>
      </c>
      <c r="G143">
        <v>36.5</v>
      </c>
      <c r="M143" s="22">
        <f t="shared" si="41"/>
        <v>111.5</v>
      </c>
      <c r="N143" s="100">
        <f t="shared" si="37"/>
        <v>37.613500000000002</v>
      </c>
      <c r="O143" s="101">
        <f t="shared" si="42"/>
        <v>37.453438592336852</v>
      </c>
      <c r="P143" s="100">
        <f t="shared" si="31"/>
        <v>1.2398822500000044</v>
      </c>
      <c r="Q143" s="106">
        <f t="shared" si="33"/>
        <v>0.9534385923368518</v>
      </c>
      <c r="R143"/>
      <c r="Y143" s="22">
        <f t="shared" si="30"/>
        <v>3832.8939999999998</v>
      </c>
      <c r="Z143">
        <f t="shared" si="36"/>
        <v>39.518995556984834</v>
      </c>
    </row>
    <row r="144" spans="1:27">
      <c r="A144" s="40"/>
      <c r="B144" s="37" t="s">
        <v>256</v>
      </c>
      <c r="C144">
        <v>3.0209999999999999</v>
      </c>
      <c r="D144">
        <v>5900</v>
      </c>
      <c r="E144">
        <v>3340</v>
      </c>
      <c r="F144">
        <v>105</v>
      </c>
      <c r="G144">
        <v>33.799999999999997</v>
      </c>
      <c r="M144" s="22">
        <f t="shared" si="41"/>
        <v>103.39999999999999</v>
      </c>
      <c r="N144" s="100">
        <f t="shared" si="37"/>
        <v>34.862499999999997</v>
      </c>
      <c r="O144" s="101">
        <f t="shared" si="42"/>
        <v>35.253377108209534</v>
      </c>
      <c r="P144" s="100">
        <f t="shared" si="31"/>
        <v>1.12890625</v>
      </c>
      <c r="Q144" s="106">
        <f t="shared" si="33"/>
        <v>1.453377108209537</v>
      </c>
      <c r="R144"/>
      <c r="Y144" s="22">
        <f t="shared" si="30"/>
        <v>3467.5819999999999</v>
      </c>
      <c r="Z144">
        <f t="shared" si="36"/>
        <v>36.324881403633199</v>
      </c>
    </row>
    <row r="145" spans="1:26">
      <c r="A145" s="40"/>
      <c r="B145" s="37" t="s">
        <v>254</v>
      </c>
      <c r="C145">
        <v>3.3</v>
      </c>
      <c r="D145">
        <v>5370</v>
      </c>
      <c r="E145">
        <v>3040</v>
      </c>
      <c r="F145">
        <v>95.1</v>
      </c>
      <c r="G145">
        <v>30.6</v>
      </c>
      <c r="M145" s="22">
        <f t="shared" si="41"/>
        <v>93.800000000000011</v>
      </c>
      <c r="N145" s="100">
        <f t="shared" si="37"/>
        <v>32.139009999999999</v>
      </c>
      <c r="O145" s="101">
        <f t="shared" si="42"/>
        <v>32.858402199629722</v>
      </c>
      <c r="P145" s="100">
        <f t="shared" si="31"/>
        <v>2.3685517800999922</v>
      </c>
      <c r="Q145" s="106">
        <f t="shared" si="33"/>
        <v>2.258402199629721</v>
      </c>
      <c r="R145"/>
      <c r="Y145" s="22">
        <f t="shared" si="30"/>
        <v>3165.058</v>
      </c>
      <c r="Z145">
        <f t="shared" si="36"/>
        <v>33.058054073101196</v>
      </c>
    </row>
    <row r="146" spans="1:26">
      <c r="A146" s="40"/>
      <c r="B146" s="37" t="s">
        <v>255</v>
      </c>
      <c r="C146">
        <v>3.0910000000000002</v>
      </c>
      <c r="D146">
        <v>6620</v>
      </c>
      <c r="E146">
        <v>3660</v>
      </c>
      <c r="F146">
        <v>135.5</v>
      </c>
      <c r="G146">
        <v>41.4</v>
      </c>
      <c r="M146" s="22">
        <f t="shared" si="41"/>
        <v>126.19999999999999</v>
      </c>
      <c r="N146" s="100">
        <f t="shared" si="37"/>
        <v>43.253050000000002</v>
      </c>
      <c r="O146" s="101">
        <f t="shared" si="42"/>
        <v>41.420570149492974</v>
      </c>
      <c r="P146" s="100">
        <f>(ABS(G146-N146))^2</f>
        <v>3.4337943025000119</v>
      </c>
      <c r="Q146" s="106">
        <f t="shared" si="33"/>
        <v>2.0570149492975531E-2</v>
      </c>
      <c r="R146"/>
      <c r="Y146" s="22">
        <f t="shared" si="30"/>
        <v>3878.558</v>
      </c>
      <c r="Z146">
        <f t="shared" si="36"/>
        <v>46.498568784594127</v>
      </c>
    </row>
    <row r="147" spans="1:26">
      <c r="P147" s="100"/>
      <c r="Q147" s="106"/>
    </row>
    <row r="148" spans="1:26">
      <c r="P148" s="100"/>
      <c r="Q148" s="106"/>
    </row>
    <row r="149" spans="1:26">
      <c r="P149" s="100"/>
      <c r="Q149" s="106"/>
    </row>
    <row r="150" spans="1:26">
      <c r="P150" s="100"/>
      <c r="Q150" s="106"/>
    </row>
    <row r="151" spans="1:26">
      <c r="P151" s="100"/>
      <c r="Q151" s="106"/>
    </row>
    <row r="152" spans="1:26">
      <c r="P152" s="100"/>
      <c r="Q152" s="106"/>
    </row>
    <row r="153" spans="1:26">
      <c r="P153" s="100"/>
      <c r="Q153" s="106"/>
    </row>
    <row r="154" spans="1:26">
      <c r="B154" s="36"/>
      <c r="P154" s="100"/>
      <c r="Q154" s="106"/>
    </row>
    <row r="155" spans="1:26">
      <c r="P155" s="100"/>
      <c r="Q155" s="106"/>
    </row>
    <row r="156" spans="1:26">
      <c r="P156" s="100"/>
      <c r="Q156" s="106"/>
    </row>
    <row r="157" spans="1:26">
      <c r="P157" s="100"/>
      <c r="Q157" s="106"/>
    </row>
    <row r="158" spans="1:26">
      <c r="P158" s="100"/>
      <c r="Q158" s="106"/>
    </row>
    <row r="159" spans="1:26">
      <c r="P159" s="100"/>
      <c r="Q159" s="106"/>
    </row>
    <row r="160" spans="1:26">
      <c r="P160" s="100"/>
      <c r="Q160" s="106"/>
    </row>
    <row r="161" spans="16:17">
      <c r="P161" s="100"/>
      <c r="Q161" s="106"/>
    </row>
    <row r="162" spans="16:17">
      <c r="P162" s="100"/>
      <c r="Q162" s="106"/>
    </row>
    <row r="163" spans="16:17">
      <c r="P163" s="100"/>
      <c r="Q163" s="106"/>
    </row>
    <row r="164" spans="16:17">
      <c r="P164" s="100"/>
      <c r="Q164" s="106"/>
    </row>
    <row r="165" spans="16:17">
      <c r="P165" s="100"/>
      <c r="Q165" s="106"/>
    </row>
    <row r="166" spans="16:17">
      <c r="P166" s="100"/>
      <c r="Q166" s="106"/>
    </row>
    <row r="167" spans="16:17">
      <c r="P167" s="100"/>
      <c r="Q167" s="106"/>
    </row>
    <row r="168" spans="16:17">
      <c r="P168" s="100"/>
      <c r="Q168" s="106"/>
    </row>
    <row r="169" spans="16:17">
      <c r="P169" s="100"/>
      <c r="Q169" s="106"/>
    </row>
    <row r="170" spans="16:17">
      <c r="P170" s="100"/>
      <c r="Q170" s="106"/>
    </row>
    <row r="171" spans="16:17">
      <c r="P171" s="100"/>
      <c r="Q171" s="106"/>
    </row>
    <row r="172" spans="16:17">
      <c r="P172" s="100"/>
      <c r="Q172" s="106"/>
    </row>
    <row r="173" spans="16:17">
      <c r="P173" s="100"/>
      <c r="Q173" s="106"/>
    </row>
    <row r="174" spans="16:17">
      <c r="P174" s="100"/>
      <c r="Q174" s="106"/>
    </row>
    <row r="175" spans="16:17">
      <c r="P175" s="100"/>
      <c r="Q175" s="106"/>
    </row>
    <row r="176" spans="16:17">
      <c r="P176" s="100"/>
      <c r="Q176" s="106"/>
    </row>
    <row r="177" spans="16:17">
      <c r="P177" s="100"/>
      <c r="Q177" s="106"/>
    </row>
    <row r="178" spans="16:17">
      <c r="P178" s="100"/>
      <c r="Q178" s="106"/>
    </row>
    <row r="179" spans="16:17">
      <c r="P179" s="100"/>
      <c r="Q179" s="106"/>
    </row>
    <row r="180" spans="16:17">
      <c r="P180" s="100"/>
      <c r="Q180" s="106"/>
    </row>
    <row r="181" spans="16:17">
      <c r="P181" s="100"/>
      <c r="Q181" s="106"/>
    </row>
    <row r="182" spans="16:17">
      <c r="P182" s="100"/>
      <c r="Q182" s="106"/>
    </row>
    <row r="183" spans="16:17">
      <c r="P183" s="100"/>
      <c r="Q183" s="106"/>
    </row>
    <row r="184" spans="16:17">
      <c r="P184" s="100"/>
      <c r="Q184" s="106"/>
    </row>
    <row r="185" spans="16:17">
      <c r="P185" s="100"/>
      <c r="Q185" s="106"/>
    </row>
    <row r="186" spans="16:17">
      <c r="P186" s="100"/>
      <c r="Q186" s="106"/>
    </row>
    <row r="187" spans="16:17">
      <c r="P187" s="100"/>
      <c r="Q187" s="106"/>
    </row>
    <row r="188" spans="16:17">
      <c r="P188" s="100"/>
      <c r="Q188" s="106"/>
    </row>
    <row r="189" spans="16:17">
      <c r="P189" s="100"/>
      <c r="Q189" s="106"/>
    </row>
    <row r="190" spans="16:17">
      <c r="P190" s="100"/>
      <c r="Q190" s="106"/>
    </row>
    <row r="191" spans="16:17">
      <c r="P191" s="100"/>
      <c r="Q191" s="106"/>
    </row>
    <row r="192" spans="16:17">
      <c r="P192" s="100"/>
      <c r="Q192" s="106"/>
    </row>
    <row r="193" spans="16:17">
      <c r="P193" s="100"/>
      <c r="Q193" s="106"/>
    </row>
    <row r="194" spans="16:17">
      <c r="P194" s="100"/>
      <c r="Q194" s="106"/>
    </row>
    <row r="195" spans="16:17">
      <c r="P195" s="100"/>
      <c r="Q195" s="106"/>
    </row>
    <row r="196" spans="16:17">
      <c r="P196" s="100"/>
      <c r="Q196" s="106"/>
    </row>
    <row r="197" spans="16:17">
      <c r="P197" s="100"/>
      <c r="Q197" s="106"/>
    </row>
    <row r="198" spans="16:17">
      <c r="P198" s="100"/>
      <c r="Q198" s="106"/>
    </row>
    <row r="199" spans="16:17">
      <c r="P199" s="100"/>
      <c r="Q199" s="106"/>
    </row>
    <row r="200" spans="16:17">
      <c r="P200" s="100"/>
      <c r="Q200" s="106"/>
    </row>
    <row r="201" spans="16:17">
      <c r="P201" s="100"/>
      <c r="Q201" s="106"/>
    </row>
    <row r="202" spans="16:17">
      <c r="P202" s="100"/>
      <c r="Q202" s="106"/>
    </row>
    <row r="203" spans="16:17">
      <c r="P203" s="100"/>
      <c r="Q203" s="106"/>
    </row>
    <row r="204" spans="16:17">
      <c r="P204" s="100"/>
      <c r="Q204" s="106"/>
    </row>
    <row r="205" spans="16:17">
      <c r="P205" s="100"/>
      <c r="Q205" s="106"/>
    </row>
    <row r="206" spans="16:17">
      <c r="P206" s="100"/>
      <c r="Q206" s="106"/>
    </row>
    <row r="207" spans="16:17">
      <c r="P207" s="100"/>
      <c r="Q207" s="106"/>
    </row>
    <row r="208" spans="16:17">
      <c r="P208" s="100"/>
      <c r="Q208" s="106"/>
    </row>
    <row r="209" spans="16:17">
      <c r="P209" s="100"/>
      <c r="Q209" s="106"/>
    </row>
    <row r="210" spans="16:17">
      <c r="P210" s="100"/>
      <c r="Q210" s="106"/>
    </row>
    <row r="211" spans="16:17">
      <c r="P211" s="100"/>
      <c r="Q211" s="106"/>
    </row>
    <row r="212" spans="16:17">
      <c r="P212" s="100"/>
      <c r="Q212" s="106"/>
    </row>
    <row r="213" spans="16:17">
      <c r="P213" s="100"/>
      <c r="Q213" s="106"/>
    </row>
    <row r="214" spans="16:17">
      <c r="P214" s="100"/>
      <c r="Q214" s="106"/>
    </row>
    <row r="215" spans="16:17">
      <c r="P215" s="100"/>
      <c r="Q215" s="106"/>
    </row>
    <row r="216" spans="16:17">
      <c r="P216" s="100"/>
      <c r="Q216" s="106"/>
    </row>
    <row r="217" spans="16:17">
      <c r="P217" s="100"/>
      <c r="Q217" s="106"/>
    </row>
    <row r="218" spans="16:17">
      <c r="P218" s="100"/>
      <c r="Q218" s="106"/>
    </row>
    <row r="219" spans="16:17">
      <c r="P219" s="100"/>
      <c r="Q219" s="106"/>
    </row>
    <row r="220" spans="16:17">
      <c r="P220" s="100"/>
      <c r="Q220" s="106"/>
    </row>
    <row r="221" spans="16:17">
      <c r="P221" s="100"/>
      <c r="Q221" s="106"/>
    </row>
    <row r="222" spans="16:17">
      <c r="P222" s="100"/>
      <c r="Q222" s="106"/>
    </row>
    <row r="223" spans="16:17">
      <c r="P223" s="100"/>
      <c r="Q223" s="106"/>
    </row>
    <row r="224" spans="16:17">
      <c r="P224" s="100"/>
      <c r="Q224" s="106"/>
    </row>
    <row r="225" spans="16:17">
      <c r="P225" s="100"/>
      <c r="Q225" s="106"/>
    </row>
    <row r="226" spans="16:17">
      <c r="P226" s="100"/>
      <c r="Q226" s="106"/>
    </row>
    <row r="227" spans="16:17">
      <c r="P227" s="100"/>
      <c r="Q227" s="106"/>
    </row>
    <row r="228" spans="16:17">
      <c r="P228" s="100"/>
      <c r="Q228" s="106"/>
    </row>
    <row r="229" spans="16:17">
      <c r="P229" s="100"/>
      <c r="Q229" s="106"/>
    </row>
  </sheetData>
  <phoneticPr fontId="16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B4C1D-8B52-49F4-99CF-BD18378DB6B0}">
  <dimension ref="A1:AG58"/>
  <sheetViews>
    <sheetView topLeftCell="F1" zoomScale="78" zoomScaleNormal="78" workbookViewId="0">
      <selection activeCell="W40" sqref="W40"/>
    </sheetView>
  </sheetViews>
  <sheetFormatPr defaultColWidth="8.6640625" defaultRowHeight="15.5"/>
  <cols>
    <col min="1" max="16384" width="8.6640625" style="60"/>
  </cols>
  <sheetData>
    <row r="1" spans="1:33" ht="25">
      <c r="B1" s="128" t="s">
        <v>280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S1" s="128" t="s">
        <v>281</v>
      </c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</row>
    <row r="2" spans="1:33" ht="25">
      <c r="B2" s="62" t="s">
        <v>283</v>
      </c>
      <c r="C2" s="62" t="s">
        <v>284</v>
      </c>
      <c r="D2" s="62" t="s">
        <v>285</v>
      </c>
      <c r="E2" s="62" t="s">
        <v>286</v>
      </c>
      <c r="F2" s="62" t="s">
        <v>40</v>
      </c>
      <c r="G2" s="62" t="s">
        <v>37</v>
      </c>
      <c r="H2" s="62" t="s">
        <v>35</v>
      </c>
      <c r="I2" s="62" t="s">
        <v>287</v>
      </c>
      <c r="J2" s="62" t="s">
        <v>288</v>
      </c>
      <c r="K2" s="62" t="s">
        <v>289</v>
      </c>
      <c r="L2" s="62" t="s">
        <v>290</v>
      </c>
      <c r="M2" s="62" t="s">
        <v>291</v>
      </c>
      <c r="N2" s="62" t="s">
        <v>292</v>
      </c>
      <c r="O2" s="61"/>
      <c r="P2" s="61"/>
      <c r="S2" s="62" t="s">
        <v>283</v>
      </c>
      <c r="T2" s="62" t="s">
        <v>284</v>
      </c>
      <c r="U2" s="62" t="s">
        <v>285</v>
      </c>
      <c r="V2" s="62" t="s">
        <v>286</v>
      </c>
      <c r="W2" s="62" t="s">
        <v>40</v>
      </c>
      <c r="X2" s="62" t="s">
        <v>37</v>
      </c>
      <c r="Y2" s="62" t="s">
        <v>35</v>
      </c>
      <c r="Z2" s="62" t="s">
        <v>287</v>
      </c>
      <c r="AA2" s="62" t="s">
        <v>288</v>
      </c>
      <c r="AB2" s="62" t="s">
        <v>289</v>
      </c>
      <c r="AC2" s="62" t="s">
        <v>290</v>
      </c>
      <c r="AD2" s="62" t="s">
        <v>291</v>
      </c>
      <c r="AE2" s="62" t="s">
        <v>292</v>
      </c>
    </row>
    <row r="3" spans="1:33" ht="16.5">
      <c r="A3" s="63" t="s">
        <v>282</v>
      </c>
      <c r="B3" s="60">
        <v>100</v>
      </c>
      <c r="N3" s="60">
        <f>SUM(B3:M3)</f>
        <v>100</v>
      </c>
      <c r="R3" s="63" t="s">
        <v>282</v>
      </c>
      <c r="S3" s="60">
        <v>100</v>
      </c>
      <c r="AE3" s="60">
        <f>SUM(S3:AD3)</f>
        <v>100</v>
      </c>
    </row>
    <row r="4" spans="1:33">
      <c r="A4" s="64" t="s">
        <v>118</v>
      </c>
      <c r="B4" s="58">
        <v>77.190016903649195</v>
      </c>
      <c r="C4">
        <v>0.10937655364422789</v>
      </c>
      <c r="D4" s="60">
        <v>12.657850253554738</v>
      </c>
      <c r="E4" s="60">
        <v>3.0128268867455503</v>
      </c>
      <c r="F4" s="60">
        <v>2.9829969175698516E-2</v>
      </c>
      <c r="G4" s="60">
        <v>5.9659938351397032E-2</v>
      </c>
      <c r="H4" s="60">
        <v>0.91478572138808778</v>
      </c>
      <c r="I4" s="60">
        <v>4.4148354380033812</v>
      </c>
      <c r="J4" s="60">
        <v>1.6108183354877199</v>
      </c>
      <c r="N4" s="60">
        <f t="shared" ref="N4:N58" si="0">SUM(B4:M4)</f>
        <v>100</v>
      </c>
      <c r="R4" s="64" t="s">
        <v>118</v>
      </c>
      <c r="S4">
        <v>82.421500102078411</v>
      </c>
      <c r="T4">
        <v>8.786254387506072E-2</v>
      </c>
      <c r="U4">
        <v>7.964620295448082</v>
      </c>
      <c r="V4">
        <v>2.6904296508146874</v>
      </c>
      <c r="W4">
        <v>2.697848900893271E-2</v>
      </c>
      <c r="X4">
        <v>9.4966563857455985E-2</v>
      </c>
      <c r="Y4">
        <v>1.0465787008163518</v>
      </c>
      <c r="Z4">
        <v>4.5699427555375625</v>
      </c>
      <c r="AA4">
        <v>1.0971208985634648</v>
      </c>
      <c r="AE4" s="60">
        <f t="shared" ref="AE4:AE58" si="1">SUM(S4:AD4)</f>
        <v>100.00000000000003</v>
      </c>
    </row>
    <row r="5" spans="1:33">
      <c r="A5" s="64" t="s">
        <v>202</v>
      </c>
      <c r="B5" s="60">
        <v>76.567918359258897</v>
      </c>
      <c r="C5" s="60">
        <v>0.13870999702764295</v>
      </c>
      <c r="D5" s="60">
        <v>13.266620430000991</v>
      </c>
      <c r="E5" s="60">
        <v>2.9129099375805017</v>
      </c>
      <c r="F5" s="60">
        <v>1.9815713861091846E-2</v>
      </c>
      <c r="G5" s="60">
        <v>5.9447141583275541E-2</v>
      </c>
      <c r="H5" s="60">
        <v>0.74308926979094425</v>
      </c>
      <c r="I5" s="60">
        <v>2.6850292281779451</v>
      </c>
      <c r="J5" s="60">
        <v>3.5767363519270785</v>
      </c>
      <c r="K5" s="60">
        <v>2.972357079163777E-2</v>
      </c>
      <c r="N5" s="60">
        <f t="shared" si="0"/>
        <v>100.00000000000001</v>
      </c>
      <c r="R5" s="64" t="s">
        <v>202</v>
      </c>
      <c r="S5" s="60">
        <v>82.575451056299158</v>
      </c>
      <c r="T5" s="60">
        <v>0.11254132824801823</v>
      </c>
      <c r="U5" s="60">
        <v>8.4312149636928098</v>
      </c>
      <c r="V5" s="60">
        <v>2.62723702174981</v>
      </c>
      <c r="W5" s="60">
        <v>1.810086278282912E-2</v>
      </c>
      <c r="X5" s="60">
        <v>9.557485265972987E-2</v>
      </c>
      <c r="Y5" s="60">
        <v>0.85865408603528715</v>
      </c>
      <c r="Z5" s="60">
        <v>2.8071782711111739</v>
      </c>
      <c r="AA5" s="60">
        <v>2.4604785766655217</v>
      </c>
      <c r="AB5" s="60">
        <v>1.3568980755656842E-2</v>
      </c>
      <c r="AE5" s="60">
        <f t="shared" si="1"/>
        <v>99.999999999999972</v>
      </c>
    </row>
    <row r="6" spans="1:33">
      <c r="A6" s="64" t="s">
        <v>114</v>
      </c>
      <c r="B6" s="60">
        <v>76.364178511082386</v>
      </c>
      <c r="C6" s="60">
        <v>0.10933306828347081</v>
      </c>
      <c r="D6" s="60">
        <v>12.354636716032202</v>
      </c>
      <c r="E6" s="60">
        <v>2.9420534738097599</v>
      </c>
      <c r="F6" s="60">
        <v>4.9696849219759462E-2</v>
      </c>
      <c r="G6" s="60">
        <v>6.9575588907663258E-2</v>
      </c>
      <c r="H6" s="60">
        <v>0.89454328595567034</v>
      </c>
      <c r="I6" s="60">
        <v>2.9122353642779042</v>
      </c>
      <c r="J6" s="60">
        <v>4.2639896630553613</v>
      </c>
      <c r="K6" s="60">
        <v>3.9757479375807571E-2</v>
      </c>
      <c r="N6" s="60">
        <f t="shared" si="0"/>
        <v>99.999999999999986</v>
      </c>
      <c r="R6" s="64" t="s">
        <v>114</v>
      </c>
      <c r="S6" s="60">
        <v>82.243364784299203</v>
      </c>
      <c r="T6" s="60">
        <v>8.8585549137830649E-2</v>
      </c>
      <c r="U6" s="60">
        <v>7.8409179558279902</v>
      </c>
      <c r="V6" s="60">
        <v>2.6499021143399273</v>
      </c>
      <c r="W6" s="60">
        <v>4.5334150336075754E-2</v>
      </c>
      <c r="X6" s="60">
        <v>0.11170603131154887</v>
      </c>
      <c r="Y6" s="60">
        <v>1.0322518803230309</v>
      </c>
      <c r="Z6" s="60">
        <v>3.0405665872476879</v>
      </c>
      <c r="AA6" s="60">
        <v>2.9292461915893884</v>
      </c>
      <c r="AB6" s="60">
        <v>1.8124755587313399E-2</v>
      </c>
      <c r="AE6" s="60">
        <f t="shared" si="1"/>
        <v>99.999999999999986</v>
      </c>
    </row>
    <row r="7" spans="1:33">
      <c r="A7" s="64" t="s">
        <v>117</v>
      </c>
      <c r="B7" s="60">
        <v>74.40734887396286</v>
      </c>
      <c r="C7" s="60">
        <v>0.1185302252074279</v>
      </c>
      <c r="D7" s="60">
        <v>13.443303042275781</v>
      </c>
      <c r="E7" s="60">
        <v>2.8941129988146979</v>
      </c>
      <c r="F7" s="60">
        <v>2.9632556301856974E-2</v>
      </c>
      <c r="G7" s="60">
        <v>6.9142631370999616E-2</v>
      </c>
      <c r="H7" s="60">
        <v>0.86922165152113795</v>
      </c>
      <c r="I7" s="60">
        <v>1.3927301461872779</v>
      </c>
      <c r="J7" s="60">
        <v>6.7167127617542475</v>
      </c>
      <c r="K7" s="60">
        <v>5.9265112603713949E-2</v>
      </c>
      <c r="N7" s="60">
        <f t="shared" si="0"/>
        <v>100</v>
      </c>
      <c r="R7" s="64" t="s">
        <v>117</v>
      </c>
      <c r="S7" s="60">
        <v>81.268041886294469</v>
      </c>
      <c r="T7" s="60">
        <v>9.7394231254404454E-2</v>
      </c>
      <c r="U7" s="60">
        <v>8.6523822475006913</v>
      </c>
      <c r="V7" s="60">
        <v>2.6435500203608755</v>
      </c>
      <c r="W7" s="60">
        <v>2.7413123477692349E-2</v>
      </c>
      <c r="X7" s="60">
        <v>0.11257926628694408</v>
      </c>
      <c r="Y7" s="60">
        <v>1.0172030103594694</v>
      </c>
      <c r="Z7" s="60">
        <v>1.4746460860025465</v>
      </c>
      <c r="AA7" s="60">
        <v>4.6793904662195933</v>
      </c>
      <c r="AB7" s="60">
        <v>2.739966224329074E-2</v>
      </c>
      <c r="AE7" s="60">
        <f>SUM(S7:AD7)</f>
        <v>99.999999999999972</v>
      </c>
    </row>
    <row r="8" spans="1:33">
      <c r="A8" s="64" t="s">
        <v>113</v>
      </c>
      <c r="B8" s="60">
        <v>73.171941660879057</v>
      </c>
      <c r="C8" s="60">
        <v>0.30757019545589842</v>
      </c>
      <c r="D8" s="60">
        <v>11.896021430697491</v>
      </c>
      <c r="E8" s="60">
        <v>3.2840559579323347</v>
      </c>
      <c r="F8" s="60">
        <v>6.9451334457783523E-2</v>
      </c>
      <c r="G8" s="60">
        <v>1.6271455501537853</v>
      </c>
      <c r="H8" s="60">
        <v>2.956642524059927</v>
      </c>
      <c r="I8" s="60">
        <v>3.1352316698085132</v>
      </c>
      <c r="J8" s="60">
        <v>3.5320964381387046</v>
      </c>
      <c r="K8" s="60">
        <v>1.9843238416509576E-2</v>
      </c>
      <c r="N8" s="60">
        <f t="shared" si="0"/>
        <v>100.00000000000001</v>
      </c>
      <c r="R8" s="64" t="s">
        <v>113</v>
      </c>
      <c r="S8" s="60">
        <v>77.748874131857548</v>
      </c>
      <c r="T8" s="60">
        <v>0.24586343085105578</v>
      </c>
      <c r="U8" s="60">
        <v>7.4486404525429624</v>
      </c>
      <c r="V8" s="60">
        <v>2.9182880826884063</v>
      </c>
      <c r="W8" s="60">
        <v>6.250511569827491E-2</v>
      </c>
      <c r="X8" s="60">
        <v>2.5774157481636819</v>
      </c>
      <c r="Y8" s="60">
        <v>3.3660571440072675</v>
      </c>
      <c r="Z8" s="60">
        <v>3.2295054980173461</v>
      </c>
      <c r="AA8" s="60">
        <v>2.3939254786712652</v>
      </c>
      <c r="AB8" s="60">
        <v>8.9249175021914491E-3</v>
      </c>
      <c r="AE8" s="60">
        <f t="shared" si="1"/>
        <v>100</v>
      </c>
    </row>
    <row r="9" spans="1:33">
      <c r="A9" s="64" t="s">
        <v>110</v>
      </c>
      <c r="B9" s="60">
        <v>59.735311810707842</v>
      </c>
      <c r="C9" s="60">
        <v>0.58151193102065368</v>
      </c>
      <c r="D9" s="60">
        <v>17.986765590535395</v>
      </c>
      <c r="E9" s="60">
        <v>6.2963705634650093</v>
      </c>
      <c r="F9" s="60">
        <v>0.20052135552436334</v>
      </c>
      <c r="G9" s="60">
        <v>2.8674553839983958</v>
      </c>
      <c r="H9" s="60">
        <v>7.730098255464207</v>
      </c>
      <c r="I9" s="60">
        <v>3.7597754160818129</v>
      </c>
      <c r="J9" s="60">
        <v>0.84218969320232606</v>
      </c>
      <c r="K9" s="60">
        <v>0</v>
      </c>
      <c r="N9" s="60">
        <f t="shared" si="0"/>
        <v>100</v>
      </c>
      <c r="R9" s="64" t="s">
        <v>110</v>
      </c>
      <c r="S9" s="60">
        <v>64.268226648934615</v>
      </c>
      <c r="T9" s="60">
        <v>0.47067807750873564</v>
      </c>
      <c r="U9" s="60">
        <v>11.403653176376549</v>
      </c>
      <c r="V9" s="60">
        <v>5.6653082541249171</v>
      </c>
      <c r="W9" s="60">
        <v>0.18273058838123016</v>
      </c>
      <c r="X9" s="60">
        <v>4.5990739883158946</v>
      </c>
      <c r="Y9" s="60">
        <v>8.9109361553850874</v>
      </c>
      <c r="Z9" s="60">
        <v>3.9214253041134342</v>
      </c>
      <c r="AA9" s="60">
        <v>0.57796780685953475</v>
      </c>
      <c r="AE9" s="60">
        <f t="shared" si="1"/>
        <v>100</v>
      </c>
    </row>
    <row r="10" spans="1:33">
      <c r="A10" s="64" t="s">
        <v>105</v>
      </c>
      <c r="B10" s="60">
        <v>49.89373545187734</v>
      </c>
      <c r="C10" s="60">
        <v>0.87035725129035524</v>
      </c>
      <c r="D10" s="60">
        <v>17.103532031170932</v>
      </c>
      <c r="E10" s="60">
        <v>8.1874304220220626</v>
      </c>
      <c r="F10" s="60">
        <v>0.16192693047262421</v>
      </c>
      <c r="G10" s="60">
        <v>6.1937050905778763</v>
      </c>
      <c r="H10" s="60">
        <v>12.144519785446818</v>
      </c>
      <c r="I10" s="60">
        <v>2.77299868434369</v>
      </c>
      <c r="J10" s="60">
        <v>2.165772695071349</v>
      </c>
      <c r="K10" s="60">
        <v>0.50602165772695074</v>
      </c>
      <c r="N10" s="60">
        <f t="shared" si="0"/>
        <v>100</v>
      </c>
      <c r="R10" s="64" t="s">
        <v>105</v>
      </c>
      <c r="S10" s="60">
        <v>52.998773901711814</v>
      </c>
      <c r="T10" s="60">
        <v>0.69553263795723619</v>
      </c>
      <c r="U10" s="60">
        <v>10.706101389036839</v>
      </c>
      <c r="V10" s="60">
        <v>7.2733671139588614</v>
      </c>
      <c r="W10" s="60">
        <v>0.1456881824228515</v>
      </c>
      <c r="X10" s="60">
        <v>9.8079641776712343</v>
      </c>
      <c r="Y10" s="60">
        <v>13.822076287225862</v>
      </c>
      <c r="Z10" s="60">
        <v>2.8555273723658194</v>
      </c>
      <c r="AA10" s="60">
        <v>1.4674429343152027</v>
      </c>
      <c r="AB10" s="60">
        <v>0.22752600333430537</v>
      </c>
      <c r="AE10" s="60">
        <f t="shared" si="1"/>
        <v>100</v>
      </c>
    </row>
    <row r="11" spans="1:33">
      <c r="A11" s="64" t="s">
        <v>267</v>
      </c>
      <c r="N11" s="60">
        <f t="shared" si="0"/>
        <v>0</v>
      </c>
      <c r="R11" s="64" t="s">
        <v>267</v>
      </c>
      <c r="AE11" s="60">
        <f t="shared" si="1"/>
        <v>0</v>
      </c>
    </row>
    <row r="12" spans="1:33">
      <c r="A12" s="64" t="s">
        <v>165</v>
      </c>
      <c r="N12" s="60">
        <f t="shared" si="0"/>
        <v>0</v>
      </c>
      <c r="R12" s="64" t="s">
        <v>165</v>
      </c>
      <c r="AE12" s="60">
        <f t="shared" si="1"/>
        <v>0</v>
      </c>
    </row>
    <row r="13" spans="1:33">
      <c r="A13" s="64" t="s">
        <v>266</v>
      </c>
      <c r="N13" s="60">
        <f t="shared" si="0"/>
        <v>0</v>
      </c>
      <c r="R13" s="64" t="s">
        <v>266</v>
      </c>
      <c r="AE13" s="60">
        <f t="shared" si="1"/>
        <v>0</v>
      </c>
    </row>
    <row r="14" spans="1:33">
      <c r="A14" s="64" t="s">
        <v>265</v>
      </c>
      <c r="N14" s="60">
        <f t="shared" si="0"/>
        <v>0</v>
      </c>
      <c r="R14" s="64" t="s">
        <v>265</v>
      </c>
      <c r="AE14" s="60">
        <f t="shared" si="1"/>
        <v>0</v>
      </c>
    </row>
    <row r="15" spans="1:33">
      <c r="A15" s="64" t="s">
        <v>264</v>
      </c>
      <c r="N15" s="60">
        <f t="shared" si="0"/>
        <v>0</v>
      </c>
      <c r="R15" s="64" t="s">
        <v>264</v>
      </c>
      <c r="AE15" s="60">
        <f t="shared" si="1"/>
        <v>0</v>
      </c>
    </row>
    <row r="16" spans="1:33">
      <c r="A16" s="64" t="s">
        <v>111</v>
      </c>
      <c r="N16" s="60">
        <f t="shared" si="0"/>
        <v>0</v>
      </c>
      <c r="R16" s="64" t="s">
        <v>111</v>
      </c>
      <c r="AE16" s="60">
        <f>SUM(S16:AD16)</f>
        <v>0</v>
      </c>
    </row>
    <row r="17" spans="1:31">
      <c r="A17" s="64" t="s">
        <v>104</v>
      </c>
      <c r="B17" s="60">
        <v>72.203765227021037</v>
      </c>
      <c r="C17" s="60">
        <v>0.14094432699083861</v>
      </c>
      <c r="D17" s="60">
        <v>1.2382965871337963</v>
      </c>
      <c r="E17" s="60">
        <v>0</v>
      </c>
      <c r="F17" s="60">
        <v>0</v>
      </c>
      <c r="G17" s="60">
        <v>4.2081949058693242</v>
      </c>
      <c r="H17" s="60">
        <v>6.7753951474881697</v>
      </c>
      <c r="I17" s="60">
        <v>15.05084063223598</v>
      </c>
      <c r="J17" s="60">
        <v>0.38256317326084766</v>
      </c>
      <c r="K17" s="60">
        <v>0</v>
      </c>
      <c r="N17" s="60">
        <f t="shared" si="0"/>
        <v>99.999999999999986</v>
      </c>
      <c r="R17" s="64" t="s">
        <v>104</v>
      </c>
      <c r="S17" s="60">
        <v>71.201798056381818</v>
      </c>
      <c r="T17" s="60">
        <v>0.10456320233435815</v>
      </c>
      <c r="U17" s="60">
        <v>0.7195840619323749</v>
      </c>
      <c r="V17" s="60">
        <v>0</v>
      </c>
      <c r="W17" s="60">
        <v>0</v>
      </c>
      <c r="X17" s="60">
        <v>6.1863645346202336</v>
      </c>
      <c r="Y17" s="60">
        <v>7.1587777668032935</v>
      </c>
      <c r="Z17" s="60">
        <v>14.388275146903693</v>
      </c>
      <c r="AA17" s="60">
        <v>0.24063723102423554</v>
      </c>
      <c r="AB17" s="60">
        <v>0</v>
      </c>
      <c r="AE17" s="60">
        <f t="shared" si="1"/>
        <v>100.00000000000003</v>
      </c>
    </row>
    <row r="18" spans="1:31">
      <c r="A18" s="64" t="s">
        <v>106</v>
      </c>
      <c r="N18" s="60">
        <f t="shared" si="0"/>
        <v>0</v>
      </c>
      <c r="R18" s="64" t="s">
        <v>106</v>
      </c>
      <c r="AE18" s="60">
        <f t="shared" si="1"/>
        <v>0</v>
      </c>
    </row>
    <row r="19" spans="1:31">
      <c r="A19" s="64" t="s">
        <v>263</v>
      </c>
      <c r="N19" s="60">
        <f t="shared" si="0"/>
        <v>0</v>
      </c>
      <c r="R19" s="64" t="s">
        <v>263</v>
      </c>
      <c r="AE19" s="60">
        <f t="shared" si="1"/>
        <v>0</v>
      </c>
    </row>
    <row r="20" spans="1:31">
      <c r="A20" s="64" t="s">
        <v>262</v>
      </c>
      <c r="N20" s="60">
        <f t="shared" si="0"/>
        <v>0</v>
      </c>
      <c r="R20" s="64" t="s">
        <v>262</v>
      </c>
      <c r="AE20" s="60">
        <f t="shared" si="1"/>
        <v>0</v>
      </c>
    </row>
    <row r="21" spans="1:31">
      <c r="A21" s="64" t="s">
        <v>163</v>
      </c>
      <c r="N21" s="60">
        <f t="shared" si="0"/>
        <v>0</v>
      </c>
      <c r="R21" s="64" t="s">
        <v>163</v>
      </c>
      <c r="AE21" s="60">
        <f t="shared" si="1"/>
        <v>0</v>
      </c>
    </row>
    <row r="22" spans="1:31">
      <c r="A22" s="64" t="s">
        <v>164</v>
      </c>
      <c r="N22" s="60">
        <f t="shared" si="0"/>
        <v>0</v>
      </c>
      <c r="R22" s="64" t="s">
        <v>164</v>
      </c>
      <c r="AE22" s="60">
        <f t="shared" si="1"/>
        <v>0</v>
      </c>
    </row>
    <row r="23" spans="1:31">
      <c r="A23" s="64" t="s">
        <v>261</v>
      </c>
      <c r="N23" s="60">
        <f t="shared" si="0"/>
        <v>0</v>
      </c>
      <c r="R23" s="64" t="s">
        <v>261</v>
      </c>
      <c r="AE23" s="60">
        <f t="shared" si="1"/>
        <v>0</v>
      </c>
    </row>
    <row r="24" spans="1:31">
      <c r="A24" s="64" t="s">
        <v>107</v>
      </c>
      <c r="N24" s="60">
        <f t="shared" si="0"/>
        <v>0</v>
      </c>
      <c r="R24" s="64" t="s">
        <v>107</v>
      </c>
      <c r="AE24" s="60">
        <f t="shared" si="1"/>
        <v>0</v>
      </c>
    </row>
    <row r="25" spans="1:31">
      <c r="A25" s="64" t="s">
        <v>108</v>
      </c>
      <c r="N25" s="60">
        <f t="shared" si="0"/>
        <v>0</v>
      </c>
      <c r="R25" s="64" t="s">
        <v>108</v>
      </c>
      <c r="AE25" s="60">
        <f t="shared" si="1"/>
        <v>0</v>
      </c>
    </row>
    <row r="26" spans="1:31">
      <c r="A26" s="59" t="s">
        <v>120</v>
      </c>
      <c r="B26" s="60">
        <v>62.568936127544376</v>
      </c>
      <c r="C26" s="60">
        <v>0.5514890203549585</v>
      </c>
      <c r="D26" s="60">
        <v>20.064173267823126</v>
      </c>
      <c r="E26" s="60">
        <v>0</v>
      </c>
      <c r="F26" s="60">
        <v>2.0054146194725762E-2</v>
      </c>
      <c r="G26" s="60">
        <v>3.2287175373508474</v>
      </c>
      <c r="H26" s="60">
        <v>9.1045823724054955</v>
      </c>
      <c r="I26" s="60">
        <v>3.5295297302717339</v>
      </c>
      <c r="J26" s="60">
        <v>0.93251779805474788</v>
      </c>
      <c r="K26" s="60">
        <v>0</v>
      </c>
      <c r="L26" s="60">
        <v>0</v>
      </c>
      <c r="N26" s="60">
        <f t="shared" si="0"/>
        <v>100</v>
      </c>
      <c r="R26" s="59" t="s">
        <v>120</v>
      </c>
      <c r="S26" s="60">
        <v>66.983710785232105</v>
      </c>
      <c r="T26" s="60">
        <v>0.44416820026155118</v>
      </c>
      <c r="U26" s="60">
        <v>12.657777171572546</v>
      </c>
      <c r="V26" s="60">
        <v>0</v>
      </c>
      <c r="W26" s="60">
        <v>1.81844448997718E-2</v>
      </c>
      <c r="X26" s="60">
        <v>5.1528681573230326</v>
      </c>
      <c r="Y26" s="60">
        <v>10.443440534557165</v>
      </c>
      <c r="Z26" s="60">
        <v>3.6630608937499334</v>
      </c>
      <c r="AA26" s="60">
        <v>0.63678981240387655</v>
      </c>
      <c r="AB26" s="60">
        <v>0</v>
      </c>
      <c r="AC26" s="60">
        <v>0</v>
      </c>
      <c r="AE26" s="60">
        <f t="shared" si="1"/>
        <v>99.999999999999986</v>
      </c>
    </row>
    <row r="27" spans="1:31">
      <c r="A27" s="59" t="s">
        <v>124</v>
      </c>
      <c r="B27" s="60">
        <v>51.307723743359219</v>
      </c>
      <c r="C27" s="60">
        <v>0.561912545974663</v>
      </c>
      <c r="D27" s="60">
        <v>19.319574989783408</v>
      </c>
      <c r="E27" s="60">
        <v>0</v>
      </c>
      <c r="F27" s="60">
        <v>0</v>
      </c>
      <c r="G27" s="60">
        <v>11.391499795668166</v>
      </c>
      <c r="H27" s="60">
        <v>12.729873314262363</v>
      </c>
      <c r="I27" s="60">
        <v>3.2590927666530445</v>
      </c>
      <c r="J27" s="60">
        <v>1.4303228442991418</v>
      </c>
      <c r="K27" s="60">
        <v>0</v>
      </c>
      <c r="L27" s="60">
        <v>0</v>
      </c>
      <c r="M27" s="60">
        <v>0</v>
      </c>
      <c r="N27" s="60">
        <f t="shared" si="0"/>
        <v>100</v>
      </c>
      <c r="R27" s="59" t="s">
        <v>124</v>
      </c>
      <c r="S27" s="60">
        <v>52.457321986604697</v>
      </c>
      <c r="T27" s="60">
        <v>0.43220745764277857</v>
      </c>
      <c r="U27" s="60">
        <v>11.639831140815941</v>
      </c>
      <c r="V27" s="60">
        <v>0</v>
      </c>
      <c r="W27" s="60">
        <v>0</v>
      </c>
      <c r="X27" s="60">
        <v>17.362522442046195</v>
      </c>
      <c r="Y27" s="60">
        <v>13.94506637604319</v>
      </c>
      <c r="Z27" s="60">
        <v>3.2302560732648593</v>
      </c>
      <c r="AA27" s="60">
        <v>0.93279452358234194</v>
      </c>
      <c r="AB27" s="60">
        <v>0</v>
      </c>
      <c r="AC27" s="60">
        <v>0</v>
      </c>
      <c r="AE27" s="60">
        <f t="shared" si="1"/>
        <v>100</v>
      </c>
    </row>
    <row r="28" spans="1:31">
      <c r="A28" s="59" t="s">
        <v>125</v>
      </c>
      <c r="B28" s="60">
        <v>58.82</v>
      </c>
      <c r="C28" s="60">
        <v>0.79</v>
      </c>
      <c r="D28" s="60">
        <v>19.420000000000002</v>
      </c>
      <c r="E28" s="60">
        <v>0</v>
      </c>
      <c r="F28" s="60">
        <v>0</v>
      </c>
      <c r="G28" s="60">
        <v>1.87</v>
      </c>
      <c r="H28" s="60">
        <v>2.35</v>
      </c>
      <c r="I28" s="60">
        <v>9.31</v>
      </c>
      <c r="J28" s="60">
        <v>7.44</v>
      </c>
      <c r="K28" s="60">
        <v>0</v>
      </c>
      <c r="L28" s="60">
        <v>0</v>
      </c>
      <c r="M28" s="60">
        <v>0</v>
      </c>
      <c r="N28" s="60">
        <f t="shared" si="0"/>
        <v>100</v>
      </c>
      <c r="R28" s="59" t="s">
        <v>125</v>
      </c>
      <c r="S28" s="60">
        <v>65.402784021852028</v>
      </c>
      <c r="T28" s="60">
        <v>0.66084326192041143</v>
      </c>
      <c r="U28" s="60">
        <v>12.724659941531852</v>
      </c>
      <c r="V28" s="60">
        <v>0</v>
      </c>
      <c r="W28" s="60">
        <v>0</v>
      </c>
      <c r="X28" s="60">
        <v>3.0997121626995012</v>
      </c>
      <c r="Y28" s="60">
        <v>2.7997046194138071</v>
      </c>
      <c r="Z28" s="60">
        <v>10.035470941801545</v>
      </c>
      <c r="AA28" s="60">
        <v>5.2768250507808787</v>
      </c>
      <c r="AB28" s="60">
        <v>0</v>
      </c>
      <c r="AC28" s="60">
        <v>0</v>
      </c>
      <c r="AD28" s="60">
        <v>0</v>
      </c>
      <c r="AE28" s="60">
        <f t="shared" si="1"/>
        <v>100.00000000000003</v>
      </c>
    </row>
    <row r="29" spans="1:31">
      <c r="A29" s="59" t="s">
        <v>126</v>
      </c>
      <c r="B29" s="60">
        <v>64.443555644435548</v>
      </c>
      <c r="C29" s="60">
        <v>0.49995000499950004</v>
      </c>
      <c r="D29" s="60">
        <v>16.708329167083292</v>
      </c>
      <c r="E29" s="60">
        <v>0</v>
      </c>
      <c r="F29" s="60">
        <v>0</v>
      </c>
      <c r="G29" s="60">
        <v>2.9197080291970803</v>
      </c>
      <c r="H29" s="60">
        <v>5.3594640535946398</v>
      </c>
      <c r="I29" s="60">
        <v>6.6993300669933005</v>
      </c>
      <c r="J29" s="60">
        <v>3.36966303369663</v>
      </c>
      <c r="K29" s="60">
        <v>0</v>
      </c>
      <c r="L29" s="60">
        <v>0</v>
      </c>
      <c r="N29" s="60">
        <f t="shared" si="0"/>
        <v>99.999999999999986</v>
      </c>
      <c r="R29" s="59" t="s">
        <v>126</v>
      </c>
      <c r="S29" s="60">
        <v>68.993996401734975</v>
      </c>
      <c r="T29" s="60">
        <v>0.40267859438948606</v>
      </c>
      <c r="U29" s="60">
        <v>10.54121263606315</v>
      </c>
      <c r="V29" s="60">
        <v>0</v>
      </c>
      <c r="W29" s="60">
        <v>0</v>
      </c>
      <c r="X29" s="60">
        <v>4.6599341215684689</v>
      </c>
      <c r="Y29" s="60">
        <v>6.1478930809603911</v>
      </c>
      <c r="Z29" s="60">
        <v>6.953125115124756</v>
      </c>
      <c r="AA29" s="60">
        <v>2.3011600501587841</v>
      </c>
      <c r="AB29" s="60">
        <v>0</v>
      </c>
      <c r="AC29" s="60">
        <v>0</v>
      </c>
      <c r="AE29" s="60">
        <f t="shared" si="1"/>
        <v>100</v>
      </c>
    </row>
    <row r="30" spans="1:31">
      <c r="A30" s="59" t="s">
        <v>127</v>
      </c>
      <c r="B30" s="60">
        <v>50.168684262750546</v>
      </c>
      <c r="C30" s="60">
        <v>2.3318118674340145</v>
      </c>
      <c r="D30" s="60">
        <v>13.921412978765629</v>
      </c>
      <c r="E30" s="60">
        <v>0</v>
      </c>
      <c r="F30" s="60">
        <v>0</v>
      </c>
      <c r="G30" s="60">
        <v>8.7219686445723337</v>
      </c>
      <c r="H30" s="60">
        <v>14.883905536812859</v>
      </c>
      <c r="I30" s="60">
        <v>6.9855129986108357</v>
      </c>
      <c r="J30" s="60">
        <v>2.9867037110537806</v>
      </c>
      <c r="K30" s="60">
        <v>0</v>
      </c>
      <c r="L30" s="60">
        <v>0</v>
      </c>
      <c r="N30" s="60">
        <f t="shared" si="0"/>
        <v>99.999999999999986</v>
      </c>
      <c r="R30" s="59" t="s">
        <v>127</v>
      </c>
      <c r="S30" s="60">
        <v>51.321621068887275</v>
      </c>
      <c r="T30" s="60">
        <v>1.7945737975788043</v>
      </c>
      <c r="U30" s="60">
        <v>8.3922172036382356</v>
      </c>
      <c r="V30" s="60">
        <v>0</v>
      </c>
      <c r="W30" s="60">
        <v>0</v>
      </c>
      <c r="X30" s="60">
        <v>13.301196858961415</v>
      </c>
      <c r="Y30" s="60">
        <v>16.313896242040837</v>
      </c>
      <c r="Z30" s="60">
        <v>6.9276002797820064</v>
      </c>
      <c r="AA30" s="60">
        <v>1.9488945491114251</v>
      </c>
      <c r="AB30" s="60">
        <v>0</v>
      </c>
      <c r="AC30" s="60">
        <v>0</v>
      </c>
      <c r="AE30" s="60">
        <f t="shared" si="1"/>
        <v>100.00000000000001</v>
      </c>
    </row>
    <row r="31" spans="1:31">
      <c r="A31" s="59" t="s">
        <v>128</v>
      </c>
      <c r="B31" s="60">
        <v>43.348920505422342</v>
      </c>
      <c r="C31" s="60">
        <v>2.9549298577255994</v>
      </c>
      <c r="D31" s="60">
        <v>10.128345438264848</v>
      </c>
      <c r="E31" s="60">
        <v>0</v>
      </c>
      <c r="F31" s="60">
        <v>0</v>
      </c>
      <c r="G31" s="60">
        <v>9.1234703014625413</v>
      </c>
      <c r="H31" s="60">
        <v>25.937717640035817</v>
      </c>
      <c r="I31" s="60">
        <v>7.5514874141876422</v>
      </c>
      <c r="J31" s="60">
        <v>0.95512884290120381</v>
      </c>
      <c r="K31" s="60">
        <v>0</v>
      </c>
      <c r="L31" s="60">
        <v>0</v>
      </c>
      <c r="N31" s="60">
        <f t="shared" si="0"/>
        <v>100</v>
      </c>
      <c r="R31" s="59" t="s">
        <v>128</v>
      </c>
      <c r="S31" s="60">
        <v>42.978313279463514</v>
      </c>
      <c r="T31" s="60">
        <v>2.2040346417845602</v>
      </c>
      <c r="U31" s="60">
        <v>5.9174599783728308</v>
      </c>
      <c r="V31" s="60">
        <v>0</v>
      </c>
      <c r="W31" s="60">
        <v>0</v>
      </c>
      <c r="X31" s="60">
        <v>13.484650307176596</v>
      </c>
      <c r="Y31" s="60">
        <v>27.553449342858954</v>
      </c>
      <c r="Z31" s="60">
        <v>7.2580581718712436</v>
      </c>
      <c r="AA31" s="60">
        <v>0.60403427847231006</v>
      </c>
      <c r="AB31" s="60">
        <v>0</v>
      </c>
      <c r="AC31" s="60">
        <v>0</v>
      </c>
      <c r="AE31" s="60">
        <f t="shared" si="1"/>
        <v>100.00000000000001</v>
      </c>
    </row>
    <row r="32" spans="1:31" ht="31">
      <c r="A32" s="59" t="s">
        <v>132</v>
      </c>
      <c r="B32" s="60">
        <v>74.697580645161281</v>
      </c>
      <c r="C32" s="60">
        <v>0</v>
      </c>
      <c r="D32" s="60">
        <v>11.794354838709678</v>
      </c>
      <c r="E32" s="60">
        <v>0</v>
      </c>
      <c r="F32" s="60">
        <v>0</v>
      </c>
      <c r="G32" s="60">
        <v>0</v>
      </c>
      <c r="H32" s="60">
        <v>0</v>
      </c>
      <c r="I32" s="60">
        <v>9.07258064516129</v>
      </c>
      <c r="J32" s="60">
        <v>4.435483870967742</v>
      </c>
      <c r="K32" s="60">
        <v>0</v>
      </c>
      <c r="L32" s="60">
        <v>0</v>
      </c>
      <c r="N32" s="60">
        <f t="shared" si="0"/>
        <v>100</v>
      </c>
      <c r="R32" s="59" t="s">
        <v>132</v>
      </c>
      <c r="S32" s="60">
        <v>80.085491217448833</v>
      </c>
      <c r="T32" s="60">
        <v>0</v>
      </c>
      <c r="U32" s="60">
        <v>7.4515606658095566</v>
      </c>
      <c r="V32" s="60">
        <v>0</v>
      </c>
      <c r="W32" s="60">
        <v>0</v>
      </c>
      <c r="X32" s="60">
        <v>0</v>
      </c>
      <c r="Y32" s="60">
        <v>0</v>
      </c>
      <c r="Z32" s="60">
        <v>9.4296376960073598</v>
      </c>
      <c r="AA32" s="60">
        <v>3.0333104207342432</v>
      </c>
      <c r="AB32" s="60">
        <v>0</v>
      </c>
      <c r="AC32" s="60">
        <v>0</v>
      </c>
      <c r="AD32" s="60">
        <v>0</v>
      </c>
      <c r="AE32" s="60">
        <f t="shared" si="1"/>
        <v>99.999999999999986</v>
      </c>
    </row>
    <row r="33" spans="1:31" ht="31">
      <c r="A33" s="59" t="s">
        <v>133</v>
      </c>
      <c r="B33" s="60">
        <v>74.599999999999994</v>
      </c>
      <c r="C33" s="60">
        <v>0</v>
      </c>
      <c r="D33" s="60">
        <v>11.8</v>
      </c>
      <c r="E33" s="60">
        <v>0</v>
      </c>
      <c r="F33" s="60">
        <v>0</v>
      </c>
      <c r="G33" s="60">
        <v>0</v>
      </c>
      <c r="H33" s="60">
        <v>0</v>
      </c>
      <c r="I33" s="60">
        <v>4.4000000000000004</v>
      </c>
      <c r="J33" s="60">
        <v>9.1999999999999993</v>
      </c>
      <c r="K33" s="60">
        <v>0</v>
      </c>
      <c r="L33" s="60">
        <v>0</v>
      </c>
      <c r="N33" s="60">
        <f t="shared" si="0"/>
        <v>100</v>
      </c>
      <c r="R33" s="59" t="s">
        <v>133</v>
      </c>
      <c r="S33" s="60">
        <v>81.363397833039613</v>
      </c>
      <c r="T33" s="60">
        <v>0</v>
      </c>
      <c r="U33" s="60">
        <v>7.5839943507736098</v>
      </c>
      <c r="V33" s="60">
        <v>0</v>
      </c>
      <c r="W33" s="60">
        <v>0</v>
      </c>
      <c r="X33" s="60">
        <v>0</v>
      </c>
      <c r="Y33" s="60">
        <v>0</v>
      </c>
      <c r="Z33" s="60">
        <v>4.6522151091739934</v>
      </c>
      <c r="AA33" s="60">
        <v>6.4003927070127773</v>
      </c>
      <c r="AB33" s="60">
        <v>0</v>
      </c>
      <c r="AC33" s="60">
        <v>0</v>
      </c>
      <c r="AE33" s="60">
        <f t="shared" si="1"/>
        <v>100</v>
      </c>
    </row>
    <row r="34" spans="1:31" ht="31">
      <c r="A34" s="59" t="s">
        <v>134</v>
      </c>
      <c r="N34" s="60">
        <f t="shared" si="0"/>
        <v>0</v>
      </c>
      <c r="R34" s="59" t="s">
        <v>134</v>
      </c>
      <c r="AE34" s="60">
        <f t="shared" si="1"/>
        <v>0</v>
      </c>
    </row>
    <row r="35" spans="1:31">
      <c r="A35" s="59" t="s">
        <v>149</v>
      </c>
      <c r="N35" s="60">
        <f t="shared" si="0"/>
        <v>0</v>
      </c>
      <c r="R35" s="59" t="s">
        <v>149</v>
      </c>
      <c r="AE35" s="60">
        <f t="shared" si="1"/>
        <v>0</v>
      </c>
    </row>
    <row r="36" spans="1:31">
      <c r="A36" s="59" t="s">
        <v>150</v>
      </c>
      <c r="N36" s="60">
        <f t="shared" si="0"/>
        <v>0</v>
      </c>
      <c r="R36" s="59" t="s">
        <v>150</v>
      </c>
      <c r="AE36" s="60">
        <f t="shared" si="1"/>
        <v>0</v>
      </c>
    </row>
    <row r="37" spans="1:31">
      <c r="A37" s="64" t="s">
        <v>151</v>
      </c>
      <c r="N37" s="60">
        <f t="shared" si="0"/>
        <v>0</v>
      </c>
      <c r="R37" s="64" t="s">
        <v>151</v>
      </c>
      <c r="AE37" s="60">
        <f t="shared" si="1"/>
        <v>0</v>
      </c>
    </row>
    <row r="38" spans="1:31">
      <c r="A38" s="64" t="s">
        <v>152</v>
      </c>
      <c r="N38" s="60">
        <f t="shared" si="0"/>
        <v>0</v>
      </c>
      <c r="R38" s="64" t="s">
        <v>152</v>
      </c>
      <c r="AE38" s="60">
        <f t="shared" si="1"/>
        <v>0</v>
      </c>
    </row>
    <row r="39" spans="1:31">
      <c r="A39" s="64" t="s">
        <v>97</v>
      </c>
      <c r="N39" s="60">
        <f>SUM(B39:M39)</f>
        <v>0</v>
      </c>
      <c r="R39" s="64" t="s">
        <v>97</v>
      </c>
      <c r="AE39" s="60">
        <f t="shared" si="1"/>
        <v>0</v>
      </c>
    </row>
    <row r="40" spans="1:31">
      <c r="A40" s="64" t="s">
        <v>98</v>
      </c>
      <c r="N40" s="60">
        <f>SUM(B40:M40)</f>
        <v>0</v>
      </c>
      <c r="R40" s="64" t="s">
        <v>98</v>
      </c>
      <c r="AE40" s="60">
        <f t="shared" si="1"/>
        <v>0</v>
      </c>
    </row>
    <row r="41" spans="1:31">
      <c r="A41" s="64" t="s">
        <v>99</v>
      </c>
      <c r="N41" s="60">
        <f t="shared" si="0"/>
        <v>0</v>
      </c>
      <c r="R41" s="64" t="s">
        <v>99</v>
      </c>
      <c r="AE41" s="60">
        <f t="shared" si="1"/>
        <v>0</v>
      </c>
    </row>
    <row r="42" spans="1:31">
      <c r="A42" s="64" t="s">
        <v>100</v>
      </c>
      <c r="N42" s="60">
        <f t="shared" si="0"/>
        <v>0</v>
      </c>
      <c r="R42" s="64" t="s">
        <v>100</v>
      </c>
      <c r="AE42" s="60">
        <f t="shared" si="1"/>
        <v>0</v>
      </c>
    </row>
    <row r="43" spans="1:31">
      <c r="A43" s="64" t="s">
        <v>162</v>
      </c>
      <c r="N43" s="60">
        <f t="shared" si="0"/>
        <v>0</v>
      </c>
      <c r="R43" s="64" t="s">
        <v>162</v>
      </c>
      <c r="AE43" s="60">
        <f t="shared" si="1"/>
        <v>0</v>
      </c>
    </row>
    <row r="44" spans="1:31">
      <c r="A44" s="64" t="s">
        <v>102</v>
      </c>
      <c r="N44" s="60">
        <f t="shared" si="0"/>
        <v>0</v>
      </c>
      <c r="R44" s="64" t="s">
        <v>102</v>
      </c>
      <c r="AE44" s="60">
        <f t="shared" si="1"/>
        <v>0</v>
      </c>
    </row>
    <row r="45" spans="1:31">
      <c r="A45" s="64" t="s">
        <v>101</v>
      </c>
      <c r="N45" s="60">
        <f t="shared" si="0"/>
        <v>0</v>
      </c>
      <c r="R45" s="64" t="s">
        <v>101</v>
      </c>
      <c r="AE45" s="60">
        <f t="shared" si="1"/>
        <v>0</v>
      </c>
    </row>
    <row r="46" spans="1:31">
      <c r="A46" s="64" t="s">
        <v>260</v>
      </c>
      <c r="N46" s="60">
        <f t="shared" si="0"/>
        <v>0</v>
      </c>
      <c r="R46" s="64" t="s">
        <v>260</v>
      </c>
      <c r="AE46" s="60">
        <f>SUM(S46:AD46)</f>
        <v>0</v>
      </c>
    </row>
    <row r="47" spans="1:31">
      <c r="A47" s="64" t="s">
        <v>259</v>
      </c>
      <c r="N47" s="60">
        <f t="shared" si="0"/>
        <v>0</v>
      </c>
      <c r="R47" s="64" t="s">
        <v>259</v>
      </c>
      <c r="AE47" s="60">
        <f t="shared" si="1"/>
        <v>0</v>
      </c>
    </row>
    <row r="48" spans="1:31">
      <c r="A48" s="64" t="s">
        <v>258</v>
      </c>
      <c r="N48" s="60">
        <f t="shared" si="0"/>
        <v>0</v>
      </c>
      <c r="R48" s="64" t="s">
        <v>258</v>
      </c>
      <c r="AE48" s="60">
        <f t="shared" si="1"/>
        <v>0</v>
      </c>
    </row>
    <row r="49" spans="1:31">
      <c r="A49" s="64" t="s">
        <v>257</v>
      </c>
      <c r="N49" s="60">
        <f t="shared" si="0"/>
        <v>0</v>
      </c>
      <c r="R49" s="64" t="s">
        <v>257</v>
      </c>
      <c r="AE49" s="60">
        <f t="shared" si="1"/>
        <v>0</v>
      </c>
    </row>
    <row r="50" spans="1:31">
      <c r="A50" s="64" t="s">
        <v>153</v>
      </c>
      <c r="N50" s="60">
        <f t="shared" si="0"/>
        <v>0</v>
      </c>
      <c r="R50" s="64" t="s">
        <v>153</v>
      </c>
      <c r="AE50" s="60">
        <f t="shared" si="1"/>
        <v>0</v>
      </c>
    </row>
    <row r="51" spans="1:31">
      <c r="A51" s="64" t="s">
        <v>154</v>
      </c>
      <c r="N51" s="60">
        <f t="shared" si="0"/>
        <v>0</v>
      </c>
      <c r="R51" s="64" t="s">
        <v>154</v>
      </c>
      <c r="AE51" s="60">
        <f t="shared" si="1"/>
        <v>0</v>
      </c>
    </row>
    <row r="52" spans="1:31">
      <c r="A52" s="64" t="s">
        <v>155</v>
      </c>
      <c r="N52" s="60">
        <f t="shared" si="0"/>
        <v>0</v>
      </c>
      <c r="R52" s="64" t="s">
        <v>155</v>
      </c>
      <c r="AE52" s="60">
        <f t="shared" si="1"/>
        <v>0</v>
      </c>
    </row>
    <row r="53" spans="1:31">
      <c r="A53" s="64" t="s">
        <v>156</v>
      </c>
      <c r="N53" s="60">
        <f t="shared" si="0"/>
        <v>0</v>
      </c>
      <c r="R53" s="64" t="s">
        <v>156</v>
      </c>
      <c r="AE53" s="60">
        <f t="shared" si="1"/>
        <v>0</v>
      </c>
    </row>
    <row r="54" spans="1:31">
      <c r="A54" s="64" t="s">
        <v>157</v>
      </c>
      <c r="N54" s="60">
        <f t="shared" si="0"/>
        <v>0</v>
      </c>
      <c r="R54" s="64" t="s">
        <v>157</v>
      </c>
      <c r="AE54" s="60">
        <f t="shared" si="1"/>
        <v>0</v>
      </c>
    </row>
    <row r="55" spans="1:31">
      <c r="A55" s="64" t="s">
        <v>158</v>
      </c>
      <c r="N55" s="60">
        <f t="shared" si="0"/>
        <v>0</v>
      </c>
      <c r="R55" s="64" t="s">
        <v>158</v>
      </c>
      <c r="AE55" s="60">
        <f t="shared" si="1"/>
        <v>0</v>
      </c>
    </row>
    <row r="56" spans="1:31">
      <c r="A56" s="64" t="s">
        <v>161</v>
      </c>
      <c r="N56" s="60">
        <f t="shared" si="0"/>
        <v>0</v>
      </c>
      <c r="R56" s="64" t="s">
        <v>161</v>
      </c>
      <c r="AE56" s="60">
        <f t="shared" si="1"/>
        <v>0</v>
      </c>
    </row>
    <row r="57" spans="1:31">
      <c r="A57" s="64" t="s">
        <v>159</v>
      </c>
      <c r="N57" s="60">
        <f t="shared" si="0"/>
        <v>0</v>
      </c>
      <c r="R57" s="64" t="s">
        <v>159</v>
      </c>
      <c r="AE57" s="60">
        <f t="shared" si="1"/>
        <v>0</v>
      </c>
    </row>
    <row r="58" spans="1:31">
      <c r="A58" s="64" t="s">
        <v>160</v>
      </c>
      <c r="N58" s="60">
        <f t="shared" si="0"/>
        <v>0</v>
      </c>
      <c r="R58" s="64" t="s">
        <v>160</v>
      </c>
      <c r="AE58" s="60">
        <f t="shared" si="1"/>
        <v>0</v>
      </c>
    </row>
  </sheetData>
  <mergeCells count="2">
    <mergeCell ref="B1:P1"/>
    <mergeCell ref="S1:A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1</vt:i4>
      </vt:variant>
    </vt:vector>
  </HeadingPairs>
  <TitlesOfParts>
    <vt:vector size="6" baseType="lpstr">
      <vt:lpstr>wt% input</vt:lpstr>
      <vt:lpstr>mol% input </vt:lpstr>
      <vt:lpstr>chem</vt:lpstr>
      <vt:lpstr>M vs G</vt:lpstr>
      <vt:lpstr>chem. da organizzare</vt:lpstr>
      <vt:lpstr>'wt% input'!Area_stampa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Cassetta</dc:creator>
  <cp:lastModifiedBy>Michele Cassetta</cp:lastModifiedBy>
  <dcterms:created xsi:type="dcterms:W3CDTF">2021-06-09T15:57:51Z</dcterms:created>
  <dcterms:modified xsi:type="dcterms:W3CDTF">2026-06-16T14:18:59Z</dcterms:modified>
</cp:coreProperties>
</file>